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17.xml" ContentType="application/vnd.ms-excel.person+xml"/>
  <Override PartName="/xl/persons/person36.xml" ContentType="application/vnd.ms-excel.person+xml"/>
  <Override PartName="/xl/persons/person41.xml" ContentType="application/vnd.ms-excel.person+xml"/>
  <Override PartName="/xl/persons/person54.xml" ContentType="application/vnd.ms-excel.person+xml"/>
  <Override PartName="/xl/persons/person59.xml" ContentType="application/vnd.ms-excel.person+xml"/>
  <Override PartName="/xl/persons/person8.xml" ContentType="application/vnd.ms-excel.person+xml"/>
  <Override PartName="/xl/persons/person14.xml" ContentType="application/vnd.ms-excel.person+xml"/>
  <Override PartName="/xl/persons/person2.xml" ContentType="application/vnd.ms-excel.person+xml"/>
  <Override PartName="/xl/persons/person30.xml" ContentType="application/vnd.ms-excel.person+xml"/>
  <Override PartName="/xl/persons/person44.xml" ContentType="application/vnd.ms-excel.person+xml"/>
  <Override PartName="/xl/persons/person46.xml" ContentType="application/vnd.ms-excel.person+xml"/>
  <Override PartName="/xl/persons/person61.xml" ContentType="application/vnd.ms-excel.person+xml"/>
  <Override PartName="/xl/persons/person65.xml" ContentType="application/vnd.ms-excel.person+xml"/>
  <Override PartName="/xl/persons/person49.xml" ContentType="application/vnd.ms-excel.person+xml"/>
  <Override PartName="/xl/persons/person40.xml" ContentType="application/vnd.ms-excel.person+xml"/>
  <Override PartName="/xl/persons/person24.xml" ContentType="application/vnd.ms-excel.person+xml"/>
  <Override PartName="/xl/persons/person21.xml" ContentType="application/vnd.ms-excel.person+xml"/>
  <Override PartName="/xl/persons/person45.xml" ContentType="application/vnd.ms-excel.person+xml"/>
  <Override PartName="/xl/persons/person26.xml" ContentType="application/vnd.ms-excel.person+xml"/>
  <Override PartName="/xl/persons/person51.xml" ContentType="application/vnd.ms-excel.person+xml"/>
  <Override PartName="/xl/persons/person56.xml" ContentType="application/vnd.ms-excel.person+xml"/>
  <Override PartName="/xl/persons/person62.xml" ContentType="application/vnd.ms-excel.person+xml"/>
  <Override PartName="/xl/persons/person42.xml" ContentType="application/vnd.ms-excel.person+xml"/>
  <Override PartName="/xl/persons/person35.xml" ContentType="application/vnd.ms-excel.person+xml"/>
  <Override PartName="/xl/persons/person20.xml" ContentType="application/vnd.ms-excel.person+xml"/>
  <Override PartName="/xl/persons/person10.xml" ContentType="application/vnd.ms-excel.person+xml"/>
  <Override PartName="/xl/persons/person15.xml" ContentType="application/vnd.ms-excel.person+xml"/>
  <Override PartName="/xl/persons/person.xml" ContentType="application/vnd.ms-excel.person+xml"/>
  <Override PartName="/xl/persons/person64.xml" ContentType="application/vnd.ms-excel.person+xml"/>
  <Override PartName="/xl/persons/person55.xml" ContentType="application/vnd.ms-excel.person+xml"/>
  <Override PartName="/xl/persons/person48.xml" ContentType="application/vnd.ms-excel.person+xml"/>
  <Override PartName="/xl/persons/person43.xml" ContentType="application/vnd.ms-excel.person+xml"/>
  <Override PartName="/xl/persons/person37.xml" ContentType="application/vnd.ms-excel.person+xml"/>
  <Override PartName="/xl/persons/person29.xml" ContentType="application/vnd.ms-excel.person+xml"/>
  <Override PartName="/xl/persons/person18.xml" ContentType="application/vnd.ms-excel.person+xml"/>
  <Override PartName="/xl/persons/person57.xml" ContentType="application/vnd.ms-excel.person+xml"/>
  <Override PartName="/xl/persons/person31.xml" ContentType="application/vnd.ms-excel.person+xml"/>
  <Override PartName="/xl/persons/person12.xml" ContentType="application/vnd.ms-excel.person+xml"/>
  <Override PartName="/xl/persons/person22.xml" ContentType="application/vnd.ms-excel.person+xml"/>
  <Override PartName="/xl/persons/person66.xml" ContentType="application/vnd.ms-excel.person+xml"/>
  <Override PartName="/xl/persons/person60.xml" ContentType="application/vnd.ms-excel.person+xml"/>
  <Override PartName="/xl/persons/person53.xml" ContentType="application/vnd.ms-excel.person+xml"/>
  <Override PartName="/xl/persons/person50.xml" ContentType="application/vnd.ms-excel.person+xml"/>
  <Override PartName="/xl/persons/person5.xml" ContentType="application/vnd.ms-excel.person+xml"/>
  <Override PartName="/xl/persons/person39.xml" ContentType="application/vnd.ms-excel.person+xml"/>
  <Override PartName="/xl/persons/person34.xml" ContentType="application/vnd.ms-excel.person+xml"/>
  <Override PartName="/xl/persons/person19.xml" ContentType="application/vnd.ms-excel.person+xml"/>
  <Override PartName="/xl/persons/person7.xml" ContentType="application/vnd.ms-excel.person+xml"/>
  <Override PartName="/xl/persons/person25.xml" ContentType="application/vnd.ms-excel.person+xml"/>
  <Override PartName="/xl/persons/person16.xml" ContentType="application/vnd.ms-excel.person+xml"/>
  <Override PartName="/xl/persons/person47.xml" ContentType="application/vnd.ms-excel.person+xml"/>
  <Override PartName="/xl/persons/person11.xml" ContentType="application/vnd.ms-excel.person+xml"/>
  <Override PartName="/xl/persons/person23.xml" ContentType="application/vnd.ms-excel.person+xml"/>
  <Override PartName="/xl/persons/person28.xml" ContentType="application/vnd.ms-excel.person+xml"/>
  <Override PartName="/xl/persons/person63.xml" ContentType="application/vnd.ms-excel.person+xml"/>
  <Override PartName="/xl/persons/person4.xml" ContentType="application/vnd.ms-excel.person+xml"/>
  <Override PartName="/xl/persons/person6.xml" ContentType="application/vnd.ms-excel.person+xml"/>
  <Override PartName="/xl/persons/person58.xml" ContentType="application/vnd.ms-excel.person+xml"/>
  <Override PartName="/xl/persons/person27.xml" ContentType="application/vnd.ms-excel.person+xml"/>
  <Override PartName="/xl/persons/person0.xml" ContentType="application/vnd.ms-excel.person+xml"/>
  <Override PartName="/xl/persons/person38.xml" ContentType="application/vnd.ms-excel.person+xml"/>
  <Override PartName="/xl/persons/person33.xml" ContentType="application/vnd.ms-excel.person+xml"/>
  <Override PartName="/xl/persons/person52.xml" ContentType="application/vnd.ms-excel.person+xml"/>
  <Override PartName="/xl/persons/person32.xml" ContentType="application/vnd.ms-excel.person+xml"/>
  <Override PartName="/xl/persons/person13.xml" ContentType="application/vnd.ms-excel.person+xml"/>
  <Override PartName="/xl/persons/person9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ernado\Desktop\Projetos\SISTEMA_CAIXA\SISTEMA_CAIXA\Sistema - ZSalgados\"/>
    </mc:Choice>
  </mc:AlternateContent>
  <xr:revisionPtr revIDLastSave="0" documentId="13_ncr:1_{5341B2DB-FB48-442E-82F9-270D59C2EB76}" xr6:coauthVersionLast="47" xr6:coauthVersionMax="47" xr10:uidLastSave="{00000000-0000-0000-0000-000000000000}"/>
  <bookViews>
    <workbookView xWindow="-120" yWindow="-120" windowWidth="29040" windowHeight="15840" tabRatio="870" firstSheet="4" activeTab="8" xr2:uid="{30F7FAAE-C84C-40CF-8002-82C24029F4C2}"/>
  </bookViews>
  <sheets>
    <sheet name="Salgados" sheetId="1" r:id="rId1"/>
    <sheet name="PEDIDOS_ELIMINADOS" sheetId="14" r:id="rId2"/>
    <sheet name="CONTROLEFISICA" sheetId="23" r:id="rId3"/>
    <sheet name="Despesas 01012024-01032024" sheetId="6" state="hidden" r:id="rId4"/>
    <sheet name="Funcionários" sheetId="2" r:id="rId5"/>
    <sheet name="Despesas" sheetId="21" r:id="rId6"/>
    <sheet name="Form_Despesas" sheetId="12" r:id="rId7"/>
    <sheet name="Pedidos" sheetId="5" r:id="rId8"/>
    <sheet name="Form_Pedido" sheetId="8" r:id="rId9"/>
    <sheet name="Form_Dívidas" sheetId="13" r:id="rId10"/>
    <sheet name="Conta_Física" sheetId="20" r:id="rId11"/>
    <sheet name="Conta_Jurídica" sheetId="18" r:id="rId12"/>
    <sheet name="Caixa" sheetId="11" r:id="rId13"/>
    <sheet name="Relatórios" sheetId="22" r:id="rId14"/>
    <sheet name="Clientes" sheetId="10" r:id="rId15"/>
    <sheet name="Planilha1" sheetId="7" state="hidden" r:id="rId16"/>
    <sheet name="Pix Recebidos" sheetId="9" state="hidden" r:id="rId17"/>
    <sheet name="Meta Diária" sheetId="16" r:id="rId18"/>
    <sheet name="ESTOQUE" sheetId="24" r:id="rId19"/>
    <sheet name="PRODUCAO" sheetId="25" r:id="rId20"/>
    <sheet name="REGISTRO_ESTOQUE" sheetId="26" r:id="rId21"/>
  </sheets>
  <definedNames>
    <definedName name="_xlnm.Print_Area" localSheetId="9">Form_Dívidas!$A$1:$E$65</definedName>
    <definedName name="_xlnm.Print_Area" localSheetId="8">Form_Pedido!$A$1:$E$59</definedName>
    <definedName name="_xlnm.Print_Area" localSheetId="7">Pedidos!$E$1:$AN$315</definedName>
    <definedName name="_xlnm.Print_Area" localSheetId="13">Relatórios!$A$1:$I$46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21" i="5" l="1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39" i="5"/>
  <c r="AS40" i="5"/>
  <c r="AS41" i="5"/>
  <c r="AS42" i="5"/>
  <c r="AS43" i="5"/>
  <c r="AS44" i="5"/>
  <c r="AS45" i="5"/>
  <c r="AS46" i="5"/>
  <c r="AS47" i="5"/>
  <c r="AS48" i="5"/>
  <c r="AS49" i="5"/>
  <c r="AS50" i="5"/>
  <c r="AS51" i="5"/>
  <c r="AS52" i="5"/>
  <c r="AS53" i="5"/>
  <c r="AS54" i="5"/>
  <c r="AS55" i="5"/>
  <c r="AS56" i="5"/>
  <c r="AS57" i="5"/>
  <c r="AS58" i="5"/>
  <c r="AS59" i="5"/>
  <c r="AS60" i="5"/>
  <c r="AS61" i="5"/>
  <c r="AS62" i="5"/>
  <c r="AS63" i="5"/>
  <c r="AS64" i="5"/>
  <c r="AS65" i="5"/>
  <c r="AS66" i="5"/>
  <c r="AS67" i="5"/>
  <c r="AS68" i="5"/>
  <c r="AS69" i="5"/>
  <c r="AS70" i="5"/>
  <c r="AS71" i="5"/>
  <c r="AS72" i="5"/>
  <c r="AS73" i="5"/>
  <c r="AS74" i="5"/>
  <c r="AS75" i="5"/>
  <c r="AS76" i="5"/>
  <c r="AS77" i="5"/>
  <c r="AS78" i="5"/>
  <c r="AS79" i="5"/>
  <c r="AS80" i="5"/>
  <c r="AS81" i="5"/>
  <c r="AS82" i="5"/>
  <c r="AS83" i="5"/>
  <c r="AS84" i="5"/>
  <c r="AS85" i="5"/>
  <c r="AS86" i="5"/>
  <c r="AS87" i="5"/>
  <c r="AS88" i="5"/>
  <c r="AS89" i="5"/>
  <c r="AS90" i="5"/>
  <c r="AS91" i="5"/>
  <c r="AS92" i="5"/>
  <c r="AS93" i="5"/>
  <c r="AS94" i="5"/>
  <c r="AS95" i="5"/>
  <c r="AS96" i="5"/>
  <c r="AS97" i="5"/>
  <c r="AS98" i="5"/>
  <c r="AS99" i="5"/>
  <c r="AS100" i="5"/>
  <c r="AS101" i="5"/>
  <c r="AS102" i="5"/>
  <c r="AS103" i="5"/>
  <c r="AS104" i="5"/>
  <c r="AS105" i="5"/>
  <c r="AS106" i="5"/>
  <c r="AS107" i="5"/>
  <c r="AS108" i="5"/>
  <c r="AS109" i="5"/>
  <c r="AS110" i="5"/>
  <c r="AS111" i="5"/>
  <c r="AS112" i="5"/>
  <c r="AS113" i="5"/>
  <c r="AS114" i="5"/>
  <c r="AS115" i="5"/>
  <c r="AS116" i="5"/>
  <c r="AS117" i="5"/>
  <c r="AS118" i="5"/>
  <c r="AS119" i="5"/>
  <c r="AS120" i="5"/>
  <c r="AS121" i="5"/>
  <c r="AS122" i="5"/>
  <c r="AS123" i="5"/>
  <c r="AS124" i="5"/>
  <c r="AS125" i="5"/>
  <c r="AS126" i="5"/>
  <c r="AS127" i="5"/>
  <c r="AS128" i="5"/>
  <c r="AS129" i="5"/>
  <c r="AS130" i="5"/>
  <c r="AS131" i="5"/>
  <c r="AS132" i="5"/>
  <c r="AS133" i="5"/>
  <c r="AS134" i="5"/>
  <c r="AS135" i="5"/>
  <c r="AS136" i="5"/>
  <c r="AS137" i="5"/>
  <c r="AS138" i="5"/>
  <c r="AS139" i="5"/>
  <c r="AS140" i="5"/>
  <c r="AS141" i="5"/>
  <c r="AS142" i="5"/>
  <c r="AS143" i="5"/>
  <c r="AS144" i="5"/>
  <c r="AS145" i="5"/>
  <c r="AS146" i="5"/>
  <c r="AS147" i="5"/>
  <c r="AS148" i="5"/>
  <c r="AS149" i="5"/>
  <c r="AS150" i="5"/>
  <c r="AS151" i="5"/>
  <c r="AS152" i="5"/>
  <c r="AS153" i="5"/>
  <c r="AS154" i="5"/>
  <c r="AS155" i="5"/>
  <c r="AS156" i="5"/>
  <c r="AS157" i="5"/>
  <c r="AS158" i="5"/>
  <c r="AS159" i="5"/>
  <c r="AS160" i="5"/>
  <c r="AS161" i="5"/>
  <c r="AS162" i="5"/>
  <c r="AS163" i="5"/>
  <c r="AS164" i="5"/>
  <c r="AS165" i="5"/>
  <c r="AS166" i="5"/>
  <c r="AS167" i="5"/>
  <c r="AS168" i="5"/>
  <c r="AS169" i="5"/>
  <c r="AS170" i="5"/>
  <c r="AS171" i="5"/>
  <c r="AS172" i="5"/>
  <c r="AS173" i="5"/>
  <c r="AS174" i="5"/>
  <c r="AS175" i="5"/>
  <c r="AS176" i="5"/>
  <c r="AS177" i="5"/>
  <c r="AS178" i="5"/>
  <c r="AS179" i="5"/>
  <c r="AS180" i="5"/>
  <c r="AS181" i="5"/>
  <c r="AS182" i="5"/>
  <c r="AS183" i="5"/>
  <c r="AS184" i="5"/>
  <c r="AS185" i="5"/>
  <c r="AS186" i="5"/>
  <c r="AS187" i="5"/>
  <c r="AS188" i="5"/>
  <c r="AS189" i="5"/>
  <c r="AS190" i="5"/>
  <c r="AS191" i="5"/>
  <c r="AS192" i="5"/>
  <c r="AS193" i="5"/>
  <c r="AS194" i="5"/>
  <c r="AS195" i="5"/>
  <c r="AS196" i="5"/>
  <c r="AS197" i="5"/>
  <c r="AS198" i="5"/>
  <c r="AS199" i="5"/>
  <c r="AS200" i="5"/>
  <c r="AS201" i="5"/>
  <c r="AS202" i="5"/>
  <c r="AS203" i="5"/>
  <c r="AS204" i="5"/>
  <c r="AS205" i="5"/>
  <c r="AS206" i="5"/>
  <c r="AS207" i="5"/>
  <c r="AS208" i="5"/>
  <c r="AS209" i="5"/>
  <c r="AS210" i="5"/>
  <c r="AS211" i="5"/>
  <c r="AS212" i="5"/>
  <c r="AS213" i="5"/>
  <c r="AS214" i="5"/>
  <c r="AS215" i="5"/>
  <c r="AS216" i="5"/>
  <c r="AS217" i="5"/>
  <c r="AS218" i="5"/>
  <c r="AS219" i="5"/>
  <c r="AS220" i="5"/>
  <c r="AS221" i="5"/>
  <c r="AS222" i="5"/>
  <c r="AS223" i="5"/>
  <c r="AS224" i="5"/>
  <c r="AS225" i="5"/>
  <c r="AS226" i="5"/>
  <c r="AS227" i="5"/>
  <c r="AS228" i="5"/>
  <c r="AS229" i="5"/>
  <c r="AS230" i="5"/>
  <c r="AS231" i="5"/>
  <c r="AS232" i="5"/>
  <c r="AS233" i="5"/>
  <c r="AS234" i="5"/>
  <c r="AS235" i="5"/>
  <c r="AS236" i="5"/>
  <c r="AS237" i="5"/>
  <c r="AS238" i="5"/>
  <c r="AS239" i="5"/>
  <c r="AS240" i="5"/>
  <c r="AS241" i="5"/>
  <c r="AS242" i="5"/>
  <c r="AS243" i="5"/>
  <c r="AS244" i="5"/>
  <c r="AS245" i="5"/>
  <c r="AS246" i="5"/>
  <c r="AS247" i="5"/>
  <c r="AS248" i="5"/>
  <c r="AS249" i="5"/>
  <c r="AS250" i="5"/>
  <c r="AS251" i="5"/>
  <c r="AS252" i="5"/>
  <c r="AS253" i="5"/>
  <c r="AS254" i="5"/>
  <c r="AS255" i="5"/>
  <c r="AS256" i="5"/>
  <c r="AS257" i="5"/>
  <c r="AS258" i="5"/>
  <c r="AS259" i="5"/>
  <c r="AS260" i="5"/>
  <c r="AS261" i="5"/>
  <c r="AS262" i="5"/>
  <c r="AS263" i="5"/>
  <c r="AS264" i="5"/>
  <c r="AS265" i="5"/>
  <c r="AS266" i="5"/>
  <c r="AS267" i="5"/>
  <c r="AS268" i="5"/>
  <c r="AS269" i="5"/>
  <c r="AS270" i="5"/>
  <c r="AS271" i="5"/>
  <c r="AS272" i="5"/>
  <c r="AS273" i="5"/>
  <c r="AS274" i="5"/>
  <c r="AS275" i="5"/>
  <c r="AS276" i="5"/>
  <c r="AS277" i="5"/>
  <c r="AS278" i="5"/>
  <c r="AS279" i="5"/>
  <c r="AS280" i="5"/>
  <c r="AS281" i="5"/>
  <c r="AS282" i="5"/>
  <c r="AS283" i="5"/>
  <c r="AS284" i="5"/>
  <c r="AS285" i="5"/>
  <c r="AS286" i="5"/>
  <c r="AS287" i="5"/>
  <c r="AS288" i="5"/>
  <c r="AS289" i="5"/>
  <c r="AS290" i="5"/>
  <c r="AS291" i="5"/>
  <c r="AS292" i="5"/>
  <c r="AS293" i="5"/>
  <c r="AS294" i="5"/>
  <c r="AS295" i="5"/>
  <c r="AS296" i="5"/>
  <c r="AS297" i="5"/>
  <c r="AS298" i="5"/>
  <c r="AS299" i="5"/>
  <c r="AS300" i="5"/>
  <c r="AS301" i="5"/>
  <c r="AS302" i="5"/>
  <c r="AS303" i="5"/>
  <c r="AS304" i="5"/>
  <c r="AS305" i="5"/>
  <c r="AS306" i="5"/>
  <c r="AS307" i="5"/>
  <c r="AS308" i="5"/>
  <c r="AS309" i="5"/>
  <c r="AS310" i="5"/>
  <c r="AS311" i="5"/>
  <c r="AS312" i="5"/>
  <c r="AS313" i="5"/>
  <c r="AS314" i="5"/>
  <c r="AS315" i="5"/>
  <c r="AS316" i="5"/>
  <c r="AS317" i="5"/>
  <c r="AS318" i="5"/>
  <c r="AS319" i="5"/>
  <c r="AS320" i="5"/>
  <c r="AS321" i="5"/>
  <c r="AS322" i="5"/>
  <c r="AS323" i="5"/>
  <c r="AS324" i="5"/>
  <c r="AS325" i="5"/>
  <c r="AS326" i="5"/>
  <c r="AS327" i="5"/>
  <c r="AS328" i="5"/>
  <c r="AS329" i="5"/>
  <c r="AS330" i="5"/>
  <c r="AS331" i="5"/>
  <c r="AS332" i="5"/>
  <c r="AS333" i="5"/>
  <c r="AS334" i="5"/>
  <c r="AS335" i="5"/>
  <c r="AS336" i="5"/>
  <c r="AS337" i="5"/>
  <c r="AS338" i="5"/>
  <c r="AS339" i="5"/>
  <c r="AS340" i="5"/>
  <c r="AS341" i="5"/>
  <c r="AS342" i="5"/>
  <c r="AS343" i="5"/>
  <c r="AS344" i="5"/>
  <c r="AS345" i="5"/>
  <c r="AS346" i="5"/>
  <c r="AS347" i="5"/>
  <c r="AS348" i="5"/>
  <c r="AS349" i="5"/>
  <c r="AS350" i="5"/>
  <c r="AS351" i="5"/>
  <c r="AS352" i="5"/>
  <c r="AS353" i="5"/>
  <c r="AS354" i="5"/>
  <c r="AS355" i="5"/>
  <c r="AS356" i="5"/>
  <c r="AS357" i="5"/>
  <c r="AS358" i="5"/>
  <c r="AS359" i="5"/>
  <c r="AS360" i="5"/>
  <c r="AS361" i="5"/>
  <c r="AS362" i="5"/>
  <c r="AS363" i="5"/>
  <c r="AS364" i="5"/>
  <c r="AS365" i="5"/>
  <c r="AS366" i="5"/>
  <c r="AS367" i="5"/>
  <c r="AS368" i="5"/>
  <c r="AS369" i="5"/>
  <c r="AS370" i="5"/>
  <c r="AS371" i="5"/>
  <c r="AS372" i="5"/>
  <c r="AS373" i="5"/>
  <c r="AS374" i="5"/>
  <c r="AS375" i="5"/>
  <c r="AS376" i="5"/>
  <c r="AS377" i="5"/>
  <c r="AS378" i="5"/>
  <c r="AS379" i="5"/>
  <c r="AS380" i="5"/>
  <c r="AS381" i="5"/>
  <c r="AS382" i="5"/>
  <c r="AS383" i="5"/>
  <c r="AS384" i="5"/>
  <c r="AS385" i="5"/>
  <c r="AS386" i="5"/>
  <c r="AS387" i="5"/>
  <c r="AS388" i="5"/>
  <c r="AS389" i="5"/>
  <c r="AS390" i="5"/>
  <c r="AS391" i="5"/>
  <c r="AS392" i="5"/>
  <c r="AS393" i="5"/>
  <c r="AS394" i="5"/>
  <c r="AS395" i="5"/>
  <c r="AS396" i="5"/>
  <c r="AS397" i="5"/>
  <c r="AS398" i="5"/>
  <c r="AS399" i="5"/>
  <c r="AS400" i="5"/>
  <c r="AS401" i="5"/>
  <c r="AS402" i="5"/>
  <c r="AS403" i="5"/>
  <c r="AS404" i="5"/>
  <c r="AS405" i="5"/>
  <c r="AS406" i="5"/>
  <c r="AS407" i="5"/>
  <c r="AS408" i="5"/>
  <c r="AS409" i="5"/>
  <c r="AS410" i="5"/>
  <c r="AS411" i="5"/>
  <c r="AS412" i="5"/>
  <c r="AS413" i="5"/>
  <c r="AS414" i="5"/>
  <c r="AS415" i="5"/>
  <c r="AS416" i="5"/>
  <c r="AS417" i="5"/>
  <c r="AS418" i="5"/>
  <c r="AS419" i="5"/>
  <c r="AS420" i="5"/>
  <c r="AS421" i="5"/>
  <c r="AS422" i="5"/>
  <c r="AS423" i="5"/>
  <c r="AS424" i="5"/>
  <c r="AS425" i="5"/>
  <c r="AS426" i="5"/>
  <c r="AS427" i="5"/>
  <c r="AS428" i="5"/>
  <c r="AS429" i="5"/>
  <c r="AS430" i="5"/>
  <c r="AS431" i="5"/>
  <c r="AS432" i="5"/>
  <c r="AS433" i="5"/>
  <c r="AS434" i="5"/>
  <c r="AS435" i="5"/>
  <c r="AS436" i="5"/>
  <c r="AS437" i="5"/>
  <c r="AS438" i="5"/>
  <c r="AS439" i="5"/>
  <c r="AS440" i="5"/>
  <c r="AS441" i="5"/>
  <c r="AS442" i="5"/>
  <c r="AS443" i="5"/>
  <c r="AS444" i="5"/>
  <c r="AS445" i="5"/>
  <c r="AS446" i="5"/>
  <c r="AS447" i="5"/>
  <c r="AS448" i="5"/>
  <c r="AS449" i="5"/>
  <c r="AS450" i="5"/>
  <c r="AS451" i="5"/>
  <c r="AS452" i="5"/>
  <c r="AS453" i="5"/>
  <c r="AS454" i="5"/>
  <c r="AS455" i="5"/>
  <c r="AS456" i="5"/>
  <c r="AS457" i="5"/>
  <c r="AS458" i="5"/>
  <c r="AS459" i="5"/>
  <c r="AS460" i="5"/>
  <c r="AS461" i="5"/>
  <c r="AS462" i="5"/>
  <c r="AS463" i="5"/>
  <c r="AS464" i="5"/>
  <c r="AS465" i="5"/>
  <c r="AS466" i="5"/>
  <c r="AS467" i="5"/>
  <c r="AS468" i="5"/>
  <c r="AS469" i="5"/>
  <c r="AS470" i="5"/>
  <c r="AS471" i="5"/>
  <c r="AS472" i="5"/>
  <c r="AS473" i="5"/>
  <c r="AS474" i="5"/>
  <c r="AS475" i="5"/>
  <c r="AS476" i="5"/>
  <c r="AS477" i="5"/>
  <c r="AS478" i="5"/>
  <c r="AS479" i="5"/>
  <c r="AS480" i="5"/>
  <c r="AS481" i="5"/>
  <c r="AS482" i="5"/>
  <c r="AS483" i="5"/>
  <c r="AS484" i="5"/>
  <c r="AS485" i="5"/>
  <c r="AS486" i="5"/>
  <c r="AS487" i="5"/>
  <c r="AS488" i="5"/>
  <c r="AS489" i="5"/>
  <c r="AS490" i="5"/>
  <c r="AS491" i="5"/>
  <c r="AS492" i="5"/>
  <c r="AS493" i="5"/>
  <c r="AS494" i="5"/>
  <c r="AS495" i="5"/>
  <c r="AS496" i="5"/>
  <c r="AS497" i="5"/>
  <c r="AS498" i="5"/>
  <c r="AS499" i="5"/>
  <c r="AS500" i="5"/>
  <c r="AS501" i="5"/>
  <c r="AS502" i="5"/>
  <c r="AS503" i="5"/>
  <c r="AS504" i="5"/>
  <c r="AS505" i="5"/>
  <c r="AS506" i="5"/>
  <c r="AS507" i="5"/>
  <c r="AS508" i="5"/>
  <c r="AS509" i="5"/>
  <c r="AS510" i="5"/>
  <c r="AS511" i="5"/>
  <c r="AS512" i="5"/>
  <c r="AS513" i="5"/>
  <c r="AS514" i="5"/>
  <c r="AS515" i="5"/>
  <c r="AS516" i="5"/>
  <c r="AS517" i="5"/>
  <c r="AS518" i="5"/>
  <c r="AS519" i="5"/>
  <c r="AS520" i="5"/>
  <c r="AS521" i="5"/>
  <c r="AS522" i="5"/>
  <c r="AS523" i="5"/>
  <c r="AS524" i="5"/>
  <c r="AS525" i="5"/>
  <c r="AS526" i="5"/>
  <c r="AS527" i="5"/>
  <c r="AS528" i="5"/>
  <c r="AS529" i="5"/>
  <c r="AS530" i="5"/>
  <c r="AS531" i="5"/>
  <c r="AS532" i="5"/>
  <c r="AS533" i="5"/>
  <c r="AS534" i="5"/>
  <c r="AS535" i="5"/>
  <c r="AS536" i="5"/>
  <c r="AS537" i="5"/>
  <c r="AS538" i="5"/>
  <c r="AS539" i="5"/>
  <c r="AS540" i="5"/>
  <c r="AS541" i="5"/>
  <c r="AS542" i="5"/>
  <c r="AS543" i="5"/>
  <c r="AS544" i="5"/>
  <c r="AS545" i="5"/>
  <c r="AS546" i="5"/>
  <c r="AS547" i="5"/>
  <c r="AS548" i="5"/>
  <c r="AS549" i="5"/>
  <c r="AS550" i="5"/>
  <c r="AS551" i="5"/>
  <c r="AS552" i="5"/>
  <c r="AS553" i="5"/>
  <c r="AS554" i="5"/>
  <c r="AS555" i="5"/>
  <c r="AS556" i="5"/>
  <c r="AS557" i="5"/>
  <c r="AS558" i="5"/>
  <c r="AS559" i="5"/>
  <c r="AS560" i="5"/>
  <c r="AS561" i="5"/>
  <c r="AS562" i="5"/>
  <c r="AS563" i="5"/>
  <c r="AS564" i="5"/>
  <c r="AS565" i="5"/>
  <c r="AS566" i="5"/>
  <c r="AS567" i="5"/>
  <c r="AS568" i="5"/>
  <c r="AS569" i="5"/>
  <c r="AS570" i="5"/>
  <c r="AS571" i="5"/>
  <c r="AS572" i="5"/>
  <c r="AS573" i="5"/>
  <c r="AS574" i="5"/>
  <c r="AS575" i="5"/>
  <c r="AS576" i="5"/>
  <c r="AS577" i="5"/>
  <c r="AS578" i="5"/>
  <c r="AS579" i="5"/>
  <c r="AS580" i="5"/>
  <c r="AS581" i="5"/>
  <c r="AS582" i="5"/>
  <c r="AS583" i="5"/>
  <c r="AS584" i="5"/>
  <c r="AS585" i="5"/>
  <c r="AS586" i="5"/>
  <c r="AS587" i="5"/>
  <c r="AS588" i="5"/>
  <c r="AS589" i="5"/>
  <c r="AS590" i="5"/>
  <c r="AS591" i="5"/>
  <c r="AS592" i="5"/>
  <c r="AS593" i="5"/>
  <c r="AS594" i="5"/>
  <c r="AS595" i="5"/>
  <c r="AS596" i="5"/>
  <c r="AS597" i="5"/>
  <c r="AS598" i="5"/>
  <c r="AS599" i="5"/>
  <c r="AS600" i="5"/>
  <c r="AS601" i="5"/>
  <c r="AS602" i="5"/>
  <c r="AS603" i="5"/>
  <c r="AS604" i="5"/>
  <c r="AS605" i="5"/>
  <c r="AS606" i="5"/>
  <c r="AS607" i="5"/>
  <c r="AS608" i="5"/>
  <c r="AS609" i="5"/>
  <c r="AS610" i="5"/>
  <c r="AS611" i="5"/>
  <c r="AS612" i="5"/>
  <c r="AS613" i="5"/>
  <c r="AS614" i="5"/>
  <c r="AS615" i="5"/>
  <c r="AS616" i="5"/>
  <c r="AS617" i="5"/>
  <c r="AS618" i="5"/>
  <c r="AS619" i="5"/>
  <c r="AS620" i="5"/>
  <c r="AS621" i="5"/>
  <c r="AS622" i="5"/>
  <c r="AS623" i="5"/>
  <c r="AS624" i="5"/>
  <c r="AS625" i="5"/>
  <c r="AS626" i="5"/>
  <c r="AS627" i="5"/>
  <c r="AS628" i="5"/>
  <c r="AS629" i="5"/>
  <c r="AS630" i="5"/>
  <c r="AS631" i="5"/>
  <c r="AS632" i="5"/>
  <c r="AS633" i="5"/>
  <c r="AS634" i="5"/>
  <c r="AS635" i="5"/>
  <c r="AS636" i="5"/>
  <c r="AS637" i="5"/>
  <c r="AS638" i="5"/>
  <c r="AS639" i="5"/>
  <c r="AS640" i="5"/>
  <c r="AS641" i="5"/>
  <c r="AS642" i="5"/>
  <c r="AS643" i="5"/>
  <c r="AS644" i="5"/>
  <c r="AS645" i="5"/>
  <c r="AS646" i="5"/>
  <c r="AS647" i="5"/>
  <c r="AS648" i="5"/>
  <c r="AS649" i="5"/>
  <c r="AS650" i="5"/>
  <c r="AS651" i="5"/>
  <c r="AS652" i="5"/>
  <c r="AS653" i="5"/>
  <c r="AS654" i="5"/>
  <c r="AS655" i="5"/>
  <c r="AS656" i="5"/>
  <c r="AS657" i="5"/>
  <c r="AS658" i="5"/>
  <c r="AS659" i="5"/>
  <c r="AS660" i="5"/>
  <c r="AS661" i="5"/>
  <c r="AS662" i="5"/>
  <c r="AS663" i="5"/>
  <c r="AS664" i="5"/>
  <c r="AS665" i="5"/>
  <c r="AS666" i="5"/>
  <c r="AS667" i="5"/>
  <c r="AS668" i="5"/>
  <c r="AS669" i="5"/>
  <c r="AS670" i="5"/>
  <c r="AS671" i="5"/>
  <c r="AS672" i="5"/>
  <c r="AS673" i="5"/>
  <c r="AS674" i="5"/>
  <c r="AS675" i="5"/>
  <c r="AS676" i="5"/>
  <c r="AS677" i="5"/>
  <c r="AS678" i="5"/>
  <c r="AS679" i="5"/>
  <c r="AS680" i="5"/>
  <c r="AS681" i="5"/>
  <c r="AS682" i="5"/>
  <c r="AS683" i="5"/>
  <c r="AS684" i="5"/>
  <c r="AS685" i="5"/>
  <c r="AS686" i="5"/>
  <c r="AS687" i="5"/>
  <c r="AS688" i="5"/>
  <c r="AS689" i="5"/>
  <c r="AS690" i="5"/>
  <c r="AS691" i="5"/>
  <c r="AS692" i="5"/>
  <c r="AS693" i="5"/>
  <c r="AS694" i="5"/>
  <c r="AS695" i="5"/>
  <c r="AS696" i="5"/>
  <c r="AS697" i="5"/>
  <c r="AS698" i="5"/>
  <c r="AS699" i="5"/>
  <c r="AS700" i="5"/>
  <c r="AS701" i="5"/>
  <c r="AS702" i="5"/>
  <c r="AS703" i="5"/>
  <c r="AS704" i="5"/>
  <c r="AS705" i="5"/>
  <c r="AS706" i="5"/>
  <c r="AS707" i="5"/>
  <c r="AS708" i="5"/>
  <c r="AS709" i="5"/>
  <c r="AS710" i="5"/>
  <c r="AS711" i="5"/>
  <c r="AS712" i="5"/>
  <c r="AS713" i="5"/>
  <c r="AS714" i="5"/>
  <c r="AS715" i="5"/>
  <c r="AS716" i="5"/>
  <c r="AS717" i="5"/>
  <c r="AS718" i="5"/>
  <c r="AS719" i="5"/>
  <c r="AS720" i="5"/>
  <c r="AS721" i="5"/>
  <c r="AS722" i="5"/>
  <c r="AS723" i="5"/>
  <c r="AS724" i="5"/>
  <c r="AS725" i="5"/>
  <c r="AS726" i="5"/>
  <c r="AS727" i="5"/>
  <c r="AS728" i="5"/>
  <c r="AS729" i="5"/>
  <c r="AS730" i="5"/>
  <c r="AS731" i="5"/>
  <c r="AS732" i="5"/>
  <c r="AS733" i="5"/>
  <c r="AS734" i="5"/>
  <c r="AS735" i="5"/>
  <c r="AS736" i="5"/>
  <c r="AS737" i="5"/>
  <c r="AS738" i="5"/>
  <c r="AS739" i="5"/>
  <c r="AS740" i="5"/>
  <c r="AS741" i="5"/>
  <c r="AS742" i="5"/>
  <c r="AS743" i="5"/>
  <c r="AS744" i="5"/>
  <c r="AS745" i="5"/>
  <c r="AS746" i="5"/>
  <c r="AS747" i="5"/>
  <c r="AS748" i="5"/>
  <c r="AS749" i="5"/>
  <c r="AS750" i="5"/>
  <c r="AS751" i="5"/>
  <c r="AS752" i="5"/>
  <c r="AS753" i="5"/>
  <c r="AS754" i="5"/>
  <c r="AS755" i="5"/>
  <c r="AS756" i="5"/>
  <c r="AS757" i="5"/>
  <c r="AS758" i="5"/>
  <c r="AS759" i="5"/>
  <c r="AS760" i="5"/>
  <c r="AS761" i="5"/>
  <c r="AS762" i="5"/>
  <c r="AS763" i="5"/>
  <c r="AS764" i="5"/>
  <c r="AS765" i="5"/>
  <c r="AS766" i="5"/>
  <c r="AS767" i="5"/>
  <c r="AS768" i="5"/>
  <c r="AS769" i="5"/>
  <c r="AS770" i="5"/>
  <c r="AS771" i="5"/>
  <c r="AS772" i="5"/>
  <c r="AS773" i="5"/>
  <c r="AS774" i="5"/>
  <c r="AS775" i="5"/>
  <c r="AS776" i="5"/>
  <c r="AS777" i="5"/>
  <c r="AS778" i="5"/>
  <c r="AS779" i="5"/>
  <c r="AS780" i="5"/>
  <c r="AS781" i="5"/>
  <c r="AS782" i="5"/>
  <c r="AS783" i="5"/>
  <c r="AS784" i="5"/>
  <c r="AS785" i="5"/>
  <c r="AS786" i="5"/>
  <c r="AS787" i="5"/>
  <c r="AS788" i="5"/>
  <c r="AS789" i="5"/>
  <c r="AS790" i="5"/>
  <c r="AS791" i="5"/>
  <c r="AS792" i="5"/>
  <c r="AS793" i="5"/>
  <c r="AS794" i="5"/>
  <c r="AS795" i="5"/>
  <c r="AS796" i="5"/>
  <c r="AS797" i="5"/>
  <c r="AS798" i="5"/>
  <c r="AS799" i="5"/>
  <c r="AS800" i="5"/>
  <c r="AS801" i="5"/>
  <c r="AS802" i="5"/>
  <c r="AS803" i="5"/>
  <c r="AS804" i="5"/>
  <c r="AS805" i="5"/>
  <c r="AS806" i="5"/>
  <c r="AS807" i="5"/>
  <c r="AS808" i="5"/>
  <c r="AS809" i="5"/>
  <c r="AS810" i="5"/>
  <c r="AS811" i="5"/>
  <c r="AS812" i="5"/>
  <c r="AS813" i="5"/>
  <c r="AS814" i="5"/>
  <c r="AS815" i="5"/>
  <c r="AS816" i="5"/>
  <c r="AS817" i="5"/>
  <c r="AS818" i="5"/>
  <c r="AS819" i="5"/>
  <c r="AS820" i="5"/>
  <c r="AS821" i="5"/>
  <c r="AS822" i="5"/>
  <c r="AS823" i="5"/>
  <c r="AS824" i="5"/>
  <c r="AS825" i="5"/>
  <c r="AS826" i="5"/>
  <c r="AS827" i="5"/>
  <c r="AS828" i="5"/>
  <c r="AS829" i="5"/>
  <c r="AS830" i="5"/>
  <c r="AS831" i="5"/>
  <c r="AS832" i="5"/>
  <c r="AS833" i="5"/>
  <c r="AS834" i="5"/>
  <c r="AS835" i="5"/>
  <c r="AS836" i="5"/>
  <c r="AS837" i="5"/>
  <c r="AS838" i="5"/>
  <c r="AS839" i="5"/>
  <c r="AS840" i="5"/>
  <c r="AS841" i="5"/>
  <c r="AS842" i="5"/>
  <c r="AS843" i="5"/>
  <c r="AS844" i="5"/>
  <c r="AS845" i="5"/>
  <c r="AS846" i="5"/>
  <c r="AS847" i="5"/>
  <c r="AS848" i="5"/>
  <c r="AS849" i="5"/>
  <c r="AS850" i="5"/>
  <c r="AS851" i="5"/>
  <c r="AS852" i="5"/>
  <c r="AS853" i="5"/>
  <c r="AS854" i="5"/>
  <c r="AS855" i="5"/>
  <c r="AS856" i="5"/>
  <c r="AS857" i="5"/>
  <c r="AS858" i="5"/>
  <c r="AS859" i="5"/>
  <c r="AS860" i="5"/>
  <c r="AS861" i="5"/>
  <c r="AS862" i="5"/>
  <c r="AS863" i="5"/>
  <c r="AS864" i="5"/>
  <c r="AS865" i="5"/>
  <c r="AS866" i="5"/>
  <c r="AS867" i="5"/>
  <c r="AS868" i="5"/>
  <c r="AS869" i="5"/>
  <c r="AS870" i="5"/>
  <c r="AS871" i="5"/>
  <c r="AS872" i="5"/>
  <c r="AS873" i="5"/>
  <c r="AS874" i="5"/>
  <c r="AS875" i="5"/>
  <c r="AS876" i="5"/>
  <c r="AS877" i="5"/>
  <c r="AS878" i="5"/>
  <c r="AS879" i="5"/>
  <c r="AS880" i="5"/>
  <c r="AS881" i="5"/>
  <c r="AS882" i="5"/>
  <c r="AS883" i="5"/>
  <c r="AS884" i="5"/>
  <c r="AS885" i="5"/>
  <c r="AS886" i="5"/>
  <c r="AS887" i="5"/>
  <c r="AS888" i="5"/>
  <c r="AS889" i="5"/>
  <c r="AS890" i="5"/>
  <c r="AS891" i="5"/>
  <c r="AS892" i="5"/>
  <c r="AS893" i="5"/>
  <c r="AS894" i="5"/>
  <c r="AS895" i="5"/>
  <c r="AS896" i="5"/>
  <c r="AS897" i="5"/>
  <c r="AS898" i="5"/>
  <c r="AS899" i="5"/>
  <c r="AS900" i="5"/>
  <c r="AS901" i="5"/>
  <c r="AS902" i="5"/>
  <c r="AS903" i="5"/>
  <c r="AS904" i="5"/>
  <c r="AS905" i="5"/>
  <c r="AS906" i="5"/>
  <c r="AS907" i="5"/>
  <c r="AS908" i="5"/>
  <c r="AS909" i="5"/>
  <c r="AS910" i="5"/>
  <c r="AS911" i="5"/>
  <c r="AS912" i="5"/>
  <c r="AS913" i="5"/>
  <c r="AS914" i="5"/>
  <c r="AS915" i="5"/>
  <c r="AS916" i="5"/>
  <c r="AS917" i="5"/>
  <c r="AS918" i="5"/>
  <c r="AS919" i="5"/>
  <c r="AS920" i="5"/>
  <c r="AS921" i="5"/>
  <c r="AS922" i="5"/>
  <c r="AS923" i="5"/>
  <c r="AS924" i="5"/>
  <c r="AS925" i="5"/>
  <c r="AS926" i="5"/>
  <c r="AS927" i="5"/>
  <c r="AS928" i="5"/>
  <c r="AS929" i="5"/>
  <c r="AS930" i="5"/>
  <c r="AS931" i="5"/>
  <c r="AS932" i="5"/>
  <c r="AS933" i="5"/>
  <c r="AS934" i="5"/>
  <c r="AS935" i="5"/>
  <c r="AS936" i="5"/>
  <c r="AS937" i="5"/>
  <c r="AS938" i="5"/>
  <c r="AS939" i="5"/>
  <c r="AS940" i="5"/>
  <c r="AS941" i="5"/>
  <c r="AS942" i="5"/>
  <c r="AS943" i="5"/>
  <c r="AS944" i="5"/>
  <c r="AS945" i="5"/>
  <c r="AS946" i="5"/>
  <c r="AS947" i="5"/>
  <c r="AS948" i="5"/>
  <c r="AS949" i="5"/>
  <c r="AS950" i="5"/>
  <c r="AS951" i="5"/>
  <c r="AS952" i="5"/>
  <c r="AS953" i="5"/>
  <c r="AS954" i="5"/>
  <c r="AS955" i="5"/>
  <c r="AS956" i="5"/>
  <c r="AS957" i="5"/>
  <c r="AS958" i="5"/>
  <c r="AS959" i="5"/>
  <c r="AS960" i="5"/>
  <c r="AS961" i="5"/>
  <c r="AS962" i="5"/>
  <c r="AS963" i="5"/>
  <c r="AS964" i="5"/>
  <c r="AS965" i="5"/>
  <c r="AS966" i="5"/>
  <c r="AS967" i="5"/>
  <c r="AS968" i="5"/>
  <c r="AS969" i="5"/>
  <c r="AS970" i="5"/>
  <c r="AS971" i="5"/>
  <c r="AS972" i="5"/>
  <c r="AS973" i="5"/>
  <c r="AS974" i="5"/>
  <c r="AS975" i="5"/>
  <c r="AS976" i="5"/>
  <c r="AS977" i="5"/>
  <c r="AS978" i="5"/>
  <c r="AS979" i="5"/>
  <c r="AS980" i="5"/>
  <c r="AS981" i="5"/>
  <c r="AS982" i="5"/>
  <c r="AS983" i="5"/>
  <c r="AS984" i="5"/>
  <c r="AS985" i="5"/>
  <c r="AS986" i="5"/>
  <c r="AS987" i="5"/>
  <c r="AS988" i="5"/>
  <c r="AS989" i="5"/>
  <c r="AS990" i="5"/>
  <c r="AS991" i="5"/>
  <c r="AS992" i="5"/>
  <c r="AS993" i="5"/>
  <c r="AS994" i="5"/>
  <c r="AS995" i="5"/>
  <c r="AS996" i="5"/>
  <c r="AS997" i="5"/>
  <c r="AS998" i="5"/>
  <c r="AS999" i="5"/>
  <c r="AS1000" i="5"/>
  <c r="AS1001" i="5"/>
  <c r="AS1002" i="5"/>
  <c r="AS1003" i="5"/>
  <c r="AS1004" i="5"/>
  <c r="AS1005" i="5"/>
  <c r="AS1006" i="5"/>
  <c r="AS1007" i="5"/>
  <c r="AS1008" i="5"/>
  <c r="AS1009" i="5"/>
  <c r="AS1010" i="5"/>
  <c r="AS1011" i="5"/>
  <c r="AS1012" i="5"/>
  <c r="AS1013" i="5"/>
  <c r="AS1014" i="5"/>
  <c r="AS1015" i="5"/>
  <c r="AS1016" i="5"/>
  <c r="AS1017" i="5"/>
  <c r="AS1018" i="5"/>
  <c r="AS1019" i="5"/>
  <c r="AS1020" i="5"/>
  <c r="AS1021" i="5"/>
  <c r="AS1022" i="5"/>
  <c r="AS1023" i="5"/>
  <c r="AS1024" i="5"/>
  <c r="AS1025" i="5"/>
  <c r="AS1026" i="5"/>
  <c r="AS1027" i="5"/>
  <c r="AS1028" i="5"/>
  <c r="AS1029" i="5"/>
  <c r="AS1030" i="5"/>
  <c r="AS1031" i="5"/>
  <c r="AS1032" i="5"/>
  <c r="AS1033" i="5"/>
  <c r="AS1034" i="5"/>
  <c r="AS1035" i="5"/>
  <c r="AS1036" i="5"/>
  <c r="AS1037" i="5"/>
  <c r="AS1038" i="5"/>
  <c r="AS1039" i="5"/>
  <c r="AS1040" i="5"/>
  <c r="AS1041" i="5"/>
  <c r="AS1042" i="5"/>
  <c r="AS1043" i="5"/>
  <c r="AS1044" i="5"/>
  <c r="AS1045" i="5"/>
  <c r="AS1046" i="5"/>
  <c r="AS1047" i="5"/>
  <c r="AS1048" i="5"/>
  <c r="AS1049" i="5"/>
  <c r="AS1050" i="5"/>
  <c r="AS1051" i="5"/>
  <c r="AS1052" i="5"/>
  <c r="AS1053" i="5"/>
  <c r="AS1054" i="5"/>
  <c r="AS1055" i="5"/>
  <c r="AS1056" i="5"/>
  <c r="AS1057" i="5"/>
  <c r="AS1058" i="5"/>
  <c r="AS1059" i="5"/>
  <c r="AS1060" i="5"/>
  <c r="AS1061" i="5"/>
  <c r="AS1062" i="5"/>
  <c r="AS1063" i="5"/>
  <c r="AS1064" i="5"/>
  <c r="AS1065" i="5"/>
  <c r="AS1066" i="5"/>
  <c r="AS1067" i="5"/>
  <c r="AS1068" i="5"/>
  <c r="AS1069" i="5"/>
  <c r="AS1070" i="5"/>
  <c r="AS1071" i="5"/>
  <c r="AS1072" i="5"/>
  <c r="AS1073" i="5"/>
  <c r="AS1074" i="5"/>
  <c r="AS1075" i="5"/>
  <c r="AS1076" i="5"/>
  <c r="AS1077" i="5"/>
  <c r="AS1078" i="5"/>
  <c r="AS1079" i="5"/>
  <c r="AS1080" i="5"/>
  <c r="AS1081" i="5"/>
  <c r="AS1082" i="5"/>
  <c r="AS1083" i="5"/>
  <c r="AS1084" i="5"/>
  <c r="AS1085" i="5"/>
  <c r="AS1086" i="5"/>
  <c r="AS1087" i="5"/>
  <c r="AS1088" i="5"/>
  <c r="AS1089" i="5"/>
  <c r="AS1090" i="5"/>
  <c r="AS1091" i="5"/>
  <c r="AS1092" i="5"/>
  <c r="AS1093" i="5"/>
  <c r="AS1094" i="5"/>
  <c r="AS1095" i="5"/>
  <c r="AS1096" i="5"/>
  <c r="AS1097" i="5"/>
  <c r="AS1098" i="5"/>
  <c r="AS1099" i="5"/>
  <c r="AS1100" i="5"/>
  <c r="AS1101" i="5"/>
  <c r="AS1102" i="5"/>
  <c r="AS1103" i="5"/>
  <c r="AS1104" i="5"/>
  <c r="AS1105" i="5"/>
  <c r="AS1106" i="5"/>
  <c r="AS1107" i="5"/>
  <c r="AS1108" i="5"/>
  <c r="AS1109" i="5"/>
  <c r="AS1110" i="5"/>
  <c r="AS1111" i="5"/>
  <c r="AS1112" i="5"/>
  <c r="AS1113" i="5"/>
  <c r="AS1114" i="5"/>
  <c r="AS1115" i="5"/>
  <c r="AS1116" i="5"/>
  <c r="AS1117" i="5"/>
  <c r="AS1118" i="5"/>
  <c r="AS1119" i="5"/>
  <c r="AS1120" i="5"/>
  <c r="AS1121" i="5"/>
  <c r="AS1122" i="5"/>
  <c r="AS1123" i="5"/>
  <c r="AS1124" i="5"/>
  <c r="AS1125" i="5"/>
  <c r="AS1126" i="5"/>
  <c r="AS1127" i="5"/>
  <c r="AS1128" i="5"/>
  <c r="AS1129" i="5"/>
  <c r="AS1130" i="5"/>
  <c r="AS1131" i="5"/>
  <c r="AS1132" i="5"/>
  <c r="AS1133" i="5"/>
  <c r="AS1134" i="5"/>
  <c r="AS1135" i="5"/>
  <c r="AS1136" i="5"/>
  <c r="AS1137" i="5"/>
  <c r="AS1138" i="5"/>
  <c r="AS1139" i="5"/>
  <c r="AS1140" i="5"/>
  <c r="AS1141" i="5"/>
  <c r="AS1142" i="5"/>
  <c r="AS1143" i="5"/>
  <c r="AS1144" i="5"/>
  <c r="AS1145" i="5"/>
  <c r="AS1146" i="5"/>
  <c r="AS1147" i="5"/>
  <c r="AS1148" i="5"/>
  <c r="AS1149" i="5"/>
  <c r="AS1150" i="5"/>
  <c r="AS1151" i="5"/>
  <c r="AS1152" i="5"/>
  <c r="AS1153" i="5"/>
  <c r="AS1154" i="5"/>
  <c r="AS1155" i="5"/>
  <c r="AS1156" i="5"/>
  <c r="AS1157" i="5"/>
  <c r="AS1158" i="5"/>
  <c r="AS1159" i="5"/>
  <c r="AS1160" i="5"/>
  <c r="AS1161" i="5"/>
  <c r="AS1162" i="5"/>
  <c r="AS1163" i="5"/>
  <c r="AS1164" i="5"/>
  <c r="AS1165" i="5"/>
  <c r="AS1166" i="5"/>
  <c r="AS1167" i="5"/>
  <c r="AS1168" i="5"/>
  <c r="AS1169" i="5"/>
  <c r="AS1170" i="5"/>
  <c r="AS1171" i="5"/>
  <c r="AS1172" i="5"/>
  <c r="AS1173" i="5"/>
  <c r="AS1174" i="5"/>
  <c r="AS1175" i="5"/>
  <c r="AS1176" i="5"/>
  <c r="AS1177" i="5"/>
  <c r="AS1178" i="5"/>
  <c r="AS1179" i="5"/>
  <c r="AS1180" i="5"/>
  <c r="AS1181" i="5"/>
  <c r="AS1182" i="5"/>
  <c r="AS1183" i="5"/>
  <c r="AS1184" i="5"/>
  <c r="AS1185" i="5"/>
  <c r="AS1186" i="5"/>
  <c r="AS1187" i="5"/>
  <c r="AS1188" i="5"/>
  <c r="AS1189" i="5"/>
  <c r="AS1190" i="5"/>
  <c r="AS1191" i="5"/>
  <c r="AS1192" i="5"/>
  <c r="AS1193" i="5"/>
  <c r="AS1194" i="5"/>
  <c r="AS1195" i="5"/>
  <c r="AS1196" i="5"/>
  <c r="AS1197" i="5"/>
  <c r="AS1198" i="5"/>
  <c r="AS1199" i="5"/>
  <c r="AS1200" i="5"/>
  <c r="AS1201" i="5"/>
  <c r="AS1202" i="5"/>
  <c r="AS1203" i="5"/>
  <c r="AS1204" i="5"/>
  <c r="AS1205" i="5"/>
  <c r="AS1206" i="5"/>
  <c r="AS1207" i="5"/>
  <c r="AS1208" i="5"/>
  <c r="AS1209" i="5"/>
  <c r="AS1210" i="5"/>
  <c r="AS1211" i="5"/>
  <c r="AS1212" i="5"/>
  <c r="AS1213" i="5"/>
  <c r="AS1214" i="5"/>
  <c r="AS1215" i="5"/>
  <c r="AS1216" i="5"/>
  <c r="AS1217" i="5"/>
  <c r="AS1218" i="5"/>
  <c r="AS1219" i="5"/>
  <c r="AS1220" i="5"/>
  <c r="AS1221" i="5"/>
  <c r="AS1222" i="5"/>
  <c r="AS1223" i="5"/>
  <c r="AS1224" i="5"/>
  <c r="AS1225" i="5"/>
  <c r="AS1226" i="5"/>
  <c r="AS1227" i="5"/>
  <c r="AS1228" i="5"/>
  <c r="AS1229" i="5"/>
  <c r="AS1230" i="5"/>
  <c r="AS1231" i="5"/>
  <c r="AS1232" i="5"/>
  <c r="AS1233" i="5"/>
  <c r="AS1234" i="5"/>
  <c r="AS1235" i="5"/>
  <c r="AS1236" i="5"/>
  <c r="AS1237" i="5"/>
  <c r="AS1238" i="5"/>
  <c r="AS1239" i="5"/>
  <c r="AS1240" i="5"/>
  <c r="AS1241" i="5"/>
  <c r="AS1242" i="5"/>
  <c r="AS1243" i="5"/>
  <c r="AS1244" i="5"/>
  <c r="AS1245" i="5"/>
  <c r="AS1246" i="5"/>
  <c r="AS1247" i="5"/>
  <c r="AS1248" i="5"/>
  <c r="AS1249" i="5"/>
  <c r="AS1250" i="5"/>
  <c r="AS1251" i="5"/>
  <c r="AS1252" i="5"/>
  <c r="AS1253" i="5"/>
  <c r="AS1254" i="5"/>
  <c r="AS1255" i="5"/>
  <c r="AS1256" i="5"/>
  <c r="AS1257" i="5"/>
  <c r="AS1258" i="5"/>
  <c r="AS1259" i="5"/>
  <c r="AS1260" i="5"/>
  <c r="AS1261" i="5"/>
  <c r="AS1262" i="5"/>
  <c r="AS1263" i="5"/>
  <c r="AS1264" i="5"/>
  <c r="AS1265" i="5"/>
  <c r="AS1266" i="5"/>
  <c r="AS1267" i="5"/>
  <c r="AS1268" i="5"/>
  <c r="AS1269" i="5"/>
  <c r="AS1270" i="5"/>
  <c r="AS1271" i="5"/>
  <c r="AS1272" i="5"/>
  <c r="AS1273" i="5"/>
  <c r="AS1274" i="5"/>
  <c r="AS1275" i="5"/>
  <c r="AS1276" i="5"/>
  <c r="AS1277" i="5"/>
  <c r="AS1278" i="5"/>
  <c r="AS1279" i="5"/>
  <c r="AS1280" i="5"/>
  <c r="AS1281" i="5"/>
  <c r="AS1282" i="5"/>
  <c r="AS1283" i="5"/>
  <c r="AS1284" i="5"/>
  <c r="AS1285" i="5"/>
  <c r="AS1286" i="5"/>
  <c r="AS1287" i="5"/>
  <c r="AS1288" i="5"/>
  <c r="AS1289" i="5"/>
  <c r="AS1290" i="5"/>
  <c r="AS1291" i="5"/>
  <c r="AS1292" i="5"/>
  <c r="AS1293" i="5"/>
  <c r="AS1294" i="5"/>
  <c r="AS1295" i="5"/>
  <c r="AS1296" i="5"/>
  <c r="AS1297" i="5"/>
  <c r="AS1298" i="5"/>
  <c r="AS1299" i="5"/>
  <c r="AS1300" i="5"/>
  <c r="AS1301" i="5"/>
  <c r="AS1302" i="5"/>
  <c r="AS1303" i="5"/>
  <c r="AS1304" i="5"/>
  <c r="AS1305" i="5"/>
  <c r="AS1306" i="5"/>
  <c r="AS1307" i="5"/>
  <c r="AS1308" i="5"/>
  <c r="AS1309" i="5"/>
  <c r="AS1310" i="5"/>
  <c r="AS1311" i="5"/>
  <c r="AS1312" i="5"/>
  <c r="AS1313" i="5"/>
  <c r="AS1314" i="5"/>
  <c r="AS1315" i="5"/>
  <c r="AS1316" i="5"/>
  <c r="AS1317" i="5"/>
  <c r="AS1318" i="5"/>
  <c r="AS1319" i="5"/>
  <c r="AS1320" i="5"/>
  <c r="AS1321" i="5"/>
  <c r="AS1322" i="5"/>
  <c r="AS1323" i="5"/>
  <c r="AS1324" i="5"/>
  <c r="AS1325" i="5"/>
  <c r="AS1326" i="5"/>
  <c r="AS1327" i="5"/>
  <c r="AS1328" i="5"/>
  <c r="AS1329" i="5"/>
  <c r="AS1330" i="5"/>
  <c r="AS1331" i="5"/>
  <c r="AS1332" i="5"/>
  <c r="AS1333" i="5"/>
  <c r="AS1334" i="5"/>
  <c r="AS1335" i="5"/>
  <c r="AS1336" i="5"/>
  <c r="AS1337" i="5"/>
  <c r="AS1338" i="5"/>
  <c r="AS1339" i="5"/>
  <c r="AS1340" i="5"/>
  <c r="AS1341" i="5"/>
  <c r="AS1342" i="5"/>
  <c r="AS1343" i="5"/>
  <c r="AS1344" i="5"/>
  <c r="AS1345" i="5"/>
  <c r="AS1346" i="5"/>
  <c r="AS1347" i="5"/>
  <c r="AS1348" i="5"/>
  <c r="AS1349" i="5"/>
  <c r="AS1350" i="5"/>
  <c r="AS1351" i="5"/>
  <c r="AS1352" i="5"/>
  <c r="AS1353" i="5"/>
  <c r="AS1354" i="5"/>
  <c r="AS1355" i="5"/>
  <c r="AS1356" i="5"/>
  <c r="AS1357" i="5"/>
  <c r="AS1358" i="5"/>
  <c r="AS1359" i="5"/>
  <c r="AS1360" i="5"/>
  <c r="AS1361" i="5"/>
  <c r="AS1362" i="5"/>
  <c r="AS1363" i="5"/>
  <c r="AS1364" i="5"/>
  <c r="AS1365" i="5"/>
  <c r="AS1366" i="5"/>
  <c r="AS1367" i="5"/>
  <c r="AS1368" i="5"/>
  <c r="AS1369" i="5"/>
  <c r="AS1370" i="5"/>
  <c r="AS1371" i="5"/>
  <c r="AS1372" i="5"/>
  <c r="AS1373" i="5"/>
  <c r="AS1374" i="5"/>
  <c r="AS1375" i="5"/>
  <c r="AS1376" i="5"/>
  <c r="AS1377" i="5"/>
  <c r="AS1378" i="5"/>
  <c r="AS3" i="5"/>
  <c r="AS4" i="5"/>
  <c r="AS5" i="5"/>
  <c r="AS6" i="5"/>
  <c r="AS7" i="5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" i="5"/>
  <c r="F42" i="24"/>
  <c r="G42" i="24" s="1"/>
  <c r="G41" i="24"/>
  <c r="G40" i="24"/>
  <c r="G39" i="24"/>
  <c r="B39" i="24"/>
  <c r="C39" i="24" s="1"/>
  <c r="G38" i="24"/>
  <c r="C38" i="24"/>
  <c r="G37" i="24"/>
  <c r="C37" i="24"/>
  <c r="G36" i="24"/>
  <c r="C36" i="24"/>
  <c r="G35" i="24"/>
  <c r="C35" i="24"/>
  <c r="G34" i="24"/>
  <c r="C34" i="24"/>
  <c r="G33" i="24"/>
  <c r="C33" i="24"/>
  <c r="G32" i="24"/>
  <c r="C32" i="24"/>
  <c r="G31" i="24"/>
  <c r="C31" i="24"/>
  <c r="G30" i="24"/>
  <c r="C30" i="24"/>
  <c r="G29" i="24"/>
  <c r="C29" i="24"/>
  <c r="G28" i="24"/>
  <c r="C28" i="24"/>
  <c r="G27" i="24"/>
  <c r="C27" i="24"/>
  <c r="G26" i="24"/>
  <c r="C26" i="24"/>
  <c r="G25" i="24"/>
  <c r="C25" i="24"/>
  <c r="G24" i="24"/>
  <c r="C24" i="24"/>
  <c r="G23" i="24"/>
  <c r="C23" i="24"/>
  <c r="G22" i="24"/>
  <c r="C22" i="24"/>
  <c r="G21" i="24"/>
  <c r="C21" i="24"/>
  <c r="G20" i="24"/>
  <c r="C20" i="24"/>
  <c r="G19" i="24"/>
  <c r="C19" i="24"/>
  <c r="G18" i="24"/>
  <c r="C18" i="24"/>
  <c r="G17" i="24"/>
  <c r="C17" i="24"/>
  <c r="G16" i="24"/>
  <c r="C16" i="24"/>
  <c r="G15" i="24"/>
  <c r="C15" i="24"/>
  <c r="G14" i="24"/>
  <c r="C14" i="24"/>
  <c r="G13" i="24"/>
  <c r="C13" i="24"/>
  <c r="G12" i="24"/>
  <c r="C12" i="24"/>
  <c r="G11" i="24"/>
  <c r="C11" i="24"/>
  <c r="G10" i="24"/>
  <c r="C10" i="24"/>
  <c r="G9" i="24"/>
  <c r="C9" i="24"/>
  <c r="G8" i="24"/>
  <c r="C8" i="24"/>
  <c r="G7" i="24"/>
  <c r="C7" i="24"/>
  <c r="G6" i="24"/>
  <c r="C6" i="24"/>
  <c r="C5" i="24"/>
  <c r="C4" i="24"/>
  <c r="C3" i="24"/>
  <c r="E36" i="16"/>
  <c r="A36" i="16"/>
  <c r="E35" i="16"/>
  <c r="A35" i="16"/>
  <c r="E34" i="16"/>
  <c r="A34" i="16"/>
  <c r="E32" i="16"/>
  <c r="A32" i="16"/>
  <c r="E31" i="16"/>
  <c r="A31" i="16"/>
  <c r="E30" i="16"/>
  <c r="A30" i="16"/>
  <c r="E29" i="16"/>
  <c r="A29" i="16"/>
  <c r="E28" i="16"/>
  <c r="A28" i="16"/>
  <c r="E26" i="16"/>
  <c r="A26" i="16"/>
  <c r="E25" i="16"/>
  <c r="A25" i="16"/>
  <c r="E24" i="16"/>
  <c r="A24" i="16"/>
  <c r="E23" i="16"/>
  <c r="A23" i="16"/>
  <c r="E22" i="16"/>
  <c r="A22" i="16"/>
  <c r="E20" i="16"/>
  <c r="A20" i="16"/>
  <c r="E19" i="16"/>
  <c r="A19" i="16"/>
  <c r="E18" i="16"/>
  <c r="A18" i="16"/>
  <c r="E16" i="16"/>
  <c r="A16" i="16"/>
  <c r="E15" i="16"/>
  <c r="A15" i="16"/>
  <c r="E14" i="16"/>
  <c r="A14" i="16"/>
  <c r="E13" i="16"/>
  <c r="A13" i="16"/>
  <c r="E11" i="16"/>
  <c r="A11" i="16"/>
  <c r="E10" i="16"/>
  <c r="A10" i="16"/>
  <c r="E9" i="16"/>
  <c r="A9" i="16"/>
  <c r="E8" i="16"/>
  <c r="A8" i="16"/>
  <c r="E7" i="16"/>
  <c r="A7" i="16"/>
  <c r="E6" i="16"/>
  <c r="A6" i="16"/>
  <c r="E4" i="16"/>
  <c r="A4" i="16"/>
  <c r="E3" i="16"/>
  <c r="A3" i="16"/>
  <c r="E2" i="16"/>
  <c r="A2" i="16"/>
  <c r="E1" i="16"/>
  <c r="A1" i="16"/>
  <c r="F51" i="9"/>
  <c r="F50" i="9"/>
  <c r="F49" i="9"/>
  <c r="F36" i="9"/>
  <c r="F35" i="9"/>
  <c r="F34" i="9"/>
  <c r="F33" i="9"/>
  <c r="F32" i="9"/>
  <c r="F14" i="7"/>
  <c r="A11" i="7"/>
  <c r="G8" i="7"/>
  <c r="F8" i="7"/>
  <c r="C8" i="7"/>
  <c r="A8" i="7"/>
  <c r="G5" i="7"/>
  <c r="F5" i="7"/>
  <c r="E5" i="7"/>
  <c r="D5" i="7"/>
  <c r="B5" i="7"/>
  <c r="A5" i="7"/>
  <c r="G2" i="7"/>
  <c r="F2" i="7"/>
  <c r="E2" i="7"/>
  <c r="D2" i="7"/>
  <c r="B2" i="7"/>
  <c r="A2" i="7"/>
  <c r="E2" i="18"/>
  <c r="E2" i="20"/>
  <c r="B63" i="13"/>
  <c r="E62" i="13"/>
  <c r="E61" i="13"/>
  <c r="E60" i="13"/>
  <c r="E58" i="13"/>
  <c r="E57" i="13"/>
  <c r="E56" i="13"/>
  <c r="E55" i="13"/>
  <c r="E54" i="13"/>
  <c r="E52" i="13"/>
  <c r="E51" i="13"/>
  <c r="E50" i="13"/>
  <c r="E49" i="13"/>
  <c r="E48" i="13"/>
  <c r="E46" i="13"/>
  <c r="E45" i="13"/>
  <c r="E44" i="13"/>
  <c r="E42" i="13"/>
  <c r="E41" i="13"/>
  <c r="E40" i="13"/>
  <c r="E39" i="13"/>
  <c r="E37" i="13"/>
  <c r="E36" i="13"/>
  <c r="E35" i="13"/>
  <c r="E34" i="13"/>
  <c r="E33" i="13"/>
  <c r="E32" i="13"/>
  <c r="E31" i="13"/>
  <c r="E29" i="13"/>
  <c r="E28" i="13"/>
  <c r="E27" i="13"/>
  <c r="E26" i="13"/>
  <c r="E24" i="13"/>
  <c r="E23" i="13"/>
  <c r="E22" i="13"/>
  <c r="E21" i="13"/>
  <c r="E20" i="13"/>
  <c r="B59" i="8"/>
  <c r="E58" i="8"/>
  <c r="A58" i="8"/>
  <c r="E57" i="8"/>
  <c r="A57" i="8"/>
  <c r="E56" i="8"/>
  <c r="A56" i="8"/>
  <c r="E54" i="8"/>
  <c r="A54" i="8"/>
  <c r="E53" i="8"/>
  <c r="A53" i="8"/>
  <c r="E52" i="8"/>
  <c r="A52" i="8"/>
  <c r="E51" i="8"/>
  <c r="A51" i="8"/>
  <c r="E50" i="8"/>
  <c r="A50" i="8"/>
  <c r="E48" i="8"/>
  <c r="A48" i="8"/>
  <c r="E47" i="8"/>
  <c r="A47" i="8"/>
  <c r="E46" i="8"/>
  <c r="A46" i="8"/>
  <c r="E45" i="8"/>
  <c r="A45" i="8"/>
  <c r="E44" i="8"/>
  <c r="A44" i="8"/>
  <c r="E42" i="8"/>
  <c r="E41" i="8"/>
  <c r="A41" i="8"/>
  <c r="E40" i="8"/>
  <c r="A40" i="8"/>
  <c r="E38" i="8"/>
  <c r="A38" i="8"/>
  <c r="E37" i="8"/>
  <c r="A37" i="8"/>
  <c r="E36" i="8"/>
  <c r="A36" i="8"/>
  <c r="E35" i="8"/>
  <c r="E33" i="8"/>
  <c r="A33" i="8"/>
  <c r="E32" i="8"/>
  <c r="A32" i="8"/>
  <c r="E31" i="8"/>
  <c r="A31" i="8"/>
  <c r="E30" i="8"/>
  <c r="E29" i="8"/>
  <c r="A29" i="8"/>
  <c r="E28" i="8"/>
  <c r="E27" i="8"/>
  <c r="E25" i="8"/>
  <c r="E24" i="8"/>
  <c r="E23" i="8"/>
  <c r="E22" i="8"/>
  <c r="E20" i="8"/>
  <c r="E19" i="8"/>
  <c r="E18" i="8"/>
  <c r="E17" i="8"/>
  <c r="E16" i="8"/>
  <c r="AS2011" i="5"/>
  <c r="AS2010" i="5"/>
  <c r="AS2009" i="5"/>
  <c r="AS2008" i="5"/>
  <c r="AS2007" i="5"/>
  <c r="AS2006" i="5"/>
  <c r="AS2005" i="5"/>
  <c r="AS2004" i="5"/>
  <c r="AS2003" i="5"/>
  <c r="AS2002" i="5"/>
  <c r="AS2001" i="5"/>
  <c r="AS2000" i="5"/>
  <c r="AS1999" i="5"/>
  <c r="AS1998" i="5"/>
  <c r="AS1997" i="5"/>
  <c r="AS1996" i="5"/>
  <c r="AS1995" i="5"/>
  <c r="AS1994" i="5"/>
  <c r="AS1993" i="5"/>
  <c r="AS1992" i="5"/>
  <c r="AS1991" i="5"/>
  <c r="AS1990" i="5"/>
  <c r="AS1989" i="5"/>
  <c r="AS1988" i="5"/>
  <c r="AS1987" i="5"/>
  <c r="AS1986" i="5"/>
  <c r="AS1985" i="5"/>
  <c r="AS1984" i="5"/>
  <c r="AS1983" i="5"/>
  <c r="AS1982" i="5"/>
  <c r="AS1981" i="5"/>
  <c r="AS1980" i="5"/>
  <c r="AS1979" i="5"/>
  <c r="AS1978" i="5"/>
  <c r="AS1977" i="5"/>
  <c r="AS1976" i="5"/>
  <c r="AS1975" i="5"/>
  <c r="AS1974" i="5"/>
  <c r="AS1973" i="5"/>
  <c r="AS1972" i="5"/>
  <c r="AS1971" i="5"/>
  <c r="AS1970" i="5"/>
  <c r="AS1969" i="5"/>
  <c r="AS1968" i="5"/>
  <c r="AS1967" i="5"/>
  <c r="AS1966" i="5"/>
  <c r="AS1965" i="5"/>
  <c r="AS1964" i="5"/>
  <c r="AS1963" i="5"/>
  <c r="AS1962" i="5"/>
  <c r="AS1961" i="5"/>
  <c r="AS1960" i="5"/>
  <c r="AS1959" i="5"/>
  <c r="AS1958" i="5"/>
  <c r="AS1957" i="5"/>
  <c r="AS1956" i="5"/>
  <c r="AS1955" i="5"/>
  <c r="AS1954" i="5"/>
  <c r="AS1953" i="5"/>
  <c r="AS1952" i="5"/>
  <c r="AS1951" i="5"/>
  <c r="AS1950" i="5"/>
  <c r="AS1949" i="5"/>
  <c r="AS1948" i="5"/>
  <c r="AS1947" i="5"/>
  <c r="AS1946" i="5"/>
  <c r="AS1945" i="5"/>
  <c r="AS1944" i="5"/>
  <c r="AS1943" i="5"/>
  <c r="AS1942" i="5"/>
  <c r="AS1941" i="5"/>
  <c r="AS1940" i="5"/>
  <c r="AS1939" i="5"/>
  <c r="AS1938" i="5"/>
  <c r="AS1937" i="5"/>
  <c r="AS1936" i="5"/>
  <c r="AS1935" i="5"/>
  <c r="AS1934" i="5"/>
  <c r="AS1933" i="5"/>
  <c r="AS1932" i="5"/>
  <c r="AS1931" i="5"/>
  <c r="AS1930" i="5"/>
  <c r="AS1929" i="5"/>
  <c r="AS1928" i="5"/>
  <c r="AS1927" i="5"/>
  <c r="AS1926" i="5"/>
  <c r="AS1925" i="5"/>
  <c r="AS1924" i="5"/>
  <c r="AS1923" i="5"/>
  <c r="AS1922" i="5"/>
  <c r="AS1921" i="5"/>
  <c r="AS1920" i="5"/>
  <c r="AS1919" i="5"/>
  <c r="AS1918" i="5"/>
  <c r="AS1917" i="5"/>
  <c r="AS1916" i="5"/>
  <c r="AS1915" i="5"/>
  <c r="AS1914" i="5"/>
  <c r="AS1913" i="5"/>
  <c r="AS1912" i="5"/>
  <c r="AS1911" i="5"/>
  <c r="AS1910" i="5"/>
  <c r="AS1909" i="5"/>
  <c r="AS1908" i="5"/>
  <c r="AS1907" i="5"/>
  <c r="AS1906" i="5"/>
  <c r="AS1905" i="5"/>
  <c r="AS1904" i="5"/>
  <c r="AS1903" i="5"/>
  <c r="AS1902" i="5"/>
  <c r="AS1901" i="5"/>
  <c r="AS1900" i="5"/>
  <c r="AS1899" i="5"/>
  <c r="AS1898" i="5"/>
  <c r="AS1897" i="5"/>
  <c r="AS1896" i="5"/>
  <c r="AS1895" i="5"/>
  <c r="AS1894" i="5"/>
  <c r="AS1893" i="5"/>
  <c r="AS1892" i="5"/>
  <c r="AS1891" i="5"/>
  <c r="AS1890" i="5"/>
  <c r="AS1889" i="5"/>
  <c r="AS1888" i="5"/>
  <c r="AS1887" i="5"/>
  <c r="AS1886" i="5"/>
  <c r="AS1885" i="5"/>
  <c r="AS1884" i="5"/>
  <c r="AS1883" i="5"/>
  <c r="AS1882" i="5"/>
  <c r="AS1881" i="5"/>
  <c r="AS1880" i="5"/>
  <c r="AS1879" i="5"/>
  <c r="AS1878" i="5"/>
  <c r="AS1877" i="5"/>
  <c r="AS1876" i="5"/>
  <c r="AS1875" i="5"/>
  <c r="AS1874" i="5"/>
  <c r="AS1873" i="5"/>
  <c r="AS1872" i="5"/>
  <c r="AS1871" i="5"/>
  <c r="AS1870" i="5"/>
  <c r="AS1869" i="5"/>
  <c r="AS1868" i="5"/>
  <c r="AS1867" i="5"/>
  <c r="AS1866" i="5"/>
  <c r="AS1865" i="5"/>
  <c r="AS1864" i="5"/>
  <c r="AS1863" i="5"/>
  <c r="AS1862" i="5"/>
  <c r="AS1861" i="5"/>
  <c r="AS1860" i="5"/>
  <c r="AS1859" i="5"/>
  <c r="AS1858" i="5"/>
  <c r="AS1857" i="5"/>
  <c r="AS1856" i="5"/>
  <c r="AS1855" i="5"/>
  <c r="AS1854" i="5"/>
  <c r="AS1853" i="5"/>
  <c r="AS1852" i="5"/>
  <c r="AS1851" i="5"/>
  <c r="AS1850" i="5"/>
  <c r="AS1849" i="5"/>
  <c r="AS1848" i="5"/>
  <c r="AS1847" i="5"/>
  <c r="AS1846" i="5"/>
  <c r="AS1845" i="5"/>
  <c r="AS1844" i="5"/>
  <c r="AS1843" i="5"/>
  <c r="AS1842" i="5"/>
  <c r="AS1841" i="5"/>
  <c r="AS1840" i="5"/>
  <c r="AS1839" i="5"/>
  <c r="AS1838" i="5"/>
  <c r="AS1837" i="5"/>
  <c r="AS1836" i="5"/>
  <c r="AS1835" i="5"/>
  <c r="AS1834" i="5"/>
  <c r="AS1833" i="5"/>
  <c r="AS1832" i="5"/>
  <c r="AS1831" i="5"/>
  <c r="AS1830" i="5"/>
  <c r="AS1829" i="5"/>
  <c r="AS1828" i="5"/>
  <c r="AS1827" i="5"/>
  <c r="AS1826" i="5"/>
  <c r="AS1825" i="5"/>
  <c r="AS1824" i="5"/>
  <c r="AS1823" i="5"/>
  <c r="AS1822" i="5"/>
  <c r="AS1821" i="5"/>
  <c r="AS1820" i="5"/>
  <c r="AS1819" i="5"/>
  <c r="AS1818" i="5"/>
  <c r="AS1817" i="5"/>
  <c r="AS1816" i="5"/>
  <c r="AS1815" i="5"/>
  <c r="AS1814" i="5"/>
  <c r="AS1813" i="5"/>
  <c r="AS1812" i="5"/>
  <c r="AS1811" i="5"/>
  <c r="AS1810" i="5"/>
  <c r="AS1809" i="5"/>
  <c r="AS1808" i="5"/>
  <c r="AS1807" i="5"/>
  <c r="AS1806" i="5"/>
  <c r="AS1805" i="5"/>
  <c r="AS1804" i="5"/>
  <c r="AS1803" i="5"/>
  <c r="AS1802" i="5"/>
  <c r="AS1801" i="5"/>
  <c r="AS1800" i="5"/>
  <c r="AS1799" i="5"/>
  <c r="AS1798" i="5"/>
  <c r="AS1797" i="5"/>
  <c r="AS1796" i="5"/>
  <c r="AS1795" i="5"/>
  <c r="AS1794" i="5"/>
  <c r="AS1793" i="5"/>
  <c r="AS1792" i="5"/>
  <c r="AS1791" i="5"/>
  <c r="AS1790" i="5"/>
  <c r="AS1789" i="5"/>
  <c r="AS1788" i="5"/>
  <c r="AS1787" i="5"/>
  <c r="AS1786" i="5"/>
  <c r="AS1785" i="5"/>
  <c r="AS1784" i="5"/>
  <c r="AS1783" i="5"/>
  <c r="AS1782" i="5"/>
  <c r="AS1781" i="5"/>
  <c r="AS1780" i="5"/>
  <c r="AS1779" i="5"/>
  <c r="AS1778" i="5"/>
  <c r="AS1777" i="5"/>
  <c r="AS1776" i="5"/>
  <c r="AS1775" i="5"/>
  <c r="AS1774" i="5"/>
  <c r="AS1773" i="5"/>
  <c r="AS1772" i="5"/>
  <c r="AS1771" i="5"/>
  <c r="AS1770" i="5"/>
  <c r="AS1769" i="5"/>
  <c r="AS1768" i="5"/>
  <c r="AS1767" i="5"/>
  <c r="AS1766" i="5"/>
  <c r="AS1765" i="5"/>
  <c r="AS1764" i="5"/>
  <c r="AS1763" i="5"/>
  <c r="AS1762" i="5"/>
  <c r="AS1761" i="5"/>
  <c r="AS1760" i="5"/>
  <c r="AS1759" i="5"/>
  <c r="AS1758" i="5"/>
  <c r="AS1757" i="5"/>
  <c r="AS1756" i="5"/>
  <c r="AS1755" i="5"/>
  <c r="AS1754" i="5"/>
  <c r="AS1753" i="5"/>
  <c r="AS1752" i="5"/>
  <c r="AS1751" i="5"/>
  <c r="AS1750" i="5"/>
  <c r="AS1749" i="5"/>
  <c r="AS1748" i="5"/>
  <c r="AS1747" i="5"/>
  <c r="AS1746" i="5"/>
  <c r="AS1745" i="5"/>
  <c r="AS1744" i="5"/>
  <c r="AS1743" i="5"/>
  <c r="AS1742" i="5"/>
  <c r="AS1741" i="5"/>
  <c r="AS1740" i="5"/>
  <c r="AS1739" i="5"/>
  <c r="AS1738" i="5"/>
  <c r="AS1737" i="5"/>
  <c r="AS1736" i="5"/>
  <c r="AS1735" i="5"/>
  <c r="AS1734" i="5"/>
  <c r="AS1733" i="5"/>
  <c r="AS1732" i="5"/>
  <c r="AS1731" i="5"/>
  <c r="AS1730" i="5"/>
  <c r="AS1729" i="5"/>
  <c r="AS1728" i="5"/>
  <c r="AS1727" i="5"/>
  <c r="AS1726" i="5"/>
  <c r="AS1725" i="5"/>
  <c r="AS1724" i="5"/>
  <c r="AS1723" i="5"/>
  <c r="AS1722" i="5"/>
  <c r="AS1721" i="5"/>
  <c r="AS1720" i="5"/>
  <c r="AS1719" i="5"/>
  <c r="AS1718" i="5"/>
  <c r="AS1717" i="5"/>
  <c r="AS1716" i="5"/>
  <c r="AS1715" i="5"/>
  <c r="AS1714" i="5"/>
  <c r="AS1713" i="5"/>
  <c r="AS1712" i="5"/>
  <c r="AS1711" i="5"/>
  <c r="AS1710" i="5"/>
  <c r="AS1709" i="5"/>
  <c r="AS1708" i="5"/>
  <c r="AS1707" i="5"/>
  <c r="AS1706" i="5"/>
  <c r="AS1705" i="5"/>
  <c r="AS1704" i="5"/>
  <c r="AS1703" i="5"/>
  <c r="AS1702" i="5"/>
  <c r="AS1701" i="5"/>
  <c r="AS1700" i="5"/>
  <c r="AS1699" i="5"/>
  <c r="AS1698" i="5"/>
  <c r="AS1697" i="5"/>
  <c r="AS1696" i="5"/>
  <c r="AS1695" i="5"/>
  <c r="AS1694" i="5"/>
  <c r="AS1693" i="5"/>
  <c r="AS1692" i="5"/>
  <c r="AS1691" i="5"/>
  <c r="AS1690" i="5"/>
  <c r="AS1689" i="5"/>
  <c r="AS1688" i="5"/>
  <c r="AS1687" i="5"/>
  <c r="AS1686" i="5"/>
  <c r="AS1685" i="5"/>
  <c r="AS1684" i="5"/>
  <c r="AS1683" i="5"/>
  <c r="AS1682" i="5"/>
  <c r="AS1681" i="5"/>
  <c r="AS1680" i="5"/>
  <c r="AS1679" i="5"/>
  <c r="AS1678" i="5"/>
  <c r="AS1677" i="5"/>
  <c r="AS1676" i="5"/>
  <c r="AS1675" i="5"/>
  <c r="AS1674" i="5"/>
  <c r="AS1673" i="5"/>
  <c r="AS1672" i="5"/>
  <c r="AS1671" i="5"/>
  <c r="AS1670" i="5"/>
  <c r="AS1669" i="5"/>
  <c r="AS1668" i="5"/>
  <c r="AS1667" i="5"/>
  <c r="AS1666" i="5"/>
  <c r="AS1665" i="5"/>
  <c r="AS1664" i="5"/>
  <c r="AS1663" i="5"/>
  <c r="AS1662" i="5"/>
  <c r="AS1661" i="5"/>
  <c r="AS1660" i="5"/>
  <c r="AS1659" i="5"/>
  <c r="AS1658" i="5"/>
  <c r="AS1657" i="5"/>
  <c r="AS1656" i="5"/>
  <c r="AS1655" i="5"/>
  <c r="AS1654" i="5"/>
  <c r="AS1653" i="5"/>
  <c r="AS1652" i="5"/>
  <c r="AS1651" i="5"/>
  <c r="AS1650" i="5"/>
  <c r="AS1649" i="5"/>
  <c r="AS1648" i="5"/>
  <c r="AS1647" i="5"/>
  <c r="AS1646" i="5"/>
  <c r="AS1645" i="5"/>
  <c r="AS1644" i="5"/>
  <c r="AS1643" i="5"/>
  <c r="AS1642" i="5"/>
  <c r="AS1641" i="5"/>
  <c r="AS1640" i="5"/>
  <c r="AS1639" i="5"/>
  <c r="AS1638" i="5"/>
  <c r="AS1637" i="5"/>
  <c r="AS1636" i="5"/>
  <c r="AS1635" i="5"/>
  <c r="AS1634" i="5"/>
  <c r="AS1633" i="5"/>
  <c r="AS1632" i="5"/>
  <c r="AS1631" i="5"/>
  <c r="AS1630" i="5"/>
  <c r="AS1629" i="5"/>
  <c r="AS1628" i="5"/>
  <c r="AS1627" i="5"/>
  <c r="AS1626" i="5"/>
  <c r="AS1625" i="5"/>
  <c r="AS1624" i="5"/>
  <c r="AS1623" i="5"/>
  <c r="AS1622" i="5"/>
  <c r="AS1621" i="5"/>
  <c r="AS1620" i="5"/>
  <c r="AS1619" i="5"/>
  <c r="AS1618" i="5"/>
  <c r="AS1617" i="5"/>
  <c r="AS1616" i="5"/>
  <c r="AS1615" i="5"/>
  <c r="AS1614" i="5"/>
  <c r="AS1613" i="5"/>
  <c r="AS1612" i="5"/>
  <c r="AS1611" i="5"/>
  <c r="AS1610" i="5"/>
  <c r="AS1609" i="5"/>
  <c r="AS1608" i="5"/>
  <c r="AS1607" i="5"/>
  <c r="AS1606" i="5"/>
  <c r="AS1605" i="5"/>
  <c r="AS1604" i="5"/>
  <c r="AS1603" i="5"/>
  <c r="AS1602" i="5"/>
  <c r="AS1601" i="5"/>
  <c r="AS1600" i="5"/>
  <c r="AS1599" i="5"/>
  <c r="AS1598" i="5"/>
  <c r="AS1597" i="5"/>
  <c r="AS1596" i="5"/>
  <c r="AS1595" i="5"/>
  <c r="AS1594" i="5"/>
  <c r="AS1593" i="5"/>
  <c r="AS1592" i="5"/>
  <c r="AS1591" i="5"/>
  <c r="AS1590" i="5"/>
  <c r="AS1589" i="5"/>
  <c r="AS1588" i="5"/>
  <c r="AS1587" i="5"/>
  <c r="AS1586" i="5"/>
  <c r="AS1585" i="5"/>
  <c r="AS1584" i="5"/>
  <c r="AS1583" i="5"/>
  <c r="AS1582" i="5"/>
  <c r="AS1581" i="5"/>
  <c r="AS1580" i="5"/>
  <c r="AS1579" i="5"/>
  <c r="AS1578" i="5"/>
  <c r="AS1577" i="5"/>
  <c r="AS1576" i="5"/>
  <c r="AS1575" i="5"/>
  <c r="AS1574" i="5"/>
  <c r="AS1573" i="5"/>
  <c r="AS1572" i="5"/>
  <c r="AS1571" i="5"/>
  <c r="AS1570" i="5"/>
  <c r="AS1569" i="5"/>
  <c r="AS1568" i="5"/>
  <c r="AS1567" i="5"/>
  <c r="AS1566" i="5"/>
  <c r="AS1565" i="5"/>
  <c r="AS1564" i="5"/>
  <c r="AS1563" i="5"/>
  <c r="AS1562" i="5"/>
  <c r="AS1561" i="5"/>
  <c r="AS1560" i="5"/>
  <c r="AS1559" i="5"/>
  <c r="AS1558" i="5"/>
  <c r="AS1557" i="5"/>
  <c r="AS1556" i="5"/>
  <c r="AS1555" i="5"/>
  <c r="AS1554" i="5"/>
  <c r="AS1553" i="5"/>
  <c r="AS1552" i="5"/>
  <c r="AS1551" i="5"/>
  <c r="AS1550" i="5"/>
  <c r="AS1549" i="5"/>
  <c r="AS1548" i="5"/>
  <c r="AS1547" i="5"/>
  <c r="AS1546" i="5"/>
  <c r="AS1545" i="5"/>
  <c r="AS1544" i="5"/>
  <c r="AS1543" i="5"/>
  <c r="AS1542" i="5"/>
  <c r="AS1541" i="5"/>
  <c r="AS1540" i="5"/>
  <c r="AS1539" i="5"/>
  <c r="AS1538" i="5"/>
  <c r="AS1537" i="5"/>
  <c r="AS1536" i="5"/>
  <c r="AS1535" i="5"/>
  <c r="AS1534" i="5"/>
  <c r="AS1533" i="5"/>
  <c r="AS1532" i="5"/>
  <c r="AS1531" i="5"/>
  <c r="AS1530" i="5"/>
  <c r="AS1529" i="5"/>
  <c r="AS1528" i="5"/>
  <c r="AS1527" i="5"/>
  <c r="AS1526" i="5"/>
  <c r="AS1525" i="5"/>
  <c r="AS1524" i="5"/>
  <c r="AS1523" i="5"/>
  <c r="AS1522" i="5"/>
  <c r="AS1521" i="5"/>
  <c r="AS1520" i="5"/>
  <c r="AS1519" i="5"/>
  <c r="AS1518" i="5"/>
  <c r="AS1517" i="5"/>
  <c r="AS1516" i="5"/>
  <c r="AS1515" i="5"/>
  <c r="AS1514" i="5"/>
  <c r="AS1513" i="5"/>
  <c r="AS1512" i="5"/>
  <c r="AS1511" i="5"/>
  <c r="AS1510" i="5"/>
  <c r="AS1509" i="5"/>
  <c r="AS1508" i="5"/>
  <c r="AS1507" i="5"/>
  <c r="AS1506" i="5"/>
  <c r="AS1505" i="5"/>
  <c r="AS1504" i="5"/>
  <c r="AS1503" i="5"/>
  <c r="AS1502" i="5"/>
  <c r="AS1501" i="5"/>
  <c r="AS1500" i="5"/>
  <c r="AS1499" i="5"/>
  <c r="AS1498" i="5"/>
  <c r="AS1497" i="5"/>
  <c r="AS1496" i="5"/>
  <c r="AS1495" i="5"/>
  <c r="AS1494" i="5"/>
  <c r="AS1493" i="5"/>
  <c r="AS1492" i="5"/>
  <c r="AS1491" i="5"/>
  <c r="AS1490" i="5"/>
  <c r="AS1489" i="5"/>
  <c r="AS1488" i="5"/>
  <c r="AS1487" i="5"/>
  <c r="AS1486" i="5"/>
  <c r="AS1485" i="5"/>
  <c r="AS1484" i="5"/>
  <c r="AS1483" i="5"/>
  <c r="AS1482" i="5"/>
  <c r="AS1481" i="5"/>
  <c r="AS1480" i="5"/>
  <c r="AS1479" i="5"/>
  <c r="AS1478" i="5"/>
  <c r="AS1477" i="5"/>
  <c r="AS1476" i="5"/>
  <c r="AS1475" i="5"/>
  <c r="AS1474" i="5"/>
  <c r="AS1473" i="5"/>
  <c r="AS1472" i="5"/>
  <c r="AS1471" i="5"/>
  <c r="AS1470" i="5"/>
  <c r="AS1469" i="5"/>
  <c r="AS1468" i="5"/>
  <c r="AS1467" i="5"/>
  <c r="AS1466" i="5"/>
  <c r="AS1465" i="5"/>
  <c r="AS1464" i="5"/>
  <c r="AS1463" i="5"/>
  <c r="AS1462" i="5"/>
  <c r="AS1461" i="5"/>
  <c r="AS1460" i="5"/>
  <c r="AS1459" i="5"/>
  <c r="AS1458" i="5"/>
  <c r="AS1457" i="5"/>
  <c r="AS1456" i="5"/>
  <c r="AS1455" i="5"/>
  <c r="AS1454" i="5"/>
  <c r="AS1453" i="5"/>
  <c r="AS1452" i="5"/>
  <c r="AS1451" i="5"/>
  <c r="AS1450" i="5"/>
  <c r="AS1449" i="5"/>
  <c r="AS1448" i="5"/>
  <c r="AS1447" i="5"/>
  <c r="AS1446" i="5"/>
  <c r="AS1445" i="5"/>
  <c r="AS1444" i="5"/>
  <c r="AS1443" i="5"/>
  <c r="AS1442" i="5"/>
  <c r="AS1441" i="5"/>
  <c r="AS1440" i="5"/>
  <c r="AS1439" i="5"/>
  <c r="AS1438" i="5"/>
  <c r="AS1437" i="5"/>
  <c r="AS1436" i="5"/>
  <c r="AS1435" i="5"/>
  <c r="AS1434" i="5"/>
  <c r="AS1433" i="5"/>
  <c r="AS1432" i="5"/>
  <c r="AS1431" i="5"/>
  <c r="AS1430" i="5"/>
  <c r="AS1429" i="5"/>
  <c r="AS1428" i="5"/>
  <c r="AS1427" i="5"/>
  <c r="AS1426" i="5"/>
  <c r="AS1425" i="5"/>
  <c r="AS1424" i="5"/>
  <c r="AS1423" i="5"/>
  <c r="AS1422" i="5"/>
  <c r="AS1421" i="5"/>
  <c r="AS1420" i="5"/>
  <c r="AS1419" i="5"/>
  <c r="AS1418" i="5"/>
  <c r="AS1417" i="5"/>
  <c r="AS1416" i="5"/>
  <c r="AS1415" i="5"/>
  <c r="AS1414" i="5"/>
  <c r="AS1413" i="5"/>
  <c r="AS1412" i="5"/>
  <c r="AS1411" i="5"/>
  <c r="AS1410" i="5"/>
  <c r="AS1409" i="5"/>
  <c r="AS1408" i="5"/>
  <c r="AS1407" i="5"/>
  <c r="AS1406" i="5"/>
  <c r="AS1405" i="5"/>
  <c r="AS1404" i="5"/>
  <c r="AS1403" i="5"/>
  <c r="AS1402" i="5"/>
  <c r="AS1401" i="5"/>
  <c r="AS1400" i="5"/>
  <c r="AS1399" i="5"/>
  <c r="AS1398" i="5"/>
  <c r="AS1397" i="5"/>
  <c r="AS1396" i="5"/>
  <c r="AS1395" i="5"/>
  <c r="AS1394" i="5"/>
  <c r="AS1393" i="5"/>
  <c r="AS1392" i="5"/>
  <c r="AS1391" i="5"/>
  <c r="AS1390" i="5"/>
  <c r="AS1389" i="5"/>
  <c r="AS1388" i="5"/>
  <c r="AS1387" i="5"/>
  <c r="AS1386" i="5"/>
  <c r="AS1385" i="5"/>
  <c r="AS1384" i="5"/>
  <c r="AS1383" i="5"/>
  <c r="AS1382" i="5"/>
  <c r="AS1381" i="5"/>
  <c r="AS1380" i="5"/>
  <c r="AS1379" i="5"/>
  <c r="E38" i="6"/>
  <c r="C63" i="13" l="1"/>
  <c r="C59" i="8"/>
</calcChain>
</file>

<file path=xl/sharedStrings.xml><?xml version="1.0" encoding="utf-8"?>
<sst xmlns="http://schemas.openxmlformats.org/spreadsheetml/2006/main" count="2226" uniqueCount="495">
  <si>
    <t>Recursos</t>
  </si>
  <si>
    <t>Preço</t>
  </si>
  <si>
    <t>Fogazza Queijo</t>
  </si>
  <si>
    <t>Nome</t>
  </si>
  <si>
    <t>Salário</t>
  </si>
  <si>
    <t>CPF</t>
  </si>
  <si>
    <t>Data de Nascimento</t>
  </si>
  <si>
    <t>Função</t>
  </si>
  <si>
    <t>Celular</t>
  </si>
  <si>
    <t>E-mail</t>
  </si>
  <si>
    <t>Salgadeiro</t>
  </si>
  <si>
    <t>Fogazza Calabresa</t>
  </si>
  <si>
    <t>Coxinha</t>
  </si>
  <si>
    <t>Bolinho de Carne</t>
  </si>
  <si>
    <t>Kibe</t>
  </si>
  <si>
    <t>Croissants de Queijo</t>
  </si>
  <si>
    <t>Croissants de Presunto e Queijo</t>
  </si>
  <si>
    <t>Croissants de Calabresa</t>
  </si>
  <si>
    <t>Croissants de Frango</t>
  </si>
  <si>
    <t>Esfihas de Carne</t>
  </si>
  <si>
    <t>Esfihas de Queijo</t>
  </si>
  <si>
    <t>Esfihas de Frango</t>
  </si>
  <si>
    <t>Esfihas de Calabresa</t>
  </si>
  <si>
    <t>Salsicha Assada</t>
  </si>
  <si>
    <t>Bauru de Presunto e Queijo</t>
  </si>
  <si>
    <t>Bauru de Frango</t>
  </si>
  <si>
    <t>Bauru de Calabresa</t>
  </si>
  <si>
    <t>Empada de Palmito</t>
  </si>
  <si>
    <t>Empada de Frango</t>
  </si>
  <si>
    <t>Hamburgão de Cheddar</t>
  </si>
  <si>
    <t>Fogazza de Presunto e Queijo</t>
  </si>
  <si>
    <t>Pelado</t>
  </si>
  <si>
    <t>Alex</t>
  </si>
  <si>
    <t>Apelido</t>
  </si>
  <si>
    <t>Carlos</t>
  </si>
  <si>
    <t>Nené</t>
  </si>
  <si>
    <t>Vinícius</t>
  </si>
  <si>
    <t>Paulão</t>
  </si>
  <si>
    <t>Leão</t>
  </si>
  <si>
    <t>Jardel</t>
  </si>
  <si>
    <t>Leonardo</t>
  </si>
  <si>
    <t>Gordinho</t>
  </si>
  <si>
    <t>Marcelo</t>
  </si>
  <si>
    <t>Motorista</t>
  </si>
  <si>
    <t>Motorista Extra</t>
  </si>
  <si>
    <t>TOTAL</t>
  </si>
  <si>
    <t>Nome do Cliente</t>
  </si>
  <si>
    <t>Data</t>
  </si>
  <si>
    <t>Quantidade de Salgado</t>
  </si>
  <si>
    <t>Total R$</t>
  </si>
  <si>
    <t>Fogazza de Frango</t>
  </si>
  <si>
    <t>Enroladinho de Salsicha</t>
  </si>
  <si>
    <t>Hamburgão Cheddar</t>
  </si>
  <si>
    <t>PEDIDO</t>
  </si>
  <si>
    <t>Suzano</t>
  </si>
  <si>
    <t>Risoli de Queijo</t>
  </si>
  <si>
    <t>Risoli de Presunto e Queijo</t>
  </si>
  <si>
    <t>Michele Bandeira</t>
  </si>
  <si>
    <t>Arley</t>
  </si>
  <si>
    <t>Jeferson Arujá</t>
  </si>
  <si>
    <t>Piraporinha</t>
  </si>
  <si>
    <t>Sacomã</t>
  </si>
  <si>
    <t>Enroladinho de Frango</t>
  </si>
  <si>
    <t>Enroladinho de Calabresa</t>
  </si>
  <si>
    <t>Enroladinho de Presunto e Queijo</t>
  </si>
  <si>
    <t>DESCRIÇÃO</t>
  </si>
  <si>
    <t>PREÇO</t>
  </si>
  <si>
    <t>DATA</t>
  </si>
  <si>
    <t>Gasolina</t>
  </si>
  <si>
    <t>REMETENTE</t>
  </si>
  <si>
    <t>DESTINATÁRIO</t>
  </si>
  <si>
    <t>Marcos</t>
  </si>
  <si>
    <t>Café da Manhã da Fábrica</t>
  </si>
  <si>
    <t>Bernardo</t>
  </si>
  <si>
    <t>Caixa Cinza</t>
  </si>
  <si>
    <t>Gema de Ovo 1g</t>
  </si>
  <si>
    <t>Massa</t>
  </si>
  <si>
    <t>Custo do Fermento</t>
  </si>
  <si>
    <t>Custo do Açúcar</t>
  </si>
  <si>
    <t>Custo da Massa</t>
  </si>
  <si>
    <t>Custo Médio de Cada Salgado por Massa</t>
  </si>
  <si>
    <t>Café da Manha da Fábrica</t>
  </si>
  <si>
    <t>O dinheiro ficou debaixo da caixa cinza para o dia 27</t>
  </si>
  <si>
    <t>Hamburguer 56g</t>
  </si>
  <si>
    <t>Presunto e Queijo 50g</t>
  </si>
  <si>
    <t>Queijo 50g</t>
  </si>
  <si>
    <t>Refrigerante e Farinha</t>
  </si>
  <si>
    <t>Não devolveu o troco</t>
  </si>
  <si>
    <t>Osasco</t>
  </si>
  <si>
    <t>Gurme</t>
  </si>
  <si>
    <t>Giovanni</t>
  </si>
  <si>
    <t>Sheila Escada</t>
  </si>
  <si>
    <t>Pizza de Frango</t>
  </si>
  <si>
    <t>Ipiranga</t>
  </si>
  <si>
    <t>Loja Zeniedson1</t>
  </si>
  <si>
    <t>Endereço</t>
  </si>
  <si>
    <t>Telefone/Celular</t>
  </si>
  <si>
    <t>Produto</t>
  </si>
  <si>
    <t>Discriminação</t>
  </si>
  <si>
    <t>Total</t>
  </si>
  <si>
    <t>Bandeja de Alumínio</t>
  </si>
  <si>
    <t>Carne Moída 50g</t>
  </si>
  <si>
    <t>Carne Moída</t>
  </si>
  <si>
    <t>XX</t>
  </si>
  <si>
    <t>Nene</t>
  </si>
  <si>
    <t>Alicate Belzer</t>
  </si>
  <si>
    <t>Quiosque</t>
  </si>
  <si>
    <t>Atacadão</t>
  </si>
  <si>
    <t>Casa do Norte</t>
  </si>
  <si>
    <t>Saco Plast. 25x35</t>
  </si>
  <si>
    <t>Sendas Distribuidora</t>
  </si>
  <si>
    <t>Casa de Carnes</t>
  </si>
  <si>
    <t>Panela de Pressão</t>
  </si>
  <si>
    <t>Socorro</t>
  </si>
  <si>
    <t>Croissants de Pres. e Queijo</t>
  </si>
  <si>
    <t>Risoli de Pres. e Queijo</t>
  </si>
  <si>
    <t>Fogazza de Pres. e Queijo</t>
  </si>
  <si>
    <t>Enroladinho Pres. e Queijo</t>
  </si>
  <si>
    <t>Quant.</t>
  </si>
  <si>
    <t>Pago no Dia</t>
  </si>
  <si>
    <t>Forma de Pagamento</t>
  </si>
  <si>
    <t>PAGADOR</t>
  </si>
  <si>
    <t>VALOR</t>
  </si>
  <si>
    <t>JOSE ADELMO FEITOSA</t>
  </si>
  <si>
    <t>MARIA DE ARAUJO FERREIRA</t>
  </si>
  <si>
    <t>LANCHONETE ACOPIARA</t>
  </si>
  <si>
    <t>RODRIGO CRUZ MOTA</t>
  </si>
  <si>
    <t>FERNANDA TAINNA ALVES</t>
  </si>
  <si>
    <t>CAFÉ BJ LANCHES</t>
  </si>
  <si>
    <t>ACRVAZ</t>
  </si>
  <si>
    <t>FRANCISCO WELLINGTON</t>
  </si>
  <si>
    <t>ALEX KLEY ROSA DE OLIVEIRA</t>
  </si>
  <si>
    <t>SHEILA DIAS BATISTA</t>
  </si>
  <si>
    <t>E J GAMA MACEDO RESTAU.</t>
  </si>
  <si>
    <t>SILVIO DE AZEVEDO ALVES</t>
  </si>
  <si>
    <t>PERPÉTUA DIAS DOS SANTOS</t>
  </si>
  <si>
    <t xml:space="preserve">CARLA PATRICIA ALVES </t>
  </si>
  <si>
    <t>DERMIVAL DO NASCIMENTO</t>
  </si>
  <si>
    <t>ALEXANDRE FERREIRA DA SILVA</t>
  </si>
  <si>
    <t>PASSARELA DO BELEM</t>
  </si>
  <si>
    <t>JURACI XAVIER DE SOUSA</t>
  </si>
  <si>
    <t>RECEBEDOR</t>
  </si>
  <si>
    <t>ADRIANA DIAS BARBOSA</t>
  </si>
  <si>
    <t>ROMOALDO BARROS DE SOUZA</t>
  </si>
  <si>
    <t>DANILO DOS SANTOS COELHO</t>
  </si>
  <si>
    <t>CELIO MOREIRA DA COSTA</t>
  </si>
  <si>
    <t>CASA DE CARNES NOGUEIRA</t>
  </si>
  <si>
    <t>CAMILA DA SILVA ROCHA</t>
  </si>
  <si>
    <t>VICENTE BARBOSA DE OLIVEIRA</t>
  </si>
  <si>
    <t>INGRID ALANE DO NASCIMENTO</t>
  </si>
  <si>
    <t>FRANCISCO JARDEL BEZERRA</t>
  </si>
  <si>
    <t>LUIZ CARLOS MESSIA BASILIO</t>
  </si>
  <si>
    <t>MARCOS VINICIUS RAMOS</t>
  </si>
  <si>
    <t>MARCELO RODRIGUES DE SOUSA</t>
  </si>
  <si>
    <t>COSMO LEANDRO DE LIMA</t>
  </si>
  <si>
    <t>BOTINAS GUERREIRO</t>
  </si>
  <si>
    <t>LUAN ALVES BARRENSE</t>
  </si>
  <si>
    <t>OVOS GS</t>
  </si>
  <si>
    <t>MARIA JOSE MESSIAS BASILIO</t>
  </si>
  <si>
    <t>JOSE MARQUES A DE C CAVAL.</t>
  </si>
  <si>
    <t>FELIPE MENEZES SOUZA</t>
  </si>
  <si>
    <t xml:space="preserve">Marcos </t>
  </si>
  <si>
    <t>Estufa da Adriana - Pix</t>
  </si>
  <si>
    <t>Óleo da Fiorino</t>
  </si>
  <si>
    <t>Fiorino - Mecânico</t>
  </si>
  <si>
    <t>PIX RECEBIDOS</t>
  </si>
  <si>
    <t>DESPESAS EM PIX</t>
  </si>
  <si>
    <t>DESPESAS EXTRAS</t>
  </si>
  <si>
    <t>DESPESAS TOTAIS</t>
  </si>
  <si>
    <t>RESTO</t>
  </si>
  <si>
    <t>Data de Registro</t>
  </si>
  <si>
    <t>Marcos Vinícius</t>
  </si>
  <si>
    <t>Makenzie</t>
  </si>
  <si>
    <t>Seu Tonim</t>
  </si>
  <si>
    <t>*Bolinho Panq 70g + Red Bull + Mist REQ</t>
  </si>
  <si>
    <t xml:space="preserve"> </t>
  </si>
  <si>
    <t>Gás</t>
  </si>
  <si>
    <t>Adiantamento</t>
  </si>
  <si>
    <t>Poeta</t>
  </si>
  <si>
    <t>XX/01/2024</t>
  </si>
  <si>
    <t>Micro-Ondas</t>
  </si>
  <si>
    <t>Forno</t>
  </si>
  <si>
    <t>Zeniedson</t>
  </si>
  <si>
    <t>Estufa - Crédito</t>
  </si>
  <si>
    <t>2 Estufa Crédito</t>
  </si>
  <si>
    <t>Prateleira - Crédito</t>
  </si>
  <si>
    <t>Eduardo</t>
  </si>
  <si>
    <t>Relógio de Energia</t>
  </si>
  <si>
    <t>Relógio d'água</t>
  </si>
  <si>
    <t>Pia</t>
  </si>
  <si>
    <t>Responsável Financeiro</t>
  </si>
  <si>
    <t>Telefone</t>
  </si>
  <si>
    <t>Dívida</t>
  </si>
  <si>
    <t>Total Pago</t>
  </si>
  <si>
    <t>Falta Pagar</t>
  </si>
  <si>
    <t>Fonte</t>
  </si>
  <si>
    <t>Data da Atualização</t>
  </si>
  <si>
    <t>Valor Contado</t>
  </si>
  <si>
    <t>DINHEIRO NA CAIXA</t>
  </si>
  <si>
    <t>MONITOR</t>
  </si>
  <si>
    <t>COMPLEMENTO</t>
  </si>
  <si>
    <t>CRÉDITO</t>
  </si>
  <si>
    <t>CAIXA</t>
  </si>
  <si>
    <t>DINHEIRO</t>
  </si>
  <si>
    <t>Dinâmica de Pagamento</t>
  </si>
  <si>
    <t>Descrição</t>
  </si>
  <si>
    <t>Remetente</t>
  </si>
  <si>
    <t>Destinatário</t>
  </si>
  <si>
    <t>Valor</t>
  </si>
  <si>
    <t>Complemento</t>
  </si>
  <si>
    <t>VALOR PAGO</t>
  </si>
  <si>
    <t>FORMA DE PAGAMENTO</t>
  </si>
  <si>
    <t>ENDEREÇO DE REGISTRO</t>
  </si>
  <si>
    <t>Borracharia</t>
  </si>
  <si>
    <t>CONS. PNEU</t>
  </si>
  <si>
    <t>RUBENS NOGUEIRA - LOJA</t>
  </si>
  <si>
    <t>TEXACO HAVOLINE + VOX LB 55</t>
  </si>
  <si>
    <t>Coentro e Afins (SEASA)</t>
  </si>
  <si>
    <t>Almoço</t>
  </si>
  <si>
    <t>Pão e Papel Higiênico</t>
  </si>
  <si>
    <t>Doce</t>
  </si>
  <si>
    <t>PREÇO DO SALGADO</t>
  </si>
  <si>
    <t>Sucata INOX R V</t>
  </si>
  <si>
    <t>Piraporinha25012024</t>
  </si>
  <si>
    <t>NÃO JUSTIFICADO</t>
  </si>
  <si>
    <t>Lanche</t>
  </si>
  <si>
    <t>Forma p/ Empada</t>
  </si>
  <si>
    <t>Pix do Alex</t>
  </si>
  <si>
    <t>PIX</t>
  </si>
  <si>
    <t>Marivaldo</t>
  </si>
  <si>
    <t>Alex C/ Filho</t>
  </si>
  <si>
    <t>Não Identificado</t>
  </si>
  <si>
    <t>Guincho</t>
  </si>
  <si>
    <t>Arley-28012024</t>
  </si>
  <si>
    <t>Gasolina - Strada</t>
  </si>
  <si>
    <t xml:space="preserve">DÉBITO </t>
  </si>
  <si>
    <t>Lapa</t>
  </si>
  <si>
    <t>Francisco Morato</t>
  </si>
  <si>
    <t>Armênia</t>
  </si>
  <si>
    <t>Cópias de Chave</t>
  </si>
  <si>
    <t>ALICATE</t>
  </si>
  <si>
    <t>PALHETA + BRAÇO LIMPADOR</t>
  </si>
  <si>
    <t>MERCADOCAR</t>
  </si>
  <si>
    <t>Churrasco</t>
  </si>
  <si>
    <t>Michele-29012024</t>
  </si>
  <si>
    <t>Pagamento - Marcelo</t>
  </si>
  <si>
    <t>Luiz Carlos</t>
  </si>
  <si>
    <t>Salgado de Queijo</t>
  </si>
  <si>
    <t>Salgado de Presunto e Queijo</t>
  </si>
  <si>
    <t>Salgado de Calabresa</t>
  </si>
  <si>
    <t>Salgado de Frango</t>
  </si>
  <si>
    <t>Salsicha 75g</t>
  </si>
  <si>
    <t>Salgado de Carne</t>
  </si>
  <si>
    <t>Mão de Obra</t>
  </si>
  <si>
    <t>Combustível</t>
  </si>
  <si>
    <t>Calabresa 50g</t>
  </si>
  <si>
    <t>Endereço 1</t>
  </si>
  <si>
    <t>Média de Pedidos</t>
  </si>
  <si>
    <t>Correio Eletrônico</t>
  </si>
  <si>
    <t>Código</t>
  </si>
  <si>
    <t xml:space="preserve">  </t>
  </si>
  <si>
    <t>Josi</t>
  </si>
  <si>
    <t>Pizza de Calabresa</t>
  </si>
  <si>
    <t>Compressores</t>
  </si>
  <si>
    <t>Freezers - Seu Tonim</t>
  </si>
  <si>
    <t>Frango 50g</t>
  </si>
  <si>
    <t>Depósito</t>
  </si>
  <si>
    <t>Custo de Manteiga 700g</t>
  </si>
  <si>
    <t>Custo da Farinha 10kg</t>
  </si>
  <si>
    <t>Custo do Sal 150g</t>
  </si>
  <si>
    <t>Caldo de Galinha 300g</t>
  </si>
  <si>
    <t>Farinha de Rosca 6g</t>
  </si>
  <si>
    <t>Custo da Manteiga 250g</t>
  </si>
  <si>
    <t>Custo da Farinha 5kg</t>
  </si>
  <si>
    <t>Custo do Sal 100g</t>
  </si>
  <si>
    <t>Carne Moída 5kg</t>
  </si>
  <si>
    <t>37 Ovos</t>
  </si>
  <si>
    <t>Óleo</t>
  </si>
  <si>
    <t>Salcicha 50g</t>
  </si>
  <si>
    <t>Coloral 120g</t>
  </si>
  <si>
    <t>Frango 35g</t>
  </si>
  <si>
    <t>Gasto c/ óleo</t>
  </si>
  <si>
    <t>Outros</t>
  </si>
  <si>
    <t>COMENTÁRIO</t>
  </si>
  <si>
    <t>Comentários</t>
  </si>
  <si>
    <t>Bambam</t>
  </si>
  <si>
    <t>gas</t>
  </si>
  <si>
    <t>pelado</t>
  </si>
  <si>
    <t>marcos</t>
  </si>
  <si>
    <t>PELADO</t>
  </si>
  <si>
    <t>-</t>
  </si>
  <si>
    <t>Gil Açougue</t>
  </si>
  <si>
    <t>Arley-01022024</t>
  </si>
  <si>
    <t>Pagamento</t>
  </si>
  <si>
    <t>Gurme47</t>
  </si>
  <si>
    <t>Jeferson</t>
  </si>
  <si>
    <t>Pedágio</t>
  </si>
  <si>
    <t>Auto Peças</t>
  </si>
  <si>
    <t>Mercantil de Peças</t>
  </si>
  <si>
    <t>NÃO INFORMADO</t>
  </si>
  <si>
    <t>Pães e Doces</t>
  </si>
  <si>
    <t>Cupom de maquininha de cartão</t>
  </si>
  <si>
    <t>Diversos</t>
  </si>
  <si>
    <t>Piraporinha-26012024</t>
  </si>
  <si>
    <t>XX/02/2024</t>
  </si>
  <si>
    <t>Mecânico</t>
  </si>
  <si>
    <t>Piraporinha-23012024</t>
  </si>
  <si>
    <t>ROSANGELA MOTA DE JESUS</t>
  </si>
  <si>
    <t>J. P. DA SILVA LANCHONETE</t>
  </si>
  <si>
    <t>MARIA DO SOCORRO</t>
  </si>
  <si>
    <t>JOANICE LEANDRO DOS REIS</t>
  </si>
  <si>
    <t>WS LANCHES SLU LTDA</t>
  </si>
  <si>
    <t>ROSIMERE LOPES FERRAZ</t>
  </si>
  <si>
    <t>LUIZ CARLOS MESSIAS BASILIO</t>
  </si>
  <si>
    <t>SP DA SILVA RETIFICA</t>
  </si>
  <si>
    <t>MARCELO RODRIGUES DE SOUZA</t>
  </si>
  <si>
    <t>JOSEFA PEREIRA DOS SANTOS</t>
  </si>
  <si>
    <t xml:space="preserve">ADIC ASSESSORIA CONTABIL </t>
  </si>
  <si>
    <t>Quant. Salgados</t>
  </si>
  <si>
    <t>Valor do Pedido</t>
  </si>
  <si>
    <t>ÚLTIMO PEDIDO REGISTRADO</t>
  </si>
  <si>
    <t>Arley1</t>
  </si>
  <si>
    <t>Armênia1</t>
  </si>
  <si>
    <t>Armênia2</t>
  </si>
  <si>
    <t>Armênia3</t>
  </si>
  <si>
    <t>Armênia4</t>
  </si>
  <si>
    <t>Socorro1</t>
  </si>
  <si>
    <t>Socorro2</t>
  </si>
  <si>
    <t>Sheila</t>
  </si>
  <si>
    <t>Mistura</t>
  </si>
  <si>
    <t>Marivaldo1</t>
  </si>
  <si>
    <t>Almoço Alex</t>
  </si>
  <si>
    <t>Farinha</t>
  </si>
  <si>
    <t>Gasolina da Strada</t>
  </si>
  <si>
    <t>Cópia das Chaves</t>
  </si>
  <si>
    <t>DRD</t>
  </si>
  <si>
    <t>Categoria</t>
  </si>
  <si>
    <t>OUTROS</t>
  </si>
  <si>
    <t>FUNCIONÁRIO</t>
  </si>
  <si>
    <t>INGREDIENTES</t>
  </si>
  <si>
    <t>MECÂNICO</t>
  </si>
  <si>
    <t>FONTE</t>
  </si>
  <si>
    <t>CATEGORIA</t>
  </si>
  <si>
    <t>COMPRESSÍVEIS</t>
  </si>
  <si>
    <t>GASOLINA</t>
  </si>
  <si>
    <t>QUIOSQUE</t>
  </si>
  <si>
    <t>Ingredientes</t>
  </si>
  <si>
    <t>Compressíveis</t>
  </si>
  <si>
    <t>Funcionário</t>
  </si>
  <si>
    <t>Nome Fantasia do Estabelecimento</t>
  </si>
  <si>
    <t>BOBINA PAPEL - FORMA P/EMPADA - ESPONJA FIBRACO</t>
  </si>
  <si>
    <t>Marcos Vinícius - Adiantamento</t>
  </si>
  <si>
    <t>2kg Frango</t>
  </si>
  <si>
    <t>1kg Catupiry</t>
  </si>
  <si>
    <t>Produto Especial</t>
  </si>
  <si>
    <t>Total - MiniCoxinha</t>
  </si>
  <si>
    <t>NOTA</t>
  </si>
  <si>
    <t>Imprimir Marivaldo Todo Dia.</t>
  </si>
  <si>
    <t>Tomate</t>
  </si>
  <si>
    <t>Cebola</t>
  </si>
  <si>
    <t>Beatriz Lopes</t>
  </si>
  <si>
    <t>Projeto Elétrico</t>
  </si>
  <si>
    <t>LojaZeniedson117022024</t>
  </si>
  <si>
    <t>Instalação da Internet</t>
  </si>
  <si>
    <t>Embalagens</t>
  </si>
  <si>
    <t>Água</t>
  </si>
  <si>
    <t>Gasolina-Strada</t>
  </si>
  <si>
    <t>Conserto da Fiorino</t>
  </si>
  <si>
    <t>Marivaldo-</t>
  </si>
  <si>
    <t>Etanol Comum</t>
  </si>
  <si>
    <t>Conserto-Freezer</t>
  </si>
  <si>
    <t>Leroy Merlin</t>
  </si>
  <si>
    <t>RAQUETE ELÉTRICA + CUBA DE AÇO</t>
  </si>
  <si>
    <t>Mercadocar</t>
  </si>
  <si>
    <t>Zidko Materiais Constr.</t>
  </si>
  <si>
    <t>Tempero</t>
  </si>
  <si>
    <t>Contatora</t>
  </si>
  <si>
    <t>MercadoCar</t>
  </si>
  <si>
    <t>CORREIA + BOMBA</t>
  </si>
  <si>
    <t>Adiantamento - Jardel</t>
  </si>
  <si>
    <t xml:space="preserve">CRÉDITO </t>
  </si>
  <si>
    <t>Arley-Santo Amaro</t>
  </si>
  <si>
    <t>Guaianases</t>
  </si>
  <si>
    <t>Gasolina-Alex</t>
  </si>
  <si>
    <t>Marcelo - FIAT</t>
  </si>
  <si>
    <t>GRANADÃO CENTER</t>
  </si>
  <si>
    <t>NÃO SE SABE AO CERTO A DATA</t>
  </si>
  <si>
    <t>Adiantamento-Alex</t>
  </si>
  <si>
    <t>Mercadinho Serra-Talhada</t>
  </si>
  <si>
    <t>FIADO DO NENÉ</t>
  </si>
  <si>
    <t>Luís Carlos</t>
  </si>
  <si>
    <t>Alex Kley</t>
  </si>
  <si>
    <t>Coronel</t>
  </si>
  <si>
    <t>CARRO</t>
  </si>
  <si>
    <t>Atacadão S. A</t>
  </si>
  <si>
    <t>BECO AVENIDA</t>
  </si>
  <si>
    <t>INTERRUPTOR TECLA AZUL</t>
  </si>
  <si>
    <t>Rosi</t>
  </si>
  <si>
    <t>Anélio</t>
  </si>
  <si>
    <t>CAFETEIRA E AFINS</t>
  </si>
  <si>
    <t>MicheleBandeira22022024</t>
  </si>
  <si>
    <t>Café da Manhã</t>
  </si>
  <si>
    <t>Pedágio-Alex</t>
  </si>
  <si>
    <t>Alho</t>
  </si>
  <si>
    <t>Pão</t>
  </si>
  <si>
    <t>Latas de Milho e Ervilha</t>
  </si>
  <si>
    <t>Seasa</t>
  </si>
  <si>
    <t>Rei Dos Lanches</t>
  </si>
  <si>
    <t>Despesas da Fábrica</t>
  </si>
  <si>
    <t>Alho, Coentro Moído, Coentro, estacionamento e tomate</t>
  </si>
  <si>
    <t>Saco Plást. 25x35</t>
  </si>
  <si>
    <t>Saco Lixo 100LTS</t>
  </si>
  <si>
    <t>Pelado que explicou</t>
  </si>
  <si>
    <t>Bombril</t>
  </si>
  <si>
    <t>Arley02032024</t>
  </si>
  <si>
    <t>Leite e Coentro</t>
  </si>
  <si>
    <t>Michele28022024</t>
  </si>
  <si>
    <t>Atacadão S.A</t>
  </si>
  <si>
    <t>xx</t>
  </si>
  <si>
    <t>PedidoDoce04032024</t>
  </si>
  <si>
    <t>Jeferson Arujá1</t>
  </si>
  <si>
    <t>Detergente</t>
  </si>
  <si>
    <t>Arley-03032024</t>
  </si>
  <si>
    <t>M&amp;G Materias para Cons.</t>
  </si>
  <si>
    <t>FERRO SOLDA</t>
  </si>
  <si>
    <t>ETANOL</t>
  </si>
  <si>
    <t>Michele-06032024</t>
  </si>
  <si>
    <t>Carlos Sacomã</t>
  </si>
  <si>
    <t>Gasolina Marcelo</t>
  </si>
  <si>
    <t>Transporte do Seu Jorge</t>
  </si>
  <si>
    <t>Seu Jorge</t>
  </si>
  <si>
    <t>Fogazza de Carne</t>
  </si>
  <si>
    <t>Mini Coxinha</t>
  </si>
  <si>
    <t>Mini Bolinho de Carne</t>
  </si>
  <si>
    <t>Mini Bolinho de Queijo</t>
  </si>
  <si>
    <t>Mini Risoli de Pres. E Queijo</t>
  </si>
  <si>
    <t>Coxinha C/ Catupiry</t>
  </si>
  <si>
    <t>OSASCO</t>
  </si>
  <si>
    <t>Coxinha c/ Catupiry</t>
  </si>
  <si>
    <t>Jeferson Arujá2</t>
  </si>
  <si>
    <t>Fogazza de Queijo</t>
  </si>
  <si>
    <t>Fogazza de Calabresa</t>
  </si>
  <si>
    <t>Fogaza de Frango</t>
  </si>
  <si>
    <t>Enroladinho Frango</t>
  </si>
  <si>
    <t>Enroladinho Calabresa</t>
  </si>
  <si>
    <t>Esfiha de Calabresa</t>
  </si>
  <si>
    <t>Esfiha de Carne</t>
  </si>
  <si>
    <t>Esfiha de Queijo</t>
  </si>
  <si>
    <t>Esfiha de Frango</t>
  </si>
  <si>
    <t>Bauru de Pres. E Queijo</t>
  </si>
  <si>
    <t>Venda por Salgado</t>
  </si>
  <si>
    <t>TOTAL EM DINHEIRO</t>
  </si>
  <si>
    <t>TOTAL EM SALGADOS</t>
  </si>
  <si>
    <t>CLIENTES ATENDIDOS</t>
  </si>
  <si>
    <t>TOTAL DE PEDIDOS</t>
  </si>
  <si>
    <t>DRN</t>
  </si>
  <si>
    <t>DDRD</t>
  </si>
  <si>
    <t>ESTOQUE ATUAL</t>
  </si>
  <si>
    <t>Nome do Funcionário</t>
  </si>
  <si>
    <t>Registrado no Dia</t>
  </si>
  <si>
    <t>DESEMPENHO</t>
  </si>
  <si>
    <t>DINHEIRO NA CONTA</t>
  </si>
  <si>
    <t>TARDE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</si>
  <si>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</si>
  <si>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</si>
  <si>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</si>
  <si>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</si>
  <si>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</si>
  <si>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</si>
  <si>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</si>
  <si>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</si>
  <si>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</si>
  <si>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</si>
  <si>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</si>
  <si>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</si>
  <si>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X</t>
  </si>
  <si>
    <t>Operação</t>
  </si>
  <si>
    <t>Nota de Esclarecimento</t>
  </si>
  <si>
    <t>olá</t>
  </si>
  <si>
    <t>Último Desconto</t>
  </si>
  <si>
    <t>Mercad. Celso Garcia</t>
  </si>
  <si>
    <t>Mercad. Serra Talhada</t>
  </si>
  <si>
    <t>Bar da Celso Garcia</t>
  </si>
  <si>
    <t>Douglas</t>
  </si>
  <si>
    <t>Moisés</t>
  </si>
  <si>
    <t>,</t>
  </si>
  <si>
    <t>aa</t>
  </si>
  <si>
    <t>REGISTRO</t>
  </si>
  <si>
    <t>João</t>
  </si>
  <si>
    <t>Beatriz</t>
  </si>
  <si>
    <t>Petherson</t>
  </si>
  <si>
    <t>Arruda</t>
  </si>
  <si>
    <t>Oliveira</t>
  </si>
  <si>
    <t>Quant.: 52</t>
  </si>
  <si>
    <t>Total: R$ 130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</si>
</sst>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R$&quot;\ #,##0.00;\-&quot;R$&quot;\ #,##0.00"/>
    <numFmt numFmtId="164" formatCode="&quot;R$&quot;#,##0.00_);\(&quot;R$&quot;#,##0.00\)"/>
    <numFmt numFmtId="165" formatCode="&quot;R$&quot;#,##0.00_);[Red]\(&quot;R$&quot;#,##0.00\)"/>
    <numFmt numFmtId="166" formatCode="_(&quot;R$&quot;* #,##0.00_);_(&quot;R$&quot;* \(#,##0.00\);_(&quot;R$&quot;* &quot;-&quot;??_);_(@_)"/>
    <numFmt numFmtId="167" formatCode="###&quot;.&quot;###&quot;.&quot;###&quot;-&quot;##"/>
    <numFmt numFmtId="168" formatCode="0#&quot;/&quot;##&quot;/&quot;####"/>
    <numFmt numFmtId="169" formatCode="&quot;(&quot;##&quot;)&quot;\ #####&quot;-&quot;####"/>
    <numFmt numFmtId="170" formatCode="0##&quot;.&quot;###&quot;.&quot;###&quot;-&quot;##"/>
    <numFmt numFmtId="171" formatCode="&quot;R$&quot;\ #,##0.00"/>
    <numFmt numFmtId="172" formatCode="m/d/yyyy"/>
    <numFmt numFmtId="173" formatCode="m/d/yyyy\ h:mm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6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indexed="8"/>
      <name val="Calibri"/>
      <family val="2"/>
      <scheme val="minor"/>
    </font>
    <font>
      <u/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indexed="8"/>
      <name val="Calibri"/>
      <family val="2"/>
      <scheme val="minor"/>
    </font>
    <font>
      <sz val="26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28"/>
      <color theme="1" tint="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48"/>
      <color indexed="8"/>
      <name val="Arial"/>
      <family val="2"/>
    </font>
    <font>
      <b/>
      <sz val="48"/>
      <color indexed="9"/>
      <name val="Arial"/>
      <family val="2"/>
    </font>
    <font>
      <b/>
      <sz val="48"/>
      <color indexed="8"/>
      <name val="Arial"/>
      <family val="2"/>
    </font>
    <font>
      <b/>
      <sz val="72"/>
      <color indexed="8"/>
      <name val="Arial"/>
      <family val="2"/>
    </font>
    <font>
      <b/>
      <sz val="64"/>
      <color indexed="9"/>
      <name val="Arial"/>
      <family val="2"/>
    </font>
    <font>
      <b/>
      <sz val="64"/>
      <color indexed="8"/>
      <name val="Arial"/>
      <family val="2"/>
    </font>
    <font>
      <b/>
      <sz val="54"/>
      <color indexed="8"/>
      <name val="Arial"/>
      <family val="2"/>
    </font>
    <font>
      <b/>
      <sz val="44"/>
      <color indexed="8"/>
      <name val="Arial"/>
      <family val="2"/>
    </font>
    <font>
      <b/>
      <sz val="72"/>
      <color theme="1" tint="4.9989318521683403E-2"/>
      <name val="Arial"/>
      <family val="2"/>
    </font>
    <font>
      <sz val="72"/>
      <color indexed="8"/>
      <name val="Arial"/>
      <family val="2"/>
    </font>
    <font>
      <b/>
      <sz val="48"/>
      <color theme="0"/>
      <name val="Arial"/>
      <family val="2"/>
    </font>
    <font>
      <b/>
      <sz val="48"/>
      <color theme="1"/>
      <name val="Arial"/>
      <family val="2"/>
    </font>
    <font>
      <b/>
      <sz val="36"/>
      <color indexed="8"/>
      <name val="Arial"/>
      <family val="2"/>
    </font>
    <font>
      <sz val="36"/>
      <color indexed="8"/>
      <name val="Arial"/>
      <family val="2"/>
    </font>
    <font>
      <b/>
      <sz val="12"/>
      <color indexed="8"/>
      <name val="Calibri"/>
      <family val="2"/>
      <scheme val="minor"/>
    </font>
    <font>
      <b/>
      <sz val="7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 tint="0.14999847407452621"/>
      <name val="Calibri"/>
      <family val="2"/>
      <scheme val="minor"/>
    </font>
    <font>
      <b/>
      <sz val="28"/>
      <color indexed="9"/>
      <name val="Arial"/>
      <family val="2"/>
    </font>
    <font>
      <b/>
      <sz val="26"/>
      <color indexed="8"/>
      <name val="Arial"/>
      <family val="2"/>
    </font>
    <font>
      <b/>
      <sz val="24"/>
      <color indexed="9"/>
      <name val="Arial"/>
      <family val="2"/>
    </font>
    <font>
      <b/>
      <sz val="24"/>
      <color indexed="8"/>
      <name val="Arial"/>
      <family val="2"/>
    </font>
    <font>
      <b/>
      <sz val="14"/>
      <color rgb="FFFFFF00"/>
      <name val="Calibri"/>
      <family val="2"/>
      <scheme val="minor"/>
    </font>
    <font>
      <sz val="16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 tint="4.9989318521683403E-2"/>
      <name val="Arial"/>
      <family val="2"/>
    </font>
    <font>
      <sz val="20"/>
      <color theme="1" tint="4.9989318521683403E-2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48"/>
      <color indexed="8"/>
      <name val="Calibri"/>
      <family val="2"/>
      <scheme val="minor"/>
    </font>
    <font>
      <b/>
      <sz val="36"/>
      <color indexed="9"/>
      <name val="Arial"/>
      <family val="2"/>
    </font>
    <font>
      <b/>
      <sz val="28"/>
      <color indexed="8"/>
      <name val="Arial"/>
      <family val="2"/>
    </font>
    <font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6"/>
      <color indexed="9"/>
      <name val="Arial"/>
      <family val="2"/>
    </font>
    <font>
      <sz val="48"/>
      <color indexed="9"/>
      <name val="Arial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theme="1" tint="4.9989318521683403E-2"/>
      </left>
      <right style="thick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ck">
        <color theme="1" tint="4.9989318521683403E-2"/>
      </left>
      <right style="thick">
        <color theme="1" tint="4.9989318521683403E-2"/>
      </right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ck">
        <color theme="1" tint="4.9989318521683403E-2"/>
      </left>
      <right style="thick">
        <color indexed="64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ck">
        <color indexed="64"/>
      </left>
      <right style="thick">
        <color indexed="64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ck">
        <color indexed="64"/>
      </left>
      <right style="thick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0"/>
      </right>
      <top/>
      <bottom style="thick">
        <color theme="0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563">
    <xf numFmtId="0" fontId="0" fillId="0" borderId="0" xfId="0"/>
    <xf numFmtId="0" fontId="0" fillId="0" borderId="0" xfId="0" applyAlignment="1">
      <alignment horizontal="center"/>
    </xf>
    <xf numFmtId="166" fontId="0" fillId="0" borderId="0" xfId="1" applyFont="1"/>
    <xf numFmtId="167" fontId="0" fillId="0" borderId="0" xfId="0" applyNumberFormat="1"/>
    <xf numFmtId="168" fontId="2" fillId="0" borderId="0" xfId="0" applyNumberFormat="1" applyFont="1"/>
    <xf numFmtId="169" fontId="2" fillId="0" borderId="0" xfId="0" applyNumberFormat="1" applyFont="1"/>
    <xf numFmtId="170" fontId="2" fillId="0" borderId="0" xfId="0" applyNumberFormat="1" applyFont="1"/>
    <xf numFmtId="0" fontId="5" fillId="0" borderId="0" xfId="0" applyFont="1"/>
    <xf numFmtId="170" fontId="5" fillId="0" borderId="0" xfId="0" applyNumberFormat="1" applyFont="1"/>
    <xf numFmtId="168" fontId="5" fillId="0" borderId="0" xfId="0" applyNumberFormat="1" applyFont="1"/>
    <xf numFmtId="0" fontId="5" fillId="0" borderId="0" xfId="0" applyFont="1" applyAlignment="1">
      <alignment horizontal="center"/>
    </xf>
    <xf numFmtId="169" fontId="5" fillId="0" borderId="0" xfId="0" applyNumberFormat="1" applyFont="1"/>
    <xf numFmtId="166" fontId="5" fillId="0" borderId="0" xfId="1" applyFont="1"/>
    <xf numFmtId="0" fontId="6" fillId="0" borderId="0" xfId="0" applyFont="1"/>
    <xf numFmtId="0" fontId="6" fillId="0" borderId="0" xfId="0" applyFont="1" applyAlignment="1">
      <alignment horizontal="center"/>
    </xf>
    <xf numFmtId="166" fontId="6" fillId="0" borderId="0" xfId="1" applyFont="1"/>
    <xf numFmtId="0" fontId="4" fillId="2" borderId="0" xfId="0" applyFont="1" applyFill="1" applyAlignment="1">
      <alignment horizontal="center" vertical="center"/>
    </xf>
    <xf numFmtId="0" fontId="0" fillId="3" borderId="0" xfId="0" applyFill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67" fontId="11" fillId="2" borderId="0" xfId="0" applyNumberFormat="1" applyFont="1" applyFill="1" applyAlignment="1">
      <alignment horizontal="center" vertical="center"/>
    </xf>
    <xf numFmtId="166" fontId="12" fillId="0" borderId="1" xfId="0" applyNumberFormat="1" applyFont="1" applyBorder="1"/>
    <xf numFmtId="0" fontId="0" fillId="0" borderId="1" xfId="0" applyBorder="1"/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12" fillId="0" borderId="0" xfId="0" applyFont="1"/>
    <xf numFmtId="168" fontId="12" fillId="0" borderId="0" xfId="0" applyNumberFormat="1" applyFont="1"/>
    <xf numFmtId="0" fontId="8" fillId="2" borderId="0" xfId="0" applyFont="1" applyFill="1"/>
    <xf numFmtId="166" fontId="0" fillId="0" borderId="1" xfId="1" applyFont="1" applyBorder="1"/>
    <xf numFmtId="166" fontId="13" fillId="2" borderId="1" xfId="1" applyFont="1" applyFill="1" applyBorder="1" applyAlignment="1">
      <alignment horizontal="center"/>
    </xf>
    <xf numFmtId="166" fontId="4" fillId="2" borderId="0" xfId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2" xfId="0" applyBorder="1"/>
    <xf numFmtId="166" fontId="0" fillId="0" borderId="2" xfId="1" applyFont="1" applyBorder="1"/>
    <xf numFmtId="0" fontId="2" fillId="0" borderId="0" xfId="0" applyFont="1"/>
    <xf numFmtId="0" fontId="12" fillId="0" borderId="0" xfId="0" applyFont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2" fillId="0" borderId="1" xfId="1" applyFont="1" applyBorder="1"/>
    <xf numFmtId="168" fontId="2" fillId="0" borderId="1" xfId="0" applyNumberFormat="1" applyFont="1" applyBorder="1"/>
    <xf numFmtId="14" fontId="12" fillId="0" borderId="0" xfId="0" applyNumberFormat="1" applyFont="1"/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66" fontId="2" fillId="0" borderId="0" xfId="1" applyFont="1"/>
    <xf numFmtId="0" fontId="16" fillId="2" borderId="1" xfId="0" applyFont="1" applyFill="1" applyBorder="1" applyAlignment="1">
      <alignment horizontal="center" vertical="center"/>
    </xf>
    <xf numFmtId="168" fontId="16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/>
    <xf numFmtId="166" fontId="16" fillId="2" borderId="1" xfId="1" applyFont="1" applyFill="1" applyBorder="1" applyAlignment="1">
      <alignment horizontal="center" vertical="center"/>
    </xf>
    <xf numFmtId="0" fontId="2" fillId="7" borderId="1" xfId="0" applyFont="1" applyFill="1" applyBorder="1"/>
    <xf numFmtId="168" fontId="2" fillId="7" borderId="1" xfId="0" applyNumberFormat="1" applyFont="1" applyFill="1" applyBorder="1"/>
    <xf numFmtId="166" fontId="2" fillId="7" borderId="1" xfId="1" applyFont="1" applyFill="1" applyBorder="1"/>
    <xf numFmtId="166" fontId="7" fillId="2" borderId="0" xfId="1" applyFont="1" applyFill="1" applyAlignment="1">
      <alignment horizontal="center" vertical="center" wrapText="1"/>
    </xf>
    <xf numFmtId="171" fontId="12" fillId="0" borderId="0" xfId="1" applyNumberFormat="1" applyFont="1"/>
    <xf numFmtId="166" fontId="12" fillId="0" borderId="0" xfId="1" applyFont="1"/>
    <xf numFmtId="171" fontId="12" fillId="9" borderId="0" xfId="0" applyNumberFormat="1" applyFont="1" applyFill="1"/>
    <xf numFmtId="0" fontId="23" fillId="3" borderId="0" xfId="0" applyFont="1" applyFill="1" applyAlignment="1">
      <alignment horizontal="center"/>
    </xf>
    <xf numFmtId="164" fontId="0" fillId="0" borderId="1" xfId="1" applyNumberFormat="1" applyFont="1" applyBorder="1"/>
    <xf numFmtId="0" fontId="0" fillId="6" borderId="0" xfId="0" applyFill="1"/>
    <xf numFmtId="14" fontId="7" fillId="2" borderId="0" xfId="0" applyNumberFormat="1" applyFont="1" applyFill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right"/>
    </xf>
    <xf numFmtId="0" fontId="0" fillId="6" borderId="0" xfId="0" applyFill="1" applyAlignment="1">
      <alignment horizontal="center"/>
    </xf>
    <xf numFmtId="14" fontId="0" fillId="0" borderId="1" xfId="0" applyNumberFormat="1" applyBorder="1"/>
    <xf numFmtId="14" fontId="0" fillId="0" borderId="2" xfId="0" applyNumberFormat="1" applyBorder="1"/>
    <xf numFmtId="0" fontId="14" fillId="8" borderId="0" xfId="0" applyFont="1" applyFill="1"/>
    <xf numFmtId="0" fontId="18" fillId="8" borderId="0" xfId="0" applyFont="1" applyFill="1"/>
    <xf numFmtId="0" fontId="8" fillId="6" borderId="3" xfId="0" applyFont="1" applyFill="1" applyBorder="1" applyAlignment="1">
      <alignment horizontal="center"/>
    </xf>
    <xf numFmtId="0" fontId="23" fillId="3" borderId="3" xfId="0" applyFont="1" applyFill="1" applyBorder="1" applyAlignment="1">
      <alignment horizontal="center"/>
    </xf>
    <xf numFmtId="0" fontId="27" fillId="4" borderId="0" xfId="0" applyFont="1" applyFill="1"/>
    <xf numFmtId="14" fontId="27" fillId="4" borderId="0" xfId="0" applyNumberFormat="1" applyFont="1" applyFill="1"/>
    <xf numFmtId="0" fontId="17" fillId="8" borderId="0" xfId="0" applyFont="1" applyFill="1"/>
    <xf numFmtId="164" fontId="0" fillId="0" borderId="2" xfId="1" applyNumberFormat="1" applyFont="1" applyBorder="1"/>
    <xf numFmtId="164" fontId="12" fillId="0" borderId="0" xfId="1" applyNumberFormat="1" applyFont="1"/>
    <xf numFmtId="0" fontId="4" fillId="0" borderId="0" xfId="0" applyFont="1" applyAlignment="1">
      <alignment horizontal="center" vertical="center" wrapText="1"/>
    </xf>
    <xf numFmtId="166" fontId="0" fillId="0" borderId="0" xfId="0" applyNumberFormat="1"/>
    <xf numFmtId="0" fontId="0" fillId="0" borderId="4" xfId="0" applyBorder="1"/>
    <xf numFmtId="0" fontId="8" fillId="2" borderId="4" xfId="0" applyFont="1" applyFill="1" applyBorder="1" applyAlignment="1">
      <alignment horizontal="center"/>
    </xf>
    <xf numFmtId="166" fontId="29" fillId="0" borderId="1" xfId="1" applyFont="1" applyBorder="1"/>
    <xf numFmtId="166" fontId="12" fillId="0" borderId="0" xfId="1" applyFont="1" applyAlignment="1">
      <alignment horizontal="left"/>
    </xf>
    <xf numFmtId="0" fontId="9" fillId="7" borderId="23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/>
    </xf>
    <xf numFmtId="14" fontId="7" fillId="7" borderId="24" xfId="0" applyNumberFormat="1" applyFont="1" applyFill="1" applyBorder="1" applyAlignment="1">
      <alignment horizontal="center" vertical="center" wrapText="1"/>
    </xf>
    <xf numFmtId="166" fontId="7" fillId="7" borderId="24" xfId="1" applyFont="1" applyFill="1" applyBorder="1" applyAlignment="1">
      <alignment horizontal="center" vertical="center" wrapText="1"/>
    </xf>
    <xf numFmtId="166" fontId="7" fillId="7" borderId="25" xfId="1" applyFont="1" applyFill="1" applyBorder="1" applyAlignment="1">
      <alignment horizontal="center" vertical="center" wrapText="1"/>
    </xf>
    <xf numFmtId="0" fontId="12" fillId="0" borderId="26" xfId="0" applyFont="1" applyBorder="1"/>
    <xf numFmtId="14" fontId="12" fillId="0" borderId="2" xfId="0" applyNumberFormat="1" applyFont="1" applyBorder="1"/>
    <xf numFmtId="0" fontId="12" fillId="0" borderId="2" xfId="0" applyFont="1" applyBorder="1"/>
    <xf numFmtId="164" fontId="12" fillId="0" borderId="2" xfId="0" applyNumberFormat="1" applyFont="1" applyBorder="1"/>
    <xf numFmtId="164" fontId="12" fillId="0" borderId="27" xfId="0" applyNumberFormat="1" applyFont="1" applyBorder="1"/>
    <xf numFmtId="0" fontId="2" fillId="0" borderId="0" xfId="0" applyFont="1" applyAlignment="1">
      <alignment horizontal="center" vertical="center"/>
    </xf>
    <xf numFmtId="166" fontId="12" fillId="0" borderId="0" xfId="1" applyFont="1" applyFill="1"/>
    <xf numFmtId="0" fontId="12" fillId="0" borderId="24" xfId="0" applyFont="1" applyBorder="1"/>
    <xf numFmtId="14" fontId="0" fillId="0" borderId="0" xfId="0" applyNumberFormat="1"/>
    <xf numFmtId="14" fontId="21" fillId="10" borderId="3" xfId="0" applyNumberFormat="1" applyFont="1" applyFill="1" applyBorder="1"/>
    <xf numFmtId="0" fontId="12" fillId="0" borderId="1" xfId="0" applyFont="1" applyBorder="1"/>
    <xf numFmtId="0" fontId="0" fillId="11" borderId="0" xfId="0" applyFill="1"/>
    <xf numFmtId="0" fontId="2" fillId="2" borderId="1" xfId="0" applyFont="1" applyFill="1" applyBorder="1"/>
    <xf numFmtId="168" fontId="2" fillId="2" borderId="1" xfId="0" applyNumberFormat="1" applyFont="1" applyFill="1" applyBorder="1"/>
    <xf numFmtId="166" fontId="2" fillId="2" borderId="1" xfId="1" applyFont="1" applyFill="1" applyBorder="1"/>
    <xf numFmtId="14" fontId="2" fillId="0" borderId="1" xfId="0" applyNumberFormat="1" applyFont="1" applyBorder="1"/>
    <xf numFmtId="14" fontId="2" fillId="0" borderId="0" xfId="0" applyNumberFormat="1" applyFont="1"/>
    <xf numFmtId="166" fontId="2" fillId="0" borderId="0" xfId="1" applyFont="1" applyBorder="1"/>
    <xf numFmtId="14" fontId="9" fillId="7" borderId="24" xfId="0" applyNumberFormat="1" applyFont="1" applyFill="1" applyBorder="1" applyAlignment="1">
      <alignment horizontal="center" vertical="center"/>
    </xf>
    <xf numFmtId="171" fontId="27" fillId="4" borderId="0" xfId="1" applyNumberFormat="1" applyFont="1" applyFill="1"/>
    <xf numFmtId="171" fontId="0" fillId="6" borderId="0" xfId="1" applyNumberFormat="1" applyFont="1" applyFill="1"/>
    <xf numFmtId="171" fontId="8" fillId="6" borderId="3" xfId="0" applyNumberFormat="1" applyFont="1" applyFill="1" applyBorder="1" applyAlignment="1">
      <alignment horizontal="center"/>
    </xf>
    <xf numFmtId="171" fontId="21" fillId="10" borderId="3" xfId="0" applyNumberFormat="1" applyFont="1" applyFill="1" applyBorder="1"/>
    <xf numFmtId="171" fontId="0" fillId="6" borderId="0" xfId="0" applyNumberFormat="1" applyFill="1"/>
    <xf numFmtId="0" fontId="12" fillId="0" borderId="22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6" fontId="1" fillId="0" borderId="1" xfId="1" applyFont="1" applyBorder="1"/>
    <xf numFmtId="0" fontId="12" fillId="0" borderId="2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2" fillId="12" borderId="1" xfId="0" applyFont="1" applyFill="1" applyBorder="1"/>
    <xf numFmtId="14" fontId="2" fillId="12" borderId="1" xfId="0" applyNumberFormat="1" applyFont="1" applyFill="1" applyBorder="1"/>
    <xf numFmtId="166" fontId="2" fillId="12" borderId="1" xfId="1" applyFont="1" applyFill="1" applyBorder="1"/>
    <xf numFmtId="0" fontId="30" fillId="5" borderId="0" xfId="0" applyFont="1" applyFill="1"/>
    <xf numFmtId="0" fontId="14" fillId="5" borderId="0" xfId="0" applyFont="1" applyFill="1"/>
    <xf numFmtId="0" fontId="22" fillId="5" borderId="0" xfId="0" applyFont="1" applyFill="1"/>
    <xf numFmtId="0" fontId="45" fillId="5" borderId="3" xfId="0" applyFont="1" applyFill="1" applyBorder="1" applyAlignment="1">
      <alignment vertical="center"/>
    </xf>
    <xf numFmtId="0" fontId="34" fillId="5" borderId="3" xfId="0" applyFont="1" applyFill="1" applyBorder="1" applyAlignment="1">
      <alignment vertical="center"/>
    </xf>
    <xf numFmtId="0" fontId="15" fillId="5" borderId="0" xfId="0" applyFont="1" applyFill="1"/>
    <xf numFmtId="0" fontId="40" fillId="5" borderId="1" xfId="0" applyFont="1" applyFill="1" applyBorder="1" applyAlignment="1">
      <alignment horizontal="center" vertical="center"/>
    </xf>
    <xf numFmtId="0" fontId="14" fillId="5" borderId="1" xfId="0" applyFont="1" applyFill="1" applyBorder="1"/>
    <xf numFmtId="0" fontId="34" fillId="5" borderId="18" xfId="0" applyFont="1" applyFill="1" applyBorder="1" applyAlignment="1">
      <alignment vertical="center"/>
    </xf>
    <xf numFmtId="14" fontId="34" fillId="5" borderId="3" xfId="0" applyNumberFormat="1" applyFont="1" applyFill="1" applyBorder="1" applyAlignment="1">
      <alignment vertical="center"/>
    </xf>
    <xf numFmtId="0" fontId="31" fillId="5" borderId="3" xfId="0" applyFont="1" applyFill="1" applyBorder="1" applyAlignment="1">
      <alignment horizontal="center"/>
    </xf>
    <xf numFmtId="0" fontId="31" fillId="5" borderId="11" xfId="0" applyFont="1" applyFill="1" applyBorder="1" applyAlignment="1">
      <alignment horizontal="center"/>
    </xf>
    <xf numFmtId="0" fontId="31" fillId="5" borderId="21" xfId="0" applyFont="1" applyFill="1" applyBorder="1" applyAlignment="1">
      <alignment horizontal="center"/>
    </xf>
    <xf numFmtId="0" fontId="40" fillId="5" borderId="34" xfId="0" applyFont="1" applyFill="1" applyBorder="1" applyAlignment="1">
      <alignment vertical="center"/>
    </xf>
    <xf numFmtId="0" fontId="14" fillId="5" borderId="43" xfId="0" applyFont="1" applyFill="1" applyBorder="1"/>
    <xf numFmtId="0" fontId="31" fillId="5" borderId="18" xfId="0" applyFont="1" applyFill="1" applyBorder="1"/>
    <xf numFmtId="166" fontId="32" fillId="4" borderId="3" xfId="1" applyFont="1" applyFill="1" applyBorder="1" applyProtection="1"/>
    <xf numFmtId="0" fontId="14" fillId="5" borderId="42" xfId="0" applyFont="1" applyFill="1" applyBorder="1"/>
    <xf numFmtId="0" fontId="31" fillId="5" borderId="13" xfId="0" applyFont="1" applyFill="1" applyBorder="1"/>
    <xf numFmtId="0" fontId="31" fillId="5" borderId="15" xfId="0" applyFont="1" applyFill="1" applyBorder="1"/>
    <xf numFmtId="0" fontId="14" fillId="5" borderId="38" xfId="0" applyFont="1" applyFill="1" applyBorder="1"/>
    <xf numFmtId="0" fontId="43" fillId="5" borderId="0" xfId="0" applyFont="1" applyFill="1" applyAlignment="1">
      <alignment horizontal="center" vertical="center" wrapText="1"/>
    </xf>
    <xf numFmtId="0" fontId="44" fillId="5" borderId="0" xfId="0" applyFont="1" applyFill="1" applyAlignment="1">
      <alignment horizontal="center" vertical="center"/>
    </xf>
    <xf numFmtId="0" fontId="31" fillId="5" borderId="3" xfId="0" applyFont="1" applyFill="1" applyBorder="1"/>
    <xf numFmtId="0" fontId="33" fillId="4" borderId="18" xfId="0" applyFont="1" applyFill="1" applyBorder="1" applyAlignment="1">
      <alignment horizontal="center"/>
    </xf>
    <xf numFmtId="0" fontId="33" fillId="4" borderId="18" xfId="1" applyNumberFormat="1" applyFont="1" applyFill="1" applyBorder="1" applyProtection="1"/>
    <xf numFmtId="0" fontId="14" fillId="5" borderId="0" xfId="0" applyFont="1" applyFill="1" applyAlignment="1">
      <alignment horizontal="center"/>
    </xf>
    <xf numFmtId="14" fontId="36" fillId="4" borderId="11" xfId="0" applyNumberFormat="1" applyFont="1" applyFill="1" applyBorder="1" applyAlignment="1" applyProtection="1">
      <alignment horizontal="left"/>
      <protection locked="0"/>
    </xf>
    <xf numFmtId="0" fontId="32" fillId="4" borderId="11" xfId="1" applyNumberFormat="1" applyFont="1" applyFill="1" applyBorder="1" applyProtection="1">
      <protection locked="0"/>
    </xf>
    <xf numFmtId="0" fontId="32" fillId="4" borderId="3" xfId="1" applyNumberFormat="1" applyFont="1" applyFill="1" applyBorder="1" applyProtection="1">
      <protection locked="0"/>
    </xf>
    <xf numFmtId="0" fontId="32" fillId="4" borderId="18" xfId="1" applyNumberFormat="1" applyFont="1" applyFill="1" applyBorder="1" applyProtection="1">
      <protection locked="0"/>
    </xf>
    <xf numFmtId="166" fontId="21" fillId="10" borderId="11" xfId="1" applyFont="1" applyFill="1" applyBorder="1"/>
    <xf numFmtId="172" fontId="12" fillId="0" borderId="0" xfId="0" applyNumberFormat="1" applyFont="1"/>
    <xf numFmtId="0" fontId="46" fillId="0" borderId="1" xfId="0" applyFont="1" applyBorder="1"/>
    <xf numFmtId="169" fontId="46" fillId="0" borderId="1" xfId="0" applyNumberFormat="1" applyFont="1" applyBorder="1"/>
    <xf numFmtId="2" fontId="46" fillId="0" borderId="1" xfId="1" applyNumberFormat="1" applyFont="1" applyBorder="1"/>
    <xf numFmtId="0" fontId="47" fillId="0" borderId="1" xfId="0" applyFont="1" applyBorder="1"/>
    <xf numFmtId="166" fontId="46" fillId="0" borderId="1" xfId="1" applyFont="1" applyBorder="1"/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169" fontId="23" fillId="2" borderId="24" xfId="0" applyNumberFormat="1" applyFont="1" applyFill="1" applyBorder="1" applyAlignment="1">
      <alignment horizontal="center"/>
    </xf>
    <xf numFmtId="166" fontId="23" fillId="2" borderId="24" xfId="1" applyFont="1" applyFill="1" applyBorder="1" applyAlignment="1">
      <alignment horizontal="center"/>
    </xf>
    <xf numFmtId="2" fontId="23" fillId="2" borderId="24" xfId="1" applyNumberFormat="1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0" fontId="10" fillId="8" borderId="0" xfId="2" applyFill="1"/>
    <xf numFmtId="172" fontId="12" fillId="0" borderId="2" xfId="0" applyNumberFormat="1" applyFont="1" applyBorder="1"/>
    <xf numFmtId="0" fontId="12" fillId="0" borderId="2" xfId="0" applyFont="1" applyBorder="1" applyAlignment="1">
      <alignment horizontal="center"/>
    </xf>
    <xf numFmtId="166" fontId="12" fillId="0" borderId="2" xfId="1" applyFont="1" applyBorder="1"/>
    <xf numFmtId="171" fontId="12" fillId="0" borderId="27" xfId="1" applyNumberFormat="1" applyFont="1" applyBorder="1"/>
    <xf numFmtId="171" fontId="12" fillId="0" borderId="2" xfId="0" applyNumberFormat="1" applyFont="1" applyBorder="1"/>
    <xf numFmtId="0" fontId="48" fillId="0" borderId="26" xfId="0" applyFont="1" applyBorder="1" applyAlignment="1">
      <alignment horizontal="left"/>
    </xf>
    <xf numFmtId="0" fontId="48" fillId="0" borderId="2" xfId="0" applyFont="1" applyBorder="1" applyAlignment="1">
      <alignment horizontal="left"/>
    </xf>
    <xf numFmtId="169" fontId="48" fillId="0" borderId="2" xfId="0" applyNumberFormat="1" applyFont="1" applyBorder="1" applyAlignment="1">
      <alignment horizontal="left"/>
    </xf>
    <xf numFmtId="166" fontId="48" fillId="0" borderId="2" xfId="1" applyFont="1" applyFill="1" applyBorder="1" applyAlignment="1">
      <alignment horizontal="left"/>
    </xf>
    <xf numFmtId="2" fontId="48" fillId="0" borderId="2" xfId="1" applyNumberFormat="1" applyFont="1" applyFill="1" applyBorder="1" applyAlignment="1">
      <alignment horizontal="left"/>
    </xf>
    <xf numFmtId="0" fontId="48" fillId="0" borderId="27" xfId="0" applyFont="1" applyBorder="1" applyAlignment="1">
      <alignment horizontal="left"/>
    </xf>
    <xf numFmtId="0" fontId="48" fillId="0" borderId="2" xfId="2" applyFont="1" applyFill="1" applyBorder="1" applyAlignment="1">
      <alignment horizontal="left"/>
    </xf>
    <xf numFmtId="0" fontId="32" fillId="4" borderId="21" xfId="1" applyNumberFormat="1" applyFont="1" applyFill="1" applyBorder="1" applyProtection="1">
      <protection locked="0"/>
    </xf>
    <xf numFmtId="0" fontId="32" fillId="5" borderId="0" xfId="0" applyFont="1" applyFill="1"/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14" fontId="14" fillId="5" borderId="0" xfId="0" applyNumberFormat="1" applyFont="1" applyFill="1"/>
    <xf numFmtId="164" fontId="14" fillId="5" borderId="0" xfId="0" applyNumberFormat="1" applyFont="1" applyFill="1"/>
    <xf numFmtId="0" fontId="52" fillId="4" borderId="11" xfId="1" applyNumberFormat="1" applyFont="1" applyFill="1" applyBorder="1" applyProtection="1">
      <protection locked="0"/>
    </xf>
    <xf numFmtId="0" fontId="52" fillId="4" borderId="13" xfId="0" applyFont="1" applyFill="1" applyBorder="1" applyAlignment="1" applyProtection="1">
      <alignment horizontal="center" vertical="center" wrapText="1"/>
      <protection locked="0"/>
    </xf>
    <xf numFmtId="0" fontId="52" fillId="4" borderId="11" xfId="0" applyFont="1" applyFill="1" applyBorder="1" applyAlignment="1" applyProtection="1">
      <alignment horizontal="center" vertical="center" wrapText="1"/>
      <protection locked="0"/>
    </xf>
    <xf numFmtId="166" fontId="52" fillId="4" borderId="3" xfId="1" applyFont="1" applyFill="1" applyBorder="1" applyProtection="1"/>
    <xf numFmtId="0" fontId="52" fillId="4" borderId="3" xfId="1" applyNumberFormat="1" applyFont="1" applyFill="1" applyBorder="1" applyProtection="1">
      <protection locked="0"/>
    </xf>
    <xf numFmtId="0" fontId="52" fillId="4" borderId="21" xfId="1" applyNumberFormat="1" applyFont="1" applyFill="1" applyBorder="1" applyProtection="1">
      <protection locked="0"/>
    </xf>
    <xf numFmtId="0" fontId="52" fillId="4" borderId="18" xfId="1" applyNumberFormat="1" applyFont="1" applyFill="1" applyBorder="1" applyProtection="1">
      <protection locked="0"/>
    </xf>
    <xf numFmtId="0" fontId="49" fillId="8" borderId="3" xfId="0" applyFont="1" applyFill="1" applyBorder="1"/>
    <xf numFmtId="0" fontId="49" fillId="8" borderId="18" xfId="0" applyFont="1" applyFill="1" applyBorder="1"/>
    <xf numFmtId="14" fontId="50" fillId="4" borderId="11" xfId="0" applyNumberFormat="1" applyFont="1" applyFill="1" applyBorder="1" applyAlignment="1">
      <alignment horizontal="right"/>
    </xf>
    <xf numFmtId="0" fontId="8" fillId="12" borderId="3" xfId="0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171" fontId="8" fillId="12" borderId="3" xfId="0" applyNumberFormat="1" applyFont="1" applyFill="1" applyBorder="1" applyAlignment="1">
      <alignment horizontal="center"/>
    </xf>
    <xf numFmtId="0" fontId="0" fillId="12" borderId="0" xfId="0" applyFill="1"/>
    <xf numFmtId="171" fontId="0" fillId="12" borderId="0" xfId="0" applyNumberFormat="1" applyFill="1"/>
    <xf numFmtId="0" fontId="0" fillId="13" borderId="0" xfId="0" applyFill="1" applyAlignment="1">
      <alignment horizontal="center"/>
    </xf>
    <xf numFmtId="0" fontId="0" fillId="13" borderId="0" xfId="0" applyFill="1"/>
    <xf numFmtId="171" fontId="0" fillId="13" borderId="0" xfId="0" applyNumberFormat="1" applyFill="1"/>
    <xf numFmtId="0" fontId="53" fillId="3" borderId="46" xfId="0" applyFont="1" applyFill="1" applyBorder="1" applyAlignment="1">
      <alignment horizontal="center"/>
    </xf>
    <xf numFmtId="0" fontId="53" fillId="3" borderId="49" xfId="0" applyFont="1" applyFill="1" applyBorder="1" applyAlignment="1">
      <alignment horizontal="center"/>
    </xf>
    <xf numFmtId="171" fontId="53" fillId="3" borderId="46" xfId="0" applyNumberFormat="1" applyFont="1" applyFill="1" applyBorder="1" applyAlignment="1">
      <alignment horizontal="center"/>
    </xf>
    <xf numFmtId="14" fontId="21" fillId="10" borderId="47" xfId="0" applyNumberFormat="1" applyFont="1" applyFill="1" applyBorder="1"/>
    <xf numFmtId="171" fontId="21" fillId="10" borderId="46" xfId="0" applyNumberFormat="1" applyFont="1" applyFill="1" applyBorder="1"/>
    <xf numFmtId="14" fontId="21" fillId="10" borderId="46" xfId="0" applyNumberFormat="1" applyFont="1" applyFill="1" applyBorder="1"/>
    <xf numFmtId="0" fontId="2" fillId="13" borderId="0" xfId="0" applyFont="1" applyFill="1"/>
    <xf numFmtId="171" fontId="2" fillId="13" borderId="0" xfId="1" applyNumberFormat="1" applyFont="1" applyFill="1"/>
    <xf numFmtId="0" fontId="2" fillId="12" borderId="0" xfId="0" applyFont="1" applyFill="1"/>
    <xf numFmtId="171" fontId="2" fillId="12" borderId="0" xfId="1" applyNumberFormat="1" applyFont="1" applyFill="1"/>
    <xf numFmtId="0" fontId="7" fillId="0" borderId="0" xfId="0" applyFont="1" applyAlignment="1">
      <alignment horizontal="center" vertical="center" wrapText="1"/>
    </xf>
    <xf numFmtId="0" fontId="54" fillId="0" borderId="0" xfId="0" applyFont="1"/>
    <xf numFmtId="0" fontId="47" fillId="0" borderId="0" xfId="0" applyFont="1"/>
    <xf numFmtId="0" fontId="58" fillId="0" borderId="18" xfId="0" applyFont="1" applyBorder="1" applyAlignment="1">
      <alignment horizontal="center"/>
    </xf>
    <xf numFmtId="0" fontId="58" fillId="0" borderId="18" xfId="0" applyFont="1" applyBorder="1"/>
    <xf numFmtId="0" fontId="58" fillId="0" borderId="13" xfId="0" applyFont="1" applyBorder="1"/>
    <xf numFmtId="0" fontId="58" fillId="0" borderId="15" xfId="0" applyFont="1" applyBorder="1"/>
    <xf numFmtId="0" fontId="58" fillId="0" borderId="3" xfId="0" applyFont="1" applyBorder="1"/>
    <xf numFmtId="0" fontId="59" fillId="0" borderId="0" xfId="0" applyFont="1"/>
    <xf numFmtId="0" fontId="58" fillId="0" borderId="3" xfId="0" applyFont="1" applyBorder="1" applyAlignment="1">
      <alignment vertical="center"/>
    </xf>
    <xf numFmtId="166" fontId="58" fillId="0" borderId="3" xfId="1" applyFont="1" applyFill="1" applyBorder="1" applyAlignment="1" applyProtection="1">
      <alignment vertical="center"/>
    </xf>
    <xf numFmtId="0" fontId="57" fillId="0" borderId="0" xfId="0" applyFont="1" applyAlignment="1">
      <alignment horizontal="center" vertical="center" wrapText="1"/>
    </xf>
    <xf numFmtId="0" fontId="46" fillId="0" borderId="0" xfId="0" applyFont="1"/>
    <xf numFmtId="0" fontId="46" fillId="0" borderId="3" xfId="0" applyFont="1" applyBorder="1"/>
    <xf numFmtId="0" fontId="46" fillId="0" borderId="21" xfId="0" applyFont="1" applyBorder="1"/>
    <xf numFmtId="0" fontId="58" fillId="0" borderId="54" xfId="0" applyFont="1" applyBorder="1" applyAlignment="1">
      <alignment horizontal="center" vertical="center"/>
    </xf>
    <xf numFmtId="0" fontId="47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8" fillId="0" borderId="45" xfId="0" applyFont="1" applyBorder="1" applyAlignment="1">
      <alignment horizontal="center" vertical="center"/>
    </xf>
    <xf numFmtId="0" fontId="58" fillId="0" borderId="11" xfId="1" applyNumberFormat="1" applyFont="1" applyFill="1" applyBorder="1" applyAlignment="1" applyProtection="1">
      <alignment vertical="center"/>
      <protection locked="0"/>
    </xf>
    <xf numFmtId="0" fontId="58" fillId="0" borderId="3" xfId="1" applyNumberFormat="1" applyFont="1" applyFill="1" applyBorder="1" applyAlignment="1" applyProtection="1">
      <alignment vertical="center"/>
      <protection locked="0"/>
    </xf>
    <xf numFmtId="0" fontId="58" fillId="0" borderId="21" xfId="1" applyNumberFormat="1" applyFont="1" applyFill="1" applyBorder="1" applyAlignment="1" applyProtection="1">
      <alignment vertical="center"/>
      <protection locked="0"/>
    </xf>
    <xf numFmtId="0" fontId="51" fillId="8" borderId="3" xfId="0" applyFont="1" applyFill="1" applyBorder="1" applyAlignment="1">
      <alignment horizontal="center"/>
    </xf>
    <xf numFmtId="0" fontId="51" fillId="8" borderId="11" xfId="0" applyFont="1" applyFill="1" applyBorder="1" applyAlignment="1">
      <alignment horizontal="center"/>
    </xf>
    <xf numFmtId="0" fontId="51" fillId="8" borderId="21" xfId="0" applyFont="1" applyFill="1" applyBorder="1" applyAlignment="1">
      <alignment horizontal="center"/>
    </xf>
    <xf numFmtId="0" fontId="51" fillId="8" borderId="18" xfId="0" applyFont="1" applyFill="1" applyBorder="1"/>
    <xf numFmtId="0" fontId="51" fillId="8" borderId="13" xfId="0" applyFont="1" applyFill="1" applyBorder="1"/>
    <xf numFmtId="0" fontId="51" fillId="8" borderId="15" xfId="0" applyFont="1" applyFill="1" applyBorder="1"/>
    <xf numFmtId="0" fontId="51" fillId="8" borderId="3" xfId="0" applyFont="1" applyFill="1" applyBorder="1"/>
    <xf numFmtId="0" fontId="19" fillId="4" borderId="3" xfId="0" applyFont="1" applyFill="1" applyBorder="1" applyAlignment="1">
      <alignment horizontal="center"/>
    </xf>
    <xf numFmtId="0" fontId="19" fillId="4" borderId="18" xfId="1" applyNumberFormat="1" applyFont="1" applyFill="1" applyBorder="1"/>
    <xf numFmtId="0" fontId="25" fillId="4" borderId="3" xfId="0" applyFont="1" applyFill="1" applyBorder="1"/>
    <xf numFmtId="0" fontId="14" fillId="4" borderId="0" xfId="0" applyFont="1" applyFill="1"/>
    <xf numFmtId="0" fontId="60" fillId="8" borderId="0" xfId="0" applyFont="1" applyFill="1"/>
    <xf numFmtId="16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right" vertical="center"/>
    </xf>
    <xf numFmtId="166" fontId="12" fillId="0" borderId="0" xfId="1" applyFont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0" fontId="61" fillId="4" borderId="0" xfId="0" applyFont="1" applyFill="1"/>
    <xf numFmtId="14" fontId="61" fillId="4" borderId="0" xfId="0" applyNumberFormat="1" applyFont="1" applyFill="1"/>
    <xf numFmtId="164" fontId="61" fillId="4" borderId="0" xfId="0" applyNumberFormat="1" applyFont="1" applyFill="1"/>
    <xf numFmtId="171" fontId="21" fillId="10" borderId="48" xfId="1" applyNumberFormat="1" applyFont="1" applyFill="1" applyBorder="1"/>
    <xf numFmtId="14" fontId="62" fillId="10" borderId="3" xfId="0" applyNumberFormat="1" applyFont="1" applyFill="1" applyBorder="1" applyAlignment="1">
      <alignment horizontal="right"/>
    </xf>
    <xf numFmtId="0" fontId="63" fillId="10" borderId="3" xfId="0" applyFont="1" applyFill="1" applyBorder="1"/>
    <xf numFmtId="0" fontId="26" fillId="10" borderId="3" xfId="0" applyFont="1" applyFill="1" applyBorder="1"/>
    <xf numFmtId="0" fontId="26" fillId="10" borderId="3" xfId="0" applyFont="1" applyFill="1" applyBorder="1" applyAlignment="1">
      <alignment horizontal="center" vertical="center"/>
    </xf>
    <xf numFmtId="166" fontId="26" fillId="10" borderId="3" xfId="1" applyFont="1" applyFill="1" applyBorder="1"/>
    <xf numFmtId="0" fontId="9" fillId="2" borderId="59" xfId="0" applyFont="1" applyFill="1" applyBorder="1" applyAlignment="1">
      <alignment horizontal="center" vertical="center"/>
    </xf>
    <xf numFmtId="0" fontId="9" fillId="2" borderId="60" xfId="0" applyFont="1" applyFill="1" applyBorder="1" applyAlignment="1">
      <alignment horizontal="center" vertical="center"/>
    </xf>
    <xf numFmtId="0" fontId="9" fillId="2" borderId="60" xfId="0" applyFont="1" applyFill="1" applyBorder="1" applyAlignment="1">
      <alignment horizontal="center" vertical="center" wrapText="1"/>
    </xf>
    <xf numFmtId="0" fontId="7" fillId="2" borderId="60" xfId="0" applyFont="1" applyFill="1" applyBorder="1" applyAlignment="1">
      <alignment horizontal="center" vertical="center" wrapText="1"/>
    </xf>
    <xf numFmtId="0" fontId="7" fillId="14" borderId="60" xfId="0" applyFont="1" applyFill="1" applyBorder="1" applyAlignment="1">
      <alignment horizontal="center" vertical="center" wrapText="1"/>
    </xf>
    <xf numFmtId="0" fontId="7" fillId="2" borderId="60" xfId="0" applyFont="1" applyFill="1" applyBorder="1" applyAlignment="1">
      <alignment horizontal="center" vertical="center"/>
    </xf>
    <xf numFmtId="0" fontId="51" fillId="15" borderId="18" xfId="0" applyFont="1" applyFill="1" applyBorder="1"/>
    <xf numFmtId="0" fontId="51" fillId="15" borderId="13" xfId="0" applyFont="1" applyFill="1" applyBorder="1"/>
    <xf numFmtId="0" fontId="51" fillId="15" borderId="15" xfId="0" applyFont="1" applyFill="1" applyBorder="1"/>
    <xf numFmtId="0" fontId="51" fillId="15" borderId="3" xfId="0" applyFont="1" applyFill="1" applyBorder="1"/>
    <xf numFmtId="0" fontId="31" fillId="15" borderId="18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/>
    </xf>
    <xf numFmtId="0" fontId="31" fillId="15" borderId="54" xfId="0" applyFont="1" applyFill="1" applyBorder="1" applyAlignment="1">
      <alignment horizontal="center"/>
    </xf>
    <xf numFmtId="0" fontId="50" fillId="4" borderId="3" xfId="1" applyNumberFormat="1" applyFont="1" applyFill="1" applyBorder="1" applyProtection="1">
      <protection locked="0"/>
    </xf>
    <xf numFmtId="0" fontId="50" fillId="4" borderId="21" xfId="1" applyNumberFormat="1" applyFont="1" applyFill="1" applyBorder="1" applyProtection="1">
      <protection locked="0"/>
    </xf>
    <xf numFmtId="0" fontId="50" fillId="4" borderId="18" xfId="1" applyNumberFormat="1" applyFont="1" applyFill="1" applyBorder="1" applyProtection="1">
      <protection locked="0"/>
    </xf>
    <xf numFmtId="0" fontId="67" fillId="4" borderId="11" xfId="1" applyNumberFormat="1" applyFont="1" applyFill="1" applyBorder="1" applyProtection="1">
      <protection locked="0"/>
    </xf>
    <xf numFmtId="0" fontId="67" fillId="4" borderId="3" xfId="1" applyNumberFormat="1" applyFont="1" applyFill="1" applyBorder="1" applyProtection="1">
      <protection locked="0"/>
    </xf>
    <xf numFmtId="0" fontId="67" fillId="4" borderId="21" xfId="1" applyNumberFormat="1" applyFont="1" applyFill="1" applyBorder="1" applyProtection="1">
      <protection locked="0"/>
    </xf>
    <xf numFmtId="0" fontId="67" fillId="4" borderId="18" xfId="1" applyNumberFormat="1" applyFont="1" applyFill="1" applyBorder="1" applyProtection="1">
      <protection locked="0"/>
    </xf>
    <xf numFmtId="0" fontId="51" fillId="15" borderId="3" xfId="0" applyFont="1" applyFill="1" applyBorder="1" applyAlignment="1">
      <alignment horizontal="center"/>
    </xf>
    <xf numFmtId="0" fontId="51" fillId="15" borderId="21" xfId="0" applyFont="1" applyFill="1" applyBorder="1" applyAlignment="1">
      <alignment horizontal="center"/>
    </xf>
    <xf numFmtId="0" fontId="0" fillId="15" borderId="0" xfId="0" applyFill="1"/>
    <xf numFmtId="166" fontId="52" fillId="4" borderId="21" xfId="1" applyFont="1" applyFill="1" applyBorder="1" applyProtection="1"/>
    <xf numFmtId="0" fontId="66" fillId="15" borderId="3" xfId="0" applyFont="1" applyFill="1" applyBorder="1" applyAlignment="1">
      <alignment horizontal="right" vertical="center"/>
    </xf>
    <xf numFmtId="0" fontId="66" fillId="15" borderId="21" xfId="0" applyFont="1" applyFill="1" applyBorder="1" applyAlignment="1">
      <alignment horizontal="right"/>
    </xf>
    <xf numFmtId="0" fontId="71" fillId="5" borderId="0" xfId="0" applyFont="1" applyFill="1"/>
    <xf numFmtId="0" fontId="72" fillId="2" borderId="0" xfId="0" applyFont="1" applyFill="1" applyAlignment="1">
      <alignment horizontal="center" vertical="center"/>
    </xf>
    <xf numFmtId="0" fontId="24" fillId="10" borderId="3" xfId="0" applyFont="1" applyFill="1" applyBorder="1" applyAlignment="1">
      <alignment horizontal="right" vertical="center"/>
    </xf>
    <xf numFmtId="166" fontId="24" fillId="10" borderId="3" xfId="1" applyFont="1" applyFill="1" applyBorder="1" applyAlignment="1">
      <alignment horizontal="right" vertical="center"/>
    </xf>
    <xf numFmtId="0" fontId="0" fillId="0" borderId="34" xfId="0" applyBorder="1"/>
    <xf numFmtId="0" fontId="3" fillId="2" borderId="2" xfId="0" applyFont="1" applyFill="1" applyBorder="1" applyAlignment="1">
      <alignment horizontal="center"/>
    </xf>
    <xf numFmtId="0" fontId="5" fillId="0" borderId="34" xfId="0" applyFont="1" applyBorder="1"/>
    <xf numFmtId="170" fontId="5" fillId="0" borderId="34" xfId="0" applyNumberFormat="1" applyFont="1" applyBorder="1"/>
    <xf numFmtId="168" fontId="5" fillId="0" borderId="34" xfId="0" applyNumberFormat="1" applyFont="1" applyBorder="1"/>
    <xf numFmtId="0" fontId="5" fillId="0" borderId="34" xfId="0" applyFont="1" applyBorder="1" applyAlignment="1">
      <alignment horizontal="center"/>
    </xf>
    <xf numFmtId="169" fontId="5" fillId="0" borderId="34" xfId="0" applyNumberFormat="1" applyFont="1" applyBorder="1"/>
    <xf numFmtId="166" fontId="5" fillId="0" borderId="34" xfId="1" applyFont="1" applyBorder="1"/>
    <xf numFmtId="0" fontId="10" fillId="0" borderId="34" xfId="2" applyBorder="1"/>
    <xf numFmtId="166" fontId="5" fillId="0" borderId="34" xfId="1" applyFont="1" applyFill="1" applyBorder="1"/>
    <xf numFmtId="169" fontId="5" fillId="0" borderId="34" xfId="0" applyNumberFormat="1" applyFont="1" applyBorder="1" applyAlignment="1">
      <alignment horizontal="center"/>
    </xf>
    <xf numFmtId="0" fontId="12" fillId="0" borderId="34" xfId="0" applyFont="1" applyBorder="1"/>
    <xf numFmtId="166" fontId="0" fillId="0" borderId="34" xfId="1" applyFont="1" applyBorder="1"/>
    <xf numFmtId="0" fontId="2" fillId="0" borderId="34" xfId="0" applyFont="1" applyBorder="1" applyAlignment="1">
      <alignment horizontal="center"/>
    </xf>
    <xf numFmtId="166" fontId="2" fillId="0" borderId="34" xfId="1" applyFont="1" applyBorder="1"/>
    <xf numFmtId="164" fontId="12" fillId="0" borderId="0" xfId="0" applyNumberFormat="1" applyFont="1"/>
    <xf numFmtId="22" fontId="12" fillId="0" borderId="0" xfId="0" applyNumberFormat="1" applyFont="1"/>
    <xf numFmtId="0" fontId="9" fillId="2" borderId="63" xfId="0" applyFont="1" applyFill="1" applyBorder="1" applyAlignment="1">
      <alignment horizontal="center" vertical="center" wrapText="1"/>
    </xf>
    <xf numFmtId="164" fontId="2" fillId="0" borderId="0" xfId="0" applyNumberFormat="1" applyFont="1"/>
    <xf numFmtId="0" fontId="2" fillId="0" borderId="0" xfId="0" applyFont="1" applyAlignment="1">
      <alignment horizontal="center"/>
    </xf>
    <xf numFmtId="22" fontId="2" fillId="0" borderId="0" xfId="0" applyNumberFormat="1" applyFont="1"/>
    <xf numFmtId="14" fontId="0" fillId="15" borderId="0" xfId="0" applyNumberFormat="1" applyFill="1"/>
    <xf numFmtId="0" fontId="55" fillId="0" borderId="0" xfId="0" applyFont="1"/>
    <xf numFmtId="173" fontId="12" fillId="0" borderId="0" xfId="0" applyNumberFormat="1" applyFont="1"/>
    <xf numFmtId="14" fontId="9" fillId="2" borderId="60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0" fontId="48" fillId="0" borderId="1" xfId="0" applyFont="1" applyBorder="1" applyAlignment="1">
      <alignment horizontal="left"/>
    </xf>
    <xf numFmtId="0" fontId="46" fillId="0" borderId="2" xfId="0" applyFont="1" applyBorder="1"/>
    <xf numFmtId="169" fontId="46" fillId="0" borderId="2" xfId="0" applyNumberFormat="1" applyFont="1" applyBorder="1"/>
    <xf numFmtId="169" fontId="48" fillId="0" borderId="1" xfId="0" applyNumberFormat="1" applyFont="1" applyBorder="1" applyAlignment="1">
      <alignment horizontal="left"/>
    </xf>
    <xf numFmtId="166" fontId="46" fillId="0" borderId="2" xfId="1" applyFont="1" applyBorder="1"/>
    <xf numFmtId="166" fontId="48" fillId="0" borderId="1" xfId="1" applyFont="1" applyFill="1" applyBorder="1" applyAlignment="1">
      <alignment horizontal="left"/>
    </xf>
    <xf numFmtId="2" fontId="46" fillId="0" borderId="2" xfId="1" applyNumberFormat="1" applyFont="1" applyBorder="1"/>
    <xf numFmtId="2" fontId="48" fillId="0" borderId="1" xfId="1" applyNumberFormat="1" applyFont="1" applyFill="1" applyBorder="1" applyAlignment="1">
      <alignment horizontal="left"/>
    </xf>
    <xf numFmtId="0" fontId="47" fillId="0" borderId="2" xfId="0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0" fontId="47" fillId="0" borderId="27" xfId="0" applyFont="1" applyBorder="1"/>
    <xf numFmtId="14" fontId="12" fillId="0" borderId="0" xfId="0" applyNumberFormat="1" applyFont="1" applyAlignment="1">
      <alignment horizontal="center"/>
    </xf>
    <xf numFmtId="0" fontId="12" fillId="16" borderId="0" xfId="0" applyFont="1" applyFill="1"/>
    <xf numFmtId="22" fontId="12" fillId="0" borderId="2" xfId="0" applyNumberFormat="1" applyFont="1" applyBorder="1"/>
    <xf numFmtId="7" fontId="12" fillId="0" borderId="2" xfId="0" applyNumberFormat="1" applyFont="1" applyBorder="1"/>
    <xf numFmtId="14" fontId="0" fillId="3" borderId="0" xfId="0" applyNumberFormat="1" applyFill="1"/>
    <xf numFmtId="172" fontId="2" fillId="0" borderId="0" xfId="0" applyNumberFormat="1" applyFont="1"/>
    <xf numFmtId="173" fontId="2" fillId="0" borderId="0" xfId="0" applyNumberFormat="1" applyFont="1"/>
    <xf numFmtId="0" fontId="48" fillId="0" borderId="1" xfId="2" applyFont="1" applyFill="1" applyBorder="1" applyAlignment="1">
      <alignment horizontal="left"/>
    </xf>
    <xf numFmtId="0" fontId="48" fillId="6" borderId="26" xfId="0" applyFont="1" applyFill="1" applyBorder="1" applyAlignment="1">
      <alignment horizontal="left"/>
    </xf>
    <xf numFmtId="0" fontId="46" fillId="12" borderId="26" xfId="0" applyFont="1" applyFill="1" applyBorder="1"/>
    <xf numFmtId="0" fontId="48" fillId="12" borderId="26" xfId="0" applyFont="1" applyFill="1" applyBorder="1" applyAlignment="1">
      <alignment horizontal="left"/>
    </xf>
    <xf numFmtId="0" fontId="48" fillId="17" borderId="26" xfId="0" applyFont="1" applyFill="1" applyBorder="1" applyAlignment="1">
      <alignment horizontal="left"/>
    </xf>
    <xf numFmtId="0" fontId="48" fillId="2" borderId="26" xfId="0" applyFont="1" applyFill="1" applyBorder="1" applyAlignment="1">
      <alignment horizontal="left"/>
    </xf>
    <xf numFmtId="0" fontId="48" fillId="17" borderId="1" xfId="0" applyFont="1" applyFill="1" applyBorder="1" applyAlignment="1">
      <alignment horizontal="left"/>
    </xf>
    <xf numFmtId="0" fontId="46" fillId="17" borderId="26" xfId="0" applyFont="1" applyFill="1" applyBorder="1"/>
    <xf numFmtId="0" fontId="48" fillId="6" borderId="1" xfId="0" applyFont="1" applyFill="1" applyBorder="1" applyAlignment="1">
      <alignment horizontal="left"/>
    </xf>
    <xf numFmtId="0" fontId="48" fillId="11" borderId="26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171" fontId="12" fillId="0" borderId="0" xfId="0" applyNumberFormat="1" applyFont="1"/>
    <xf numFmtId="0" fontId="9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1" fillId="10" borderId="3" xfId="0" applyFont="1" applyFill="1" applyBorder="1" applyAlignment="1">
      <alignment horizontal="left" vertical="top" wrapText="1"/>
    </xf>
    <xf numFmtId="0" fontId="42" fillId="4" borderId="13" xfId="0" applyFont="1" applyFill="1" applyBorder="1" applyAlignment="1" applyProtection="1">
      <alignment horizontal="center" vertical="center" wrapText="1"/>
      <protection locked="0"/>
    </xf>
    <xf numFmtId="0" fontId="42" fillId="4" borderId="11" xfId="0" applyFont="1" applyFill="1" applyBorder="1" applyAlignment="1" applyProtection="1">
      <alignment horizontal="center" vertical="center" wrapText="1"/>
      <protection locked="0"/>
    </xf>
    <xf numFmtId="0" fontId="42" fillId="4" borderId="13" xfId="0" applyFont="1" applyFill="1" applyBorder="1" applyAlignment="1" applyProtection="1">
      <alignment horizontal="center" vertical="center"/>
      <protection locked="0"/>
    </xf>
    <xf numFmtId="0" fontId="42" fillId="4" borderId="11" xfId="0" applyFont="1" applyFill="1" applyBorder="1" applyAlignment="1" applyProtection="1">
      <alignment horizontal="center" vertical="center"/>
      <protection locked="0"/>
    </xf>
    <xf numFmtId="0" fontId="42" fillId="4" borderId="15" xfId="0" applyFont="1" applyFill="1" applyBorder="1" applyAlignment="1" applyProtection="1">
      <alignment horizontal="center" vertical="center" wrapText="1"/>
      <protection locked="0"/>
    </xf>
    <xf numFmtId="0" fontId="42" fillId="4" borderId="45" xfId="0" applyFont="1" applyFill="1" applyBorder="1" applyAlignment="1" applyProtection="1">
      <alignment horizontal="center" vertical="center" wrapText="1"/>
      <protection locked="0"/>
    </xf>
    <xf numFmtId="0" fontId="45" fillId="5" borderId="3" xfId="0" applyFont="1" applyFill="1" applyBorder="1" applyAlignment="1">
      <alignment horizontal="center" vertical="center"/>
    </xf>
    <xf numFmtId="0" fontId="24" fillId="10" borderId="3" xfId="0" applyFont="1" applyFill="1" applyBorder="1" applyAlignment="1" applyProtection="1">
      <alignment horizontal="left" vertical="top" wrapText="1"/>
      <protection locked="0"/>
    </xf>
    <xf numFmtId="0" fontId="38" fillId="10" borderId="28" xfId="0" applyFont="1" applyFill="1" applyBorder="1" applyAlignment="1" applyProtection="1">
      <alignment horizontal="center" vertical="center"/>
      <protection locked="0"/>
    </xf>
    <xf numFmtId="0" fontId="39" fillId="10" borderId="29" xfId="0" applyFont="1" applyFill="1" applyBorder="1" applyAlignment="1" applyProtection="1">
      <alignment horizontal="center" vertical="center"/>
      <protection locked="0"/>
    </xf>
    <xf numFmtId="0" fontId="39" fillId="10" borderId="30" xfId="0" applyFont="1" applyFill="1" applyBorder="1" applyAlignment="1" applyProtection="1">
      <alignment horizontal="center" vertical="center"/>
      <protection locked="0"/>
    </xf>
    <xf numFmtId="0" fontId="39" fillId="10" borderId="31" xfId="0" applyFont="1" applyFill="1" applyBorder="1" applyAlignment="1" applyProtection="1">
      <alignment horizontal="center" vertical="center"/>
      <protection locked="0"/>
    </xf>
    <xf numFmtId="0" fontId="39" fillId="10" borderId="32" xfId="0" applyFont="1" applyFill="1" applyBorder="1" applyAlignment="1" applyProtection="1">
      <alignment horizontal="center" vertical="center"/>
      <protection locked="0"/>
    </xf>
    <xf numFmtId="0" fontId="39" fillId="10" borderId="33" xfId="0" applyFont="1" applyFill="1" applyBorder="1" applyAlignment="1" applyProtection="1">
      <alignment horizontal="center" vertical="center"/>
      <protection locked="0"/>
    </xf>
    <xf numFmtId="0" fontId="33" fillId="10" borderId="28" xfId="0" applyFont="1" applyFill="1" applyBorder="1" applyAlignment="1" applyProtection="1">
      <alignment horizontal="center" vertical="center"/>
      <protection locked="0"/>
    </xf>
    <xf numFmtId="0" fontId="33" fillId="10" borderId="29" xfId="0" applyFont="1" applyFill="1" applyBorder="1" applyAlignment="1" applyProtection="1">
      <alignment horizontal="center" vertical="center"/>
      <protection locked="0"/>
    </xf>
    <xf numFmtId="0" fontId="33" fillId="10" borderId="30" xfId="0" applyFont="1" applyFill="1" applyBorder="1" applyAlignment="1" applyProtection="1">
      <alignment horizontal="center" vertical="center"/>
      <protection locked="0"/>
    </xf>
    <xf numFmtId="0" fontId="33" fillId="10" borderId="31" xfId="0" applyFont="1" applyFill="1" applyBorder="1" applyAlignment="1" applyProtection="1">
      <alignment horizontal="center" vertical="center"/>
      <protection locked="0"/>
    </xf>
    <xf numFmtId="0" fontId="33" fillId="10" borderId="32" xfId="0" applyFont="1" applyFill="1" applyBorder="1" applyAlignment="1" applyProtection="1">
      <alignment horizontal="center" vertical="center"/>
      <protection locked="0"/>
    </xf>
    <xf numFmtId="0" fontId="33" fillId="10" borderId="33" xfId="0" applyFont="1" applyFill="1" applyBorder="1" applyAlignment="1" applyProtection="1">
      <alignment horizontal="center" vertical="center"/>
      <protection locked="0"/>
    </xf>
    <xf numFmtId="0" fontId="35" fillId="4" borderId="6" xfId="0" applyFont="1" applyFill="1" applyBorder="1" applyAlignment="1" applyProtection="1">
      <alignment horizontal="left"/>
      <protection locked="0"/>
    </xf>
    <xf numFmtId="0" fontId="35" fillId="4" borderId="10" xfId="0" applyFont="1" applyFill="1" applyBorder="1" applyAlignment="1" applyProtection="1">
      <alignment horizontal="left"/>
      <protection locked="0"/>
    </xf>
    <xf numFmtId="0" fontId="35" fillId="4" borderId="7" xfId="0" applyFont="1" applyFill="1" applyBorder="1" applyAlignment="1" applyProtection="1">
      <alignment horizontal="left"/>
      <protection locked="0"/>
    </xf>
    <xf numFmtId="0" fontId="42" fillId="4" borderId="6" xfId="0" applyFont="1" applyFill="1" applyBorder="1" applyAlignment="1" applyProtection="1">
      <alignment horizontal="center" vertical="center" wrapText="1"/>
      <protection locked="0"/>
    </xf>
    <xf numFmtId="0" fontId="42" fillId="4" borderId="7" xfId="0" applyFont="1" applyFill="1" applyBorder="1" applyAlignment="1" applyProtection="1">
      <alignment horizontal="center" vertical="center" wrapText="1"/>
      <protection locked="0"/>
    </xf>
    <xf numFmtId="0" fontId="42" fillId="4" borderId="12" xfId="0" applyFont="1" applyFill="1" applyBorder="1" applyAlignment="1" applyProtection="1">
      <alignment horizontal="center" vertical="center" wrapText="1"/>
      <protection locked="0"/>
    </xf>
    <xf numFmtId="0" fontId="42" fillId="4" borderId="8" xfId="0" applyFont="1" applyFill="1" applyBorder="1" applyAlignment="1" applyProtection="1">
      <alignment horizontal="center" vertical="center" wrapText="1"/>
      <protection locked="0"/>
    </xf>
    <xf numFmtId="0" fontId="42" fillId="4" borderId="9" xfId="0" applyFont="1" applyFill="1" applyBorder="1" applyAlignment="1" applyProtection="1">
      <alignment horizontal="center" vertical="center" wrapText="1"/>
      <protection locked="0"/>
    </xf>
    <xf numFmtId="0" fontId="32" fillId="4" borderId="3" xfId="0" applyFont="1" applyFill="1" applyBorder="1" applyAlignment="1">
      <alignment horizontal="center" vertical="center"/>
    </xf>
    <xf numFmtId="166" fontId="32" fillId="4" borderId="3" xfId="1" applyFont="1" applyFill="1" applyBorder="1" applyAlignment="1" applyProtection="1">
      <alignment horizontal="center" vertical="center"/>
      <protection locked="0"/>
    </xf>
    <xf numFmtId="166" fontId="33" fillId="4" borderId="13" xfId="1" applyFont="1" applyFill="1" applyBorder="1" applyAlignment="1" applyProtection="1">
      <alignment horizontal="left"/>
    </xf>
    <xf numFmtId="166" fontId="33" fillId="4" borderId="17" xfId="1" applyFont="1" applyFill="1" applyBorder="1" applyAlignment="1" applyProtection="1">
      <alignment horizontal="left"/>
    </xf>
    <xf numFmtId="166" fontId="33" fillId="4" borderId="11" xfId="1" applyFont="1" applyFill="1" applyBorder="1" applyAlignment="1" applyProtection="1">
      <alignment horizontal="left"/>
    </xf>
    <xf numFmtId="14" fontId="33" fillId="0" borderId="44" xfId="0" applyNumberFormat="1" applyFont="1" applyBorder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center" vertical="center"/>
      <protection locked="0"/>
    </xf>
    <xf numFmtId="0" fontId="42" fillId="4" borderId="16" xfId="0" applyFont="1" applyFill="1" applyBorder="1" applyAlignment="1" applyProtection="1">
      <alignment horizontal="center" vertical="center" wrapText="1"/>
      <protection locked="0"/>
    </xf>
    <xf numFmtId="0" fontId="31" fillId="5" borderId="20" xfId="0" applyFont="1" applyFill="1" applyBorder="1" applyAlignment="1">
      <alignment horizontal="center"/>
    </xf>
    <xf numFmtId="0" fontId="31" fillId="5" borderId="17" xfId="0" applyFont="1" applyFill="1" applyBorder="1" applyAlignment="1">
      <alignment horizontal="center"/>
    </xf>
    <xf numFmtId="0" fontId="31" fillId="5" borderId="11" xfId="0" applyFont="1" applyFill="1" applyBorder="1" applyAlignment="1">
      <alignment horizontal="center"/>
    </xf>
    <xf numFmtId="169" fontId="37" fillId="4" borderId="6" xfId="0" applyNumberFormat="1" applyFont="1" applyFill="1" applyBorder="1" applyAlignment="1" applyProtection="1">
      <alignment horizontal="center"/>
      <protection locked="0"/>
    </xf>
    <xf numFmtId="169" fontId="37" fillId="4" borderId="7" xfId="0" applyNumberFormat="1" applyFont="1" applyFill="1" applyBorder="1" applyAlignment="1" applyProtection="1">
      <alignment horizontal="center"/>
      <protection locked="0"/>
    </xf>
    <xf numFmtId="0" fontId="32" fillId="4" borderId="5" xfId="0" applyFont="1" applyFill="1" applyBorder="1" applyAlignment="1" applyProtection="1">
      <alignment horizontal="left" wrapText="1"/>
      <protection locked="0"/>
    </xf>
    <xf numFmtId="0" fontId="32" fillId="4" borderId="4" xfId="0" applyFont="1" applyFill="1" applyBorder="1" applyAlignment="1" applyProtection="1">
      <alignment horizontal="left" wrapText="1"/>
      <protection locked="0"/>
    </xf>
    <xf numFmtId="0" fontId="32" fillId="4" borderId="19" xfId="0" applyFont="1" applyFill="1" applyBorder="1" applyAlignment="1" applyProtection="1">
      <alignment horizontal="left" wrapText="1"/>
      <protection locked="0"/>
    </xf>
    <xf numFmtId="0" fontId="42" fillId="4" borderId="14" xfId="0" applyFont="1" applyFill="1" applyBorder="1" applyAlignment="1" applyProtection="1">
      <alignment horizontal="center" vertical="center"/>
      <protection locked="0"/>
    </xf>
    <xf numFmtId="0" fontId="42" fillId="4" borderId="12" xfId="0" applyFont="1" applyFill="1" applyBorder="1" applyAlignment="1" applyProtection="1">
      <alignment horizontal="center" vertical="center"/>
      <protection locked="0"/>
    </xf>
    <xf numFmtId="0" fontId="31" fillId="5" borderId="13" xfId="0" applyFont="1" applyFill="1" applyBorder="1" applyAlignment="1">
      <alignment horizontal="center"/>
    </xf>
    <xf numFmtId="0" fontId="40" fillId="5" borderId="35" xfId="0" applyFont="1" applyFill="1" applyBorder="1" applyAlignment="1">
      <alignment horizontal="center" vertical="center"/>
    </xf>
    <xf numFmtId="0" fontId="40" fillId="5" borderId="36" xfId="0" applyFont="1" applyFill="1" applyBorder="1" applyAlignment="1">
      <alignment horizontal="center" vertical="center"/>
    </xf>
    <xf numFmtId="0" fontId="40" fillId="5" borderId="37" xfId="0" applyFont="1" applyFill="1" applyBorder="1" applyAlignment="1">
      <alignment horizontal="center" vertical="center"/>
    </xf>
    <xf numFmtId="0" fontId="41" fillId="10" borderId="39" xfId="0" applyFont="1" applyFill="1" applyBorder="1" applyAlignment="1" applyProtection="1">
      <alignment horizontal="left"/>
      <protection locked="0"/>
    </xf>
    <xf numFmtId="0" fontId="41" fillId="10" borderId="40" xfId="0" applyFont="1" applyFill="1" applyBorder="1" applyAlignment="1" applyProtection="1">
      <alignment horizontal="left"/>
      <protection locked="0"/>
    </xf>
    <xf numFmtId="0" fontId="41" fillId="10" borderId="41" xfId="0" applyFont="1" applyFill="1" applyBorder="1" applyAlignment="1" applyProtection="1">
      <alignment horizontal="left"/>
      <protection locked="0"/>
    </xf>
    <xf numFmtId="14" fontId="41" fillId="10" borderId="39" xfId="0" applyNumberFormat="1" applyFont="1" applyFill="1" applyBorder="1" applyAlignment="1" applyProtection="1">
      <alignment horizontal="left"/>
      <protection locked="0"/>
    </xf>
    <xf numFmtId="14" fontId="41" fillId="10" borderId="40" xfId="0" applyNumberFormat="1" applyFont="1" applyFill="1" applyBorder="1" applyAlignment="1" applyProtection="1">
      <alignment horizontal="left"/>
      <protection locked="0"/>
    </xf>
    <xf numFmtId="14" fontId="41" fillId="10" borderId="41" xfId="0" applyNumberFormat="1" applyFont="1" applyFill="1" applyBorder="1" applyAlignment="1" applyProtection="1">
      <alignment horizontal="left"/>
      <protection locked="0"/>
    </xf>
    <xf numFmtId="0" fontId="41" fillId="10" borderId="39" xfId="0" applyFont="1" applyFill="1" applyBorder="1" applyAlignment="1" applyProtection="1">
      <alignment horizontal="right"/>
      <protection locked="0"/>
    </xf>
    <xf numFmtId="0" fontId="41" fillId="10" borderId="40" xfId="0" applyFont="1" applyFill="1" applyBorder="1" applyAlignment="1" applyProtection="1">
      <alignment horizontal="right"/>
      <protection locked="0"/>
    </xf>
    <xf numFmtId="0" fontId="41" fillId="10" borderId="41" xfId="0" applyFont="1" applyFill="1" applyBorder="1" applyAlignment="1" applyProtection="1">
      <alignment horizontal="right"/>
      <protection locked="0"/>
    </xf>
    <xf numFmtId="166" fontId="41" fillId="10" borderId="39" xfId="1" applyFont="1" applyFill="1" applyBorder="1" applyAlignment="1" applyProtection="1">
      <alignment horizontal="left"/>
      <protection locked="0"/>
    </xf>
    <xf numFmtId="166" fontId="41" fillId="10" borderId="40" xfId="1" applyFont="1" applyFill="1" applyBorder="1" applyAlignment="1" applyProtection="1">
      <alignment horizontal="left"/>
      <protection locked="0"/>
    </xf>
    <xf numFmtId="166" fontId="41" fillId="10" borderId="41" xfId="1" applyFont="1" applyFill="1" applyBorder="1" applyAlignment="1" applyProtection="1">
      <alignment horizontal="left"/>
      <protection locked="0"/>
    </xf>
    <xf numFmtId="0" fontId="50" fillId="4" borderId="6" xfId="0" applyFont="1" applyFill="1" applyBorder="1" applyAlignment="1">
      <alignment horizontal="left"/>
    </xf>
    <xf numFmtId="0" fontId="50" fillId="4" borderId="10" xfId="0" applyFont="1" applyFill="1" applyBorder="1" applyAlignment="1">
      <alignment horizontal="left"/>
    </xf>
    <xf numFmtId="0" fontId="50" fillId="4" borderId="7" xfId="0" applyFont="1" applyFill="1" applyBorder="1" applyAlignment="1">
      <alignment horizontal="left"/>
    </xf>
    <xf numFmtId="0" fontId="50" fillId="4" borderId="5" xfId="0" applyFont="1" applyFill="1" applyBorder="1" applyAlignment="1">
      <alignment horizontal="left"/>
    </xf>
    <xf numFmtId="0" fontId="50" fillId="4" borderId="4" xfId="0" applyFont="1" applyFill="1" applyBorder="1" applyAlignment="1">
      <alignment horizontal="left"/>
    </xf>
    <xf numFmtId="0" fontId="50" fillId="4" borderId="19" xfId="0" applyFont="1" applyFill="1" applyBorder="1" applyAlignment="1">
      <alignment horizontal="left"/>
    </xf>
    <xf numFmtId="0" fontId="52" fillId="4" borderId="13" xfId="0" applyFont="1" applyFill="1" applyBorder="1" applyAlignment="1" applyProtection="1">
      <alignment horizontal="center" vertical="center" wrapText="1"/>
      <protection locked="0"/>
    </xf>
    <xf numFmtId="0" fontId="52" fillId="4" borderId="11" xfId="0" applyFont="1" applyFill="1" applyBorder="1" applyAlignment="1" applyProtection="1">
      <alignment horizontal="center" vertical="center" wrapText="1"/>
      <protection locked="0"/>
    </xf>
    <xf numFmtId="0" fontId="51" fillId="8" borderId="13" xfId="0" applyFont="1" applyFill="1" applyBorder="1" applyAlignment="1">
      <alignment horizontal="center"/>
    </xf>
    <xf numFmtId="0" fontId="51" fillId="8" borderId="17" xfId="0" applyFont="1" applyFill="1" applyBorder="1" applyAlignment="1">
      <alignment horizontal="center"/>
    </xf>
    <xf numFmtId="0" fontId="51" fillId="8" borderId="11" xfId="0" applyFont="1" applyFill="1" applyBorder="1" applyAlignment="1">
      <alignment horizontal="center"/>
    </xf>
    <xf numFmtId="0" fontId="50" fillId="4" borderId="13" xfId="0" applyFont="1" applyFill="1" applyBorder="1" applyAlignment="1">
      <alignment horizontal="center"/>
    </xf>
    <xf numFmtId="0" fontId="50" fillId="4" borderId="11" xfId="0" applyFont="1" applyFill="1" applyBorder="1" applyAlignment="1">
      <alignment horizontal="center"/>
    </xf>
    <xf numFmtId="11" fontId="18" fillId="8" borderId="17" xfId="0" applyNumberFormat="1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26" fillId="4" borderId="13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8" fillId="4" borderId="3" xfId="0" applyFont="1" applyFill="1" applyBorder="1" applyAlignment="1">
      <alignment horizontal="center" vertical="center"/>
    </xf>
    <xf numFmtId="166" fontId="28" fillId="4" borderId="3" xfId="1" applyFont="1" applyFill="1" applyBorder="1" applyAlignment="1">
      <alignment horizontal="center" vertical="center"/>
    </xf>
    <xf numFmtId="166" fontId="19" fillId="4" borderId="13" xfId="1" applyFont="1" applyFill="1" applyBorder="1" applyAlignment="1">
      <alignment horizontal="center" vertical="center"/>
    </xf>
    <xf numFmtId="166" fontId="19" fillId="4" borderId="17" xfId="1" applyFont="1" applyFill="1" applyBorder="1" applyAlignment="1">
      <alignment horizontal="center" vertical="center"/>
    </xf>
    <xf numFmtId="166" fontId="19" fillId="4" borderId="11" xfId="1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/>
    </xf>
    <xf numFmtId="0" fontId="24" fillId="4" borderId="11" xfId="0" applyFont="1" applyFill="1" applyBorder="1" applyAlignment="1">
      <alignment horizontal="center"/>
    </xf>
    <xf numFmtId="166" fontId="24" fillId="4" borderId="13" xfId="1" applyFont="1" applyFill="1" applyBorder="1" applyAlignment="1">
      <alignment horizontal="center" vertical="center"/>
    </xf>
    <xf numFmtId="166" fontId="24" fillId="4" borderId="17" xfId="1" applyFont="1" applyFill="1" applyBorder="1" applyAlignment="1">
      <alignment horizontal="center" vertical="center"/>
    </xf>
    <xf numFmtId="166" fontId="24" fillId="4" borderId="11" xfId="1" applyFont="1" applyFill="1" applyBorder="1" applyAlignment="1">
      <alignment horizontal="center" vertical="center"/>
    </xf>
    <xf numFmtId="0" fontId="64" fillId="8" borderId="28" xfId="0" applyFont="1" applyFill="1" applyBorder="1" applyAlignment="1">
      <alignment horizontal="center" vertical="center"/>
    </xf>
    <xf numFmtId="0" fontId="14" fillId="8" borderId="29" xfId="0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14" fillId="8" borderId="61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4" fillId="8" borderId="6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14" fillId="8" borderId="33" xfId="0" applyFont="1" applyFill="1" applyBorder="1" applyAlignment="1">
      <alignment horizontal="center" vertical="center"/>
    </xf>
    <xf numFmtId="0" fontId="65" fillId="10" borderId="28" xfId="0" applyFont="1" applyFill="1" applyBorder="1" applyAlignment="1">
      <alignment horizontal="center" vertical="center"/>
    </xf>
    <xf numFmtId="0" fontId="65" fillId="10" borderId="29" xfId="0" applyFont="1" applyFill="1" applyBorder="1" applyAlignment="1">
      <alignment horizontal="center" vertical="center"/>
    </xf>
    <xf numFmtId="0" fontId="65" fillId="10" borderId="30" xfId="0" applyFont="1" applyFill="1" applyBorder="1" applyAlignment="1">
      <alignment horizontal="center" vertical="center"/>
    </xf>
    <xf numFmtId="0" fontId="65" fillId="10" borderId="61" xfId="0" applyFont="1" applyFill="1" applyBorder="1" applyAlignment="1">
      <alignment horizontal="center" vertical="center"/>
    </xf>
    <xf numFmtId="0" fontId="65" fillId="10" borderId="0" xfId="0" applyFont="1" applyFill="1" applyAlignment="1">
      <alignment horizontal="center" vertical="center"/>
    </xf>
    <xf numFmtId="0" fontId="65" fillId="10" borderId="62" xfId="0" applyFont="1" applyFill="1" applyBorder="1" applyAlignment="1">
      <alignment horizontal="center" vertical="center"/>
    </xf>
    <xf numFmtId="0" fontId="65" fillId="10" borderId="31" xfId="0" applyFont="1" applyFill="1" applyBorder="1" applyAlignment="1">
      <alignment horizontal="center" vertical="center"/>
    </xf>
    <xf numFmtId="0" fontId="65" fillId="10" borderId="32" xfId="0" applyFont="1" applyFill="1" applyBorder="1" applyAlignment="1">
      <alignment horizontal="center" vertical="center"/>
    </xf>
    <xf numFmtId="0" fontId="65" fillId="10" borderId="33" xfId="0" applyFont="1" applyFill="1" applyBorder="1" applyAlignment="1">
      <alignment horizontal="center" vertical="center"/>
    </xf>
    <xf numFmtId="0" fontId="64" fillId="8" borderId="29" xfId="0" applyFont="1" applyFill="1" applyBorder="1" applyAlignment="1">
      <alignment horizontal="center" vertical="center"/>
    </xf>
    <xf numFmtId="0" fontId="64" fillId="8" borderId="30" xfId="0" applyFont="1" applyFill="1" applyBorder="1" applyAlignment="1">
      <alignment horizontal="center" vertical="center"/>
    </xf>
    <xf numFmtId="0" fontId="64" fillId="8" borderId="61" xfId="0" applyFont="1" applyFill="1" applyBorder="1" applyAlignment="1">
      <alignment horizontal="center" vertical="center"/>
    </xf>
    <xf numFmtId="0" fontId="64" fillId="8" borderId="0" xfId="0" applyFont="1" applyFill="1" applyAlignment="1">
      <alignment horizontal="center" vertical="center"/>
    </xf>
    <xf numFmtId="0" fontId="64" fillId="8" borderId="62" xfId="0" applyFont="1" applyFill="1" applyBorder="1" applyAlignment="1">
      <alignment horizontal="center" vertical="center"/>
    </xf>
    <xf numFmtId="0" fontId="64" fillId="8" borderId="31" xfId="0" applyFont="1" applyFill="1" applyBorder="1" applyAlignment="1">
      <alignment horizontal="center" vertical="center"/>
    </xf>
    <xf numFmtId="0" fontId="64" fillId="8" borderId="32" xfId="0" applyFont="1" applyFill="1" applyBorder="1" applyAlignment="1">
      <alignment horizontal="center" vertical="center"/>
    </xf>
    <xf numFmtId="0" fontId="64" fillId="8" borderId="33" xfId="0" applyFont="1" applyFill="1" applyBorder="1" applyAlignment="1">
      <alignment horizontal="center" vertical="center"/>
    </xf>
    <xf numFmtId="14" fontId="65" fillId="10" borderId="28" xfId="0" applyNumberFormat="1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0" fontId="24" fillId="4" borderId="11" xfId="0" applyFont="1" applyFill="1" applyBorder="1" applyAlignment="1">
      <alignment horizontal="center" vertical="center"/>
    </xf>
    <xf numFmtId="0" fontId="52" fillId="4" borderId="13" xfId="0" applyFont="1" applyFill="1" applyBorder="1" applyAlignment="1" applyProtection="1">
      <alignment horizontal="center" vertical="center"/>
      <protection locked="0"/>
    </xf>
    <xf numFmtId="0" fontId="52" fillId="4" borderId="11" xfId="0" applyFont="1" applyFill="1" applyBorder="1" applyAlignment="1" applyProtection="1">
      <alignment horizontal="center" vertical="center"/>
      <protection locked="0"/>
    </xf>
    <xf numFmtId="0" fontId="53" fillId="3" borderId="50" xfId="0" applyFont="1" applyFill="1" applyBorder="1" applyAlignment="1">
      <alignment horizontal="center"/>
    </xf>
    <xf numFmtId="0" fontId="53" fillId="3" borderId="51" xfId="0" applyFont="1" applyFill="1" applyBorder="1" applyAlignment="1">
      <alignment horizontal="center"/>
    </xf>
    <xf numFmtId="0" fontId="53" fillId="3" borderId="52" xfId="0" applyFont="1" applyFill="1" applyBorder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57" fillId="0" borderId="20" xfId="0" applyFont="1" applyBorder="1" applyAlignment="1">
      <alignment horizontal="center" vertical="center" wrapText="1"/>
    </xf>
    <xf numFmtId="0" fontId="57" fillId="0" borderId="55" xfId="0" applyFont="1" applyBorder="1" applyAlignment="1">
      <alignment horizontal="center" vertical="center" wrapText="1"/>
    </xf>
    <xf numFmtId="0" fontId="57" fillId="0" borderId="57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15" xfId="0" applyFont="1" applyBorder="1" applyAlignment="1">
      <alignment horizontal="center" vertical="center" wrapText="1"/>
    </xf>
    <xf numFmtId="0" fontId="57" fillId="0" borderId="5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/>
    </xf>
    <xf numFmtId="0" fontId="58" fillId="0" borderId="17" xfId="0" applyFont="1" applyBorder="1" applyAlignment="1">
      <alignment horizontal="center"/>
    </xf>
    <xf numFmtId="0" fontId="58" fillId="0" borderId="11" xfId="0" applyFont="1" applyBorder="1" applyAlignment="1">
      <alignment horizontal="center"/>
    </xf>
    <xf numFmtId="0" fontId="24" fillId="0" borderId="20" xfId="0" applyFont="1" applyBorder="1" applyAlignment="1">
      <alignment horizontal="center" vertical="center"/>
    </xf>
    <xf numFmtId="0" fontId="24" fillId="0" borderId="55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24" fillId="0" borderId="5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wrapText="1"/>
    </xf>
    <xf numFmtId="0" fontId="25" fillId="0" borderId="55" xfId="0" applyFont="1" applyBorder="1" applyAlignment="1">
      <alignment horizontal="center" vertical="center" wrapText="1"/>
    </xf>
    <xf numFmtId="0" fontId="25" fillId="0" borderId="56" xfId="0" applyFont="1" applyBorder="1" applyAlignment="1">
      <alignment horizontal="center" vertical="center" wrapText="1"/>
    </xf>
    <xf numFmtId="0" fontId="25" fillId="0" borderId="57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58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21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4" fontId="56" fillId="0" borderId="20" xfId="0" applyNumberFormat="1" applyFont="1" applyBorder="1" applyAlignment="1">
      <alignment horizontal="center" vertical="center"/>
    </xf>
    <xf numFmtId="0" fontId="56" fillId="0" borderId="55" xfId="0" applyFont="1" applyBorder="1" applyAlignment="1">
      <alignment horizontal="center" vertical="center"/>
    </xf>
    <xf numFmtId="0" fontId="56" fillId="0" borderId="56" xfId="0" applyFont="1" applyBorder="1" applyAlignment="1">
      <alignment horizontal="center" vertical="center"/>
    </xf>
    <xf numFmtId="0" fontId="56" fillId="0" borderId="57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0" borderId="58" xfId="0" applyFont="1" applyBorder="1" applyAlignment="1">
      <alignment horizontal="center" vertical="center"/>
    </xf>
    <xf numFmtId="165" fontId="25" fillId="0" borderId="21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18" xfId="0" applyNumberFormat="1" applyFont="1" applyBorder="1" applyAlignment="1">
      <alignment horizontal="center" vertical="center"/>
    </xf>
    <xf numFmtId="0" fontId="66" fillId="15" borderId="13" xfId="0" applyFont="1" applyFill="1" applyBorder="1" applyAlignment="1">
      <alignment horizontal="center" vertical="center"/>
    </xf>
    <xf numFmtId="0" fontId="66" fillId="15" borderId="17" xfId="0" applyFont="1" applyFill="1" applyBorder="1" applyAlignment="1">
      <alignment horizontal="center" vertical="center"/>
    </xf>
    <xf numFmtId="0" fontId="66" fillId="15" borderId="11" xfId="0" applyFont="1" applyFill="1" applyBorder="1" applyAlignment="1">
      <alignment horizontal="center" vertical="center"/>
    </xf>
    <xf numFmtId="0" fontId="69" fillId="10" borderId="28" xfId="0" applyFont="1" applyFill="1" applyBorder="1" applyAlignment="1">
      <alignment horizontal="center" vertical="top"/>
    </xf>
    <xf numFmtId="0" fontId="69" fillId="10" borderId="29" xfId="0" applyFont="1" applyFill="1" applyBorder="1" applyAlignment="1">
      <alignment horizontal="center" vertical="top"/>
    </xf>
    <xf numFmtId="0" fontId="69" fillId="10" borderId="30" xfId="0" applyFont="1" applyFill="1" applyBorder="1" applyAlignment="1">
      <alignment horizontal="center" vertical="top"/>
    </xf>
    <xf numFmtId="0" fontId="69" fillId="10" borderId="31" xfId="0" applyFont="1" applyFill="1" applyBorder="1" applyAlignment="1">
      <alignment horizontal="center" vertical="top"/>
    </xf>
    <xf numFmtId="0" fontId="69" fillId="10" borderId="32" xfId="0" applyFont="1" applyFill="1" applyBorder="1" applyAlignment="1">
      <alignment horizontal="center" vertical="top"/>
    </xf>
    <xf numFmtId="0" fontId="69" fillId="10" borderId="33" xfId="0" applyFont="1" applyFill="1" applyBorder="1" applyAlignment="1">
      <alignment horizontal="center" vertical="top"/>
    </xf>
    <xf numFmtId="0" fontId="69" fillId="10" borderId="28" xfId="0" applyFont="1" applyFill="1" applyBorder="1" applyAlignment="1">
      <alignment horizontal="center" vertical="center"/>
    </xf>
    <xf numFmtId="0" fontId="69" fillId="10" borderId="29" xfId="0" applyFont="1" applyFill="1" applyBorder="1" applyAlignment="1">
      <alignment horizontal="center" vertical="center"/>
    </xf>
    <xf numFmtId="0" fontId="69" fillId="10" borderId="30" xfId="0" applyFont="1" applyFill="1" applyBorder="1" applyAlignment="1">
      <alignment horizontal="center" vertical="center"/>
    </xf>
    <xf numFmtId="0" fontId="69" fillId="10" borderId="31" xfId="0" applyFont="1" applyFill="1" applyBorder="1" applyAlignment="1">
      <alignment horizontal="center" vertical="center"/>
    </xf>
    <xf numFmtId="0" fontId="69" fillId="10" borderId="32" xfId="0" applyFont="1" applyFill="1" applyBorder="1" applyAlignment="1">
      <alignment horizontal="center" vertical="center"/>
    </xf>
    <xf numFmtId="0" fontId="69" fillId="10" borderId="33" xfId="0" applyFont="1" applyFill="1" applyBorder="1" applyAlignment="1">
      <alignment horizontal="center" vertical="center"/>
    </xf>
    <xf numFmtId="11" fontId="18" fillId="2" borderId="13" xfId="0" applyNumberFormat="1" applyFont="1" applyFill="1" applyBorder="1" applyAlignment="1">
      <alignment horizontal="center" vertical="center"/>
    </xf>
    <xf numFmtId="11" fontId="18" fillId="2" borderId="17" xfId="0" applyNumberFormat="1" applyFont="1" applyFill="1" applyBorder="1" applyAlignment="1">
      <alignment horizontal="center" vertical="center"/>
    </xf>
    <xf numFmtId="11" fontId="18" fillId="2" borderId="11" xfId="0" applyNumberFormat="1" applyFont="1" applyFill="1" applyBorder="1" applyAlignment="1">
      <alignment horizontal="center" vertical="center"/>
    </xf>
    <xf numFmtId="0" fontId="64" fillId="2" borderId="21" xfId="0" applyFont="1" applyFill="1" applyBorder="1" applyAlignment="1">
      <alignment horizontal="center" vertical="center"/>
    </xf>
    <xf numFmtId="0" fontId="68" fillId="2" borderId="54" xfId="0" applyFont="1" applyFill="1" applyBorder="1" applyAlignment="1">
      <alignment horizontal="center" vertical="center"/>
    </xf>
    <xf numFmtId="0" fontId="68" fillId="2" borderId="18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166" fontId="24" fillId="10" borderId="21" xfId="1" applyFont="1" applyFill="1" applyBorder="1" applyAlignment="1">
      <alignment horizontal="center" vertical="center"/>
    </xf>
    <xf numFmtId="166" fontId="24" fillId="10" borderId="54" xfId="1" applyFont="1" applyFill="1" applyBorder="1" applyAlignment="1">
      <alignment horizontal="center" vertical="center"/>
    </xf>
    <xf numFmtId="166" fontId="24" fillId="10" borderId="18" xfId="1" applyFont="1" applyFill="1" applyBorder="1" applyAlignment="1">
      <alignment horizontal="center" vertical="center"/>
    </xf>
    <xf numFmtId="0" fontId="70" fillId="15" borderId="13" xfId="0" applyFont="1" applyFill="1" applyBorder="1" applyAlignment="1">
      <alignment horizontal="center"/>
    </xf>
    <xf numFmtId="0" fontId="70" fillId="15" borderId="17" xfId="0" applyFont="1" applyFill="1" applyBorder="1" applyAlignment="1">
      <alignment horizontal="center"/>
    </xf>
    <xf numFmtId="0" fontId="70" fillId="15" borderId="11" xfId="0" applyFont="1" applyFill="1" applyBorder="1" applyAlignment="1">
      <alignment horizontal="center"/>
    </xf>
    <xf numFmtId="0" fontId="42" fillId="4" borderId="17" xfId="0" applyFont="1" applyFill="1" applyBorder="1" applyAlignment="1">
      <alignment horizontal="left" vertical="center"/>
    </xf>
    <xf numFmtId="0" fontId="42" fillId="4" borderId="11" xfId="0" applyFont="1" applyFill="1" applyBorder="1" applyAlignment="1">
      <alignment horizontal="left" vertical="center"/>
    </xf>
    <xf numFmtId="14" fontId="32" fillId="4" borderId="13" xfId="0" applyNumberFormat="1" applyFont="1" applyFill="1" applyBorder="1" applyAlignment="1">
      <alignment horizontal="right" vertical="center"/>
    </xf>
    <xf numFmtId="0" fontId="32" fillId="4" borderId="11" xfId="0" applyFont="1" applyFill="1" applyBorder="1" applyAlignment="1">
      <alignment horizontal="right" vertical="center"/>
    </xf>
    <xf numFmtId="0" fontId="73" fillId="15" borderId="20" xfId="0" applyFont="1" applyFill="1" applyBorder="1" applyAlignment="1">
      <alignment horizontal="center" vertical="center" wrapText="1"/>
    </xf>
    <xf numFmtId="0" fontId="73" fillId="15" borderId="56" xfId="0" applyFont="1" applyFill="1" applyBorder="1" applyAlignment="1">
      <alignment horizontal="center" vertical="center" wrapText="1"/>
    </xf>
    <xf numFmtId="0" fontId="73" fillId="15" borderId="15" xfId="0" applyFont="1" applyFill="1" applyBorder="1" applyAlignment="1">
      <alignment horizontal="center" vertical="center" wrapText="1"/>
    </xf>
    <xf numFmtId="0" fontId="73" fillId="15" borderId="45" xfId="0" applyFont="1" applyFill="1" applyBorder="1" applyAlignment="1">
      <alignment horizontal="center" vertical="center" wrapText="1"/>
    </xf>
    <xf numFmtId="14" fontId="56" fillId="10" borderId="20" xfId="0" applyNumberFormat="1" applyFont="1" applyFill="1" applyBorder="1" applyAlignment="1">
      <alignment horizontal="center" vertical="center"/>
    </xf>
    <xf numFmtId="0" fontId="56" fillId="10" borderId="55" xfId="0" applyFont="1" applyFill="1" applyBorder="1" applyAlignment="1">
      <alignment horizontal="center" vertical="center"/>
    </xf>
    <xf numFmtId="0" fontId="56" fillId="10" borderId="56" xfId="0" applyFont="1" applyFill="1" applyBorder="1" applyAlignment="1">
      <alignment horizontal="center" vertical="center"/>
    </xf>
    <xf numFmtId="0" fontId="56" fillId="10" borderId="15" xfId="0" applyFont="1" applyFill="1" applyBorder="1" applyAlignment="1">
      <alignment horizontal="center" vertical="center"/>
    </xf>
    <xf numFmtId="0" fontId="56" fillId="10" borderId="53" xfId="0" applyFont="1" applyFill="1" applyBorder="1" applyAlignment="1">
      <alignment horizontal="center" vertical="center"/>
    </xf>
    <xf numFmtId="0" fontId="56" fillId="10" borderId="45" xfId="0" applyFont="1" applyFill="1" applyBorder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0" fontId="0" fillId="0" borderId="0" xfId="0" applyNumberFormat="1"/>
  </cellXfs>
  <cellStyles count="3">
    <cellStyle name="Hiperlink" xfId="2" builtinId="8"/>
    <cellStyle name="Moeda" xfId="1" builtinId="4"/>
    <cellStyle name="Normal" xfId="0" builtinId="0"/>
  </cellStyles>
  <dxfs count="23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b/>
      </font>
      <numFmt numFmtId="173" formatCode="m/d/yyyy\ h:mm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  <numFmt numFmtId="164" formatCode="&quot;R$&quot;#,##0.00_);\(&quot;R$&quot;#,##0.00\)"/>
    </dxf>
    <dxf>
      <font>
        <b/>
      </font>
    </dxf>
    <dxf>
      <font>
        <b/>
      </font>
      <numFmt numFmtId="172" formatCode="m/d/yyyy"/>
    </dxf>
    <dxf>
      <font>
        <b/>
      </font>
    </dxf>
    <dxf>
      <border outline="0">
        <top style="thin">
          <color theme="1"/>
        </top>
      </border>
    </dxf>
    <dxf>
      <font>
        <b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m/d/yyyy\ h:mm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#,##0.00_);\(&quot;R$&quot;#,##0.00\)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numFmt numFmtId="169" formatCode="&quot;(&quot;##&quot;)&quot;\ #####&quot;-&quot;####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2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&quot;R$&quot;\ #,##0.0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&quot;R$&quot;\ #,##0.0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#,##0.00_);\(&quot;R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#,##0.00_);\(&quot;R$&quot;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42" Type="http://schemas.microsoft.com/office/2017/10/relationships/person" Target="persons/person1.xml"/><Relationship Id="rId47" Type="http://schemas.microsoft.com/office/2017/10/relationships/person" Target="persons/person17.xml"/><Relationship Id="rId63" Type="http://schemas.microsoft.com/office/2017/10/relationships/person" Target="persons/person36.xml"/><Relationship Id="rId68" Type="http://schemas.microsoft.com/office/2017/10/relationships/person" Target="persons/person41.xml"/><Relationship Id="rId84" Type="http://schemas.microsoft.com/office/2017/10/relationships/person" Target="persons/person54.xml"/><Relationship Id="rId89" Type="http://schemas.microsoft.com/office/2017/10/relationships/person" Target="persons/person5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microsoft.com/office/2017/10/relationships/person" Target="persons/person8.xml"/><Relationship Id="rId37" Type="http://schemas.microsoft.com/office/2017/10/relationships/person" Target="persons/person14.xml"/><Relationship Id="rId53" Type="http://schemas.microsoft.com/office/2017/10/relationships/person" Target="persons/person2.xml"/><Relationship Id="rId58" Type="http://schemas.microsoft.com/office/2017/10/relationships/person" Target="persons/person30.xml"/><Relationship Id="rId74" Type="http://schemas.microsoft.com/office/2017/10/relationships/person" Target="persons/person44.xml"/><Relationship Id="rId79" Type="http://schemas.microsoft.com/office/2017/10/relationships/person" Target="persons/person46.xml"/><Relationship Id="rId5" Type="http://schemas.openxmlformats.org/officeDocument/2006/relationships/worksheet" Target="worksheets/sheet5.xml"/><Relationship Id="rId90" Type="http://schemas.microsoft.com/office/2017/10/relationships/person" Target="persons/person61.xml"/><Relationship Id="rId95" Type="http://schemas.microsoft.com/office/2017/10/relationships/person" Target="persons/person65.xml"/><Relationship Id="rId22" Type="http://schemas.openxmlformats.org/officeDocument/2006/relationships/theme" Target="theme/theme1.xml"/><Relationship Id="rId27" Type="http://schemas.microsoft.com/office/2006/relationships/vbaProject" Target="vbaProject.bin"/><Relationship Id="rId69" Type="http://schemas.microsoft.com/office/2017/10/relationships/person" Target="persons/person49.xml"/><Relationship Id="rId64" Type="http://schemas.microsoft.com/office/2017/10/relationships/person" Target="persons/person40.xml"/><Relationship Id="rId48" Type="http://schemas.microsoft.com/office/2017/10/relationships/person" Target="persons/person24.xml"/><Relationship Id="rId43" Type="http://schemas.microsoft.com/office/2017/10/relationships/person" Target="persons/person21.xml"/><Relationship Id="rId8" Type="http://schemas.openxmlformats.org/officeDocument/2006/relationships/worksheet" Target="worksheets/sheet8.xml"/><Relationship Id="rId72" Type="http://schemas.microsoft.com/office/2017/10/relationships/person" Target="persons/person45.xml"/><Relationship Id="rId51" Type="http://schemas.microsoft.com/office/2017/10/relationships/person" Target="persons/person26.xml"/><Relationship Id="rId80" Type="http://schemas.microsoft.com/office/2017/10/relationships/person" Target="persons/person51.xml"/><Relationship Id="rId85" Type="http://schemas.microsoft.com/office/2017/10/relationships/person" Target="persons/person56.xml"/><Relationship Id="rId93" Type="http://schemas.microsoft.com/office/2017/10/relationships/person" Target="persons/person6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67" Type="http://schemas.microsoft.com/office/2017/10/relationships/person" Target="persons/person42.xml"/><Relationship Id="rId59" Type="http://schemas.microsoft.com/office/2017/10/relationships/person" Target="persons/person35.xml"/><Relationship Id="rId46" Type="http://schemas.microsoft.com/office/2017/10/relationships/person" Target="persons/person20.xml"/><Relationship Id="rId33" Type="http://schemas.microsoft.com/office/2017/10/relationships/person" Target="persons/person10.xml"/><Relationship Id="rId38" Type="http://schemas.microsoft.com/office/2017/10/relationships/person" Target="persons/person15.xml"/><Relationship Id="rId20" Type="http://schemas.openxmlformats.org/officeDocument/2006/relationships/worksheet" Target="worksheets/sheet20.xml"/><Relationship Id="rId96" Type="http://schemas.microsoft.com/office/2017/10/relationships/person" Target="persons/person.xml"/><Relationship Id="rId91" Type="http://schemas.microsoft.com/office/2017/10/relationships/person" Target="persons/person64.xml"/><Relationship Id="rId83" Type="http://schemas.microsoft.com/office/2017/10/relationships/person" Target="persons/person55.xml"/><Relationship Id="rId75" Type="http://schemas.microsoft.com/office/2017/10/relationships/person" Target="persons/person48.xml"/><Relationship Id="rId70" Type="http://schemas.microsoft.com/office/2017/10/relationships/person" Target="persons/person43.xml"/><Relationship Id="rId62" Type="http://schemas.microsoft.com/office/2017/10/relationships/person" Target="persons/person37.xml"/><Relationship Id="rId54" Type="http://schemas.microsoft.com/office/2017/10/relationships/person" Target="persons/person29.xml"/><Relationship Id="rId41" Type="http://schemas.microsoft.com/office/2017/10/relationships/person" Target="persons/person18.xml"/><Relationship Id="rId88" Type="http://schemas.microsoft.com/office/2017/10/relationships/person" Target="persons/person5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57" Type="http://schemas.microsoft.com/office/2017/10/relationships/person" Target="persons/person31.xml"/><Relationship Id="rId36" Type="http://schemas.microsoft.com/office/2017/10/relationships/person" Target="persons/person12.xml"/><Relationship Id="rId49" Type="http://schemas.microsoft.com/office/2017/10/relationships/person" Target="persons/person22.xml"/><Relationship Id="rId10" Type="http://schemas.openxmlformats.org/officeDocument/2006/relationships/worksheet" Target="worksheets/sheet10.xml"/><Relationship Id="rId94" Type="http://schemas.microsoft.com/office/2017/10/relationships/person" Target="persons/person66.xml"/><Relationship Id="rId86" Type="http://schemas.microsoft.com/office/2017/10/relationships/person" Target="persons/person60.xml"/><Relationship Id="rId81" Type="http://schemas.microsoft.com/office/2017/10/relationships/person" Target="persons/person53.xml"/><Relationship Id="rId78" Type="http://schemas.microsoft.com/office/2017/10/relationships/person" Target="persons/person50.xml"/><Relationship Id="rId73" Type="http://schemas.microsoft.com/office/2017/10/relationships/person" Target="persons/person5.xml"/><Relationship Id="rId65" Type="http://schemas.microsoft.com/office/2017/10/relationships/person" Target="persons/person39.xml"/><Relationship Id="rId60" Type="http://schemas.microsoft.com/office/2017/10/relationships/person" Target="persons/person34.xml"/><Relationship Id="rId44" Type="http://schemas.microsoft.com/office/2017/10/relationships/person" Target="persons/person19.xml"/><Relationship Id="rId31" Type="http://schemas.microsoft.com/office/2017/10/relationships/person" Target="persons/person7.xml"/><Relationship Id="rId52" Type="http://schemas.microsoft.com/office/2017/10/relationships/person" Target="persons/person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10/relationships/person" Target="persons/person16.xml"/><Relationship Id="rId76" Type="http://schemas.microsoft.com/office/2017/10/relationships/person" Target="persons/person47.xml"/><Relationship Id="rId34" Type="http://schemas.microsoft.com/office/2017/10/relationships/person" Target="persons/person11.xml"/><Relationship Id="rId50" Type="http://schemas.microsoft.com/office/2017/10/relationships/person" Target="persons/person23.xml"/><Relationship Id="rId55" Type="http://schemas.microsoft.com/office/2017/10/relationships/person" Target="persons/person28.xml"/><Relationship Id="rId7" Type="http://schemas.openxmlformats.org/officeDocument/2006/relationships/worksheet" Target="worksheets/sheet7.xml"/><Relationship Id="rId92" Type="http://schemas.microsoft.com/office/2017/10/relationships/person" Target="persons/person63.xml"/><Relationship Id="rId71" Type="http://schemas.microsoft.com/office/2017/10/relationships/person" Target="persons/person4.xml"/><Relationship Id="rId2" Type="http://schemas.openxmlformats.org/officeDocument/2006/relationships/worksheet" Target="worksheets/sheet2.xml"/><Relationship Id="rId29" Type="http://schemas.microsoft.com/office/2017/10/relationships/person" Target="persons/person6.xml"/><Relationship Id="rId24" Type="http://schemas.openxmlformats.org/officeDocument/2006/relationships/sharedStrings" Target="sharedStrings.xml"/><Relationship Id="rId87" Type="http://schemas.microsoft.com/office/2017/10/relationships/person" Target="persons/person58.xml"/><Relationship Id="rId40" Type="http://schemas.microsoft.com/office/2017/10/relationships/person" Target="persons/person27.xml"/><Relationship Id="rId45" Type="http://schemas.microsoft.com/office/2017/10/relationships/person" Target="persons/person0.xml"/><Relationship Id="rId66" Type="http://schemas.microsoft.com/office/2017/10/relationships/person" Target="persons/person38.xml"/><Relationship Id="rId61" Type="http://schemas.microsoft.com/office/2017/10/relationships/person" Target="persons/person33.xml"/><Relationship Id="rId82" Type="http://schemas.microsoft.com/office/2017/10/relationships/person" Target="persons/person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56" Type="http://schemas.microsoft.com/office/2017/10/relationships/person" Target="persons/person32.xml"/><Relationship Id="rId35" Type="http://schemas.microsoft.com/office/2017/10/relationships/person" Target="persons/person13.xml"/><Relationship Id="rId30" Type="http://schemas.microsoft.com/office/2017/10/relationships/person" Target="persons/person9.xml"/><Relationship Id="rId77" Type="http://schemas.microsoft.com/office/2017/10/relationships/person" Target="persons/pers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0D-4A98-90C8-C040C23BE5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0D-4A98-90C8-C040C23BE5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B0D-4A98-90C8-C040C23BE5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B0D-4A98-90C8-C040C23BE50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B0D-4A98-90C8-C040C23BE50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B0D-4A98-90C8-C040C23BE50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B0D-4A98-90C8-C040C23BE50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B0D-4A98-90C8-C040C23BE50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B0D-4A98-90C8-C040C23BE50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B0D-4A98-90C8-C040C23BE50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B0D-4A98-90C8-C040C23BE50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B0D-4A98-90C8-C040C23BE50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B0D-4A98-90C8-C040C23BE50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B0D-4A98-90C8-C040C23BE50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B0D-4A98-90C8-C040C23BE50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B0D-4A98-90C8-C040C23BE50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CONTROLEFISICA!$N$1:$N$8</c:f>
              <c:strCache>
                <c:ptCount val="8"/>
                <c:pt idx="0">
                  <c:v>CATEGORIA</c:v>
                </c:pt>
                <c:pt idx="1">
                  <c:v>Ingredientes</c:v>
                </c:pt>
                <c:pt idx="2">
                  <c:v>Gasolina</c:v>
                </c:pt>
                <c:pt idx="3">
                  <c:v>Mecânico</c:v>
                </c:pt>
                <c:pt idx="4">
                  <c:v>Compressíveis</c:v>
                </c:pt>
                <c:pt idx="5">
                  <c:v>Quiosque</c:v>
                </c:pt>
                <c:pt idx="6">
                  <c:v>Outros</c:v>
                </c:pt>
                <c:pt idx="7">
                  <c:v>Funcionário</c:v>
                </c:pt>
              </c:strCache>
            </c:strRef>
          </c:cat>
          <c:val>
            <c:numRef>
              <c:f>CONTROLEFISICA!$O$1:$O$8</c:f>
              <c:numCache>
                <c:formatCode>_("R$"* #,##0.00_);_("R$"* \(#,##0.00\);_("R$"* "-"??_);_(@_)</c:formatCode>
                <c:ptCount val="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B0D-4A98-90C8-C040C23BE50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23-4342-BF7A-FF61147772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023-4342-BF7A-FF61147772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23-4342-BF7A-FF61147772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023-4342-BF7A-FF61147772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23-4342-BF7A-FF61147772A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023-4342-BF7A-FF61147772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23-4342-BF7A-FF61147772A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023-4342-BF7A-FF61147772A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023-4342-BF7A-FF61147772A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023-4342-BF7A-FF61147772A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5023-4342-BF7A-FF61147772A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023-4342-BF7A-FF61147772A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5023-4342-BF7A-FF61147772A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023-4342-BF7A-FF61147772A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'Despesas 01012024-01032024'!$N$2:$N$8</c:f>
              <c:strCache>
                <c:ptCount val="7"/>
                <c:pt idx="0">
                  <c:v>Ingredientes</c:v>
                </c:pt>
                <c:pt idx="1">
                  <c:v>Gasolina</c:v>
                </c:pt>
                <c:pt idx="2">
                  <c:v>Mecânico</c:v>
                </c:pt>
                <c:pt idx="3">
                  <c:v>Compressíveis</c:v>
                </c:pt>
                <c:pt idx="4">
                  <c:v>Quiosque</c:v>
                </c:pt>
                <c:pt idx="5">
                  <c:v>Outros</c:v>
                </c:pt>
                <c:pt idx="6">
                  <c:v>Funcionário</c:v>
                </c:pt>
              </c:strCache>
            </c:strRef>
          </c:cat>
          <c:val>
            <c:numRef>
              <c:f>'Despesas 01012024-01032024'!$O$2:$O$8</c:f>
              <c:numCache>
                <c:formatCode>_("R$"* #,##0.00_);_("R$"* \(#,##0.00\);_("R$"* "-"??_);_(@_)</c:formatCode>
                <c:ptCount val="7"/>
                <c:pt idx="0">
                  <c:v>40956</c:v>
                </c:pt>
                <c:pt idx="1">
                  <c:v>5660.89</c:v>
                </c:pt>
                <c:pt idx="2">
                  <c:v>5844.62</c:v>
                </c:pt>
                <c:pt idx="3">
                  <c:v>3094.7</c:v>
                </c:pt>
                <c:pt idx="4">
                  <c:v>20798.75</c:v>
                </c:pt>
                <c:pt idx="5">
                  <c:v>6736.76</c:v>
                </c:pt>
                <c:pt idx="6">
                  <c:v>14440.46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3-4342-BF7A-FF61147772A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F8-44F7-9FBA-9C1876D0F1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1E0-44ED-AB6F-D9742A5140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E0-44ED-AB6F-D9742A5140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1E0-44ED-AB6F-D9742A51406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E0-44ED-AB6F-D9742A51406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1E0-44ED-AB6F-D9742A51406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E0-44ED-AB6F-D9742A51406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1E0-44ED-AB6F-D9742A51406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8F8-44F7-9FBA-9C1876D0F19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31E0-44ED-AB6F-D9742A51406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31E0-44ED-AB6F-D9742A51406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31E0-44ED-AB6F-D9742A51406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1E0-44ED-AB6F-D9742A51406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31E0-44ED-AB6F-D9742A51406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31E0-44ED-AB6F-D9742A51406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31E0-44ED-AB6F-D9742A51406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Despesas!$N$1:$N$8</c:f>
              <c:strCache>
                <c:ptCount val="8"/>
                <c:pt idx="0">
                  <c:v>CATEGORIA</c:v>
                </c:pt>
                <c:pt idx="1">
                  <c:v>Ingredientes</c:v>
                </c:pt>
                <c:pt idx="2">
                  <c:v>Gasolina</c:v>
                </c:pt>
                <c:pt idx="3">
                  <c:v>Mecânico</c:v>
                </c:pt>
                <c:pt idx="4">
                  <c:v>Compressíveis</c:v>
                </c:pt>
                <c:pt idx="5">
                  <c:v>Quiosque</c:v>
                </c:pt>
                <c:pt idx="6">
                  <c:v>Outros</c:v>
                </c:pt>
                <c:pt idx="7">
                  <c:v>Funcionário</c:v>
                </c:pt>
              </c:strCache>
            </c:strRef>
          </c:cat>
          <c:val>
            <c:numRef>
              <c:f>Despesas!$O$1:$O$8</c:f>
              <c:numCache>
                <c:formatCode>_("R$"* #,##0.00_);_("R$"* \(#,##0.00\);_("R$"* "-"??_);_(@_)</c:formatCode>
                <c:ptCount val="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F8-44F7-9FBA-9C1876D0F19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600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5D11-4D6C-AE33-62C1357758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11-4D6C-AE33-62C1357758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D11-4D6C-AE33-62C1357758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11-4D6C-AE33-62C1357758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D11-4D6C-AE33-62C1357758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11-4D6C-AE33-62C1357758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D11-4D6C-AE33-62C1357758C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5D11-4D6C-AE33-62C1357758C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D11-4D6C-AE33-62C1357758C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D11-4D6C-AE33-62C1357758C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D11-4D6C-AE33-62C1357758C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5D11-4D6C-AE33-62C1357758C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D11-4D6C-AE33-62C1357758C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5D11-4D6C-AE33-62C1357758C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Despesas!$N$2:$N$8</c:f>
              <c:strCache>
                <c:ptCount val="7"/>
                <c:pt idx="0">
                  <c:v>Ingredientes</c:v>
                </c:pt>
                <c:pt idx="1">
                  <c:v>Gasolina</c:v>
                </c:pt>
                <c:pt idx="2">
                  <c:v>Mecânico</c:v>
                </c:pt>
                <c:pt idx="3">
                  <c:v>Compressíveis</c:v>
                </c:pt>
                <c:pt idx="4">
                  <c:v>Quiosque</c:v>
                </c:pt>
                <c:pt idx="5">
                  <c:v>Outros</c:v>
                </c:pt>
                <c:pt idx="6">
                  <c:v>Funcionário</c:v>
                </c:pt>
              </c:strCache>
            </c:strRef>
          </c:cat>
          <c:val>
            <c:numRef>
              <c:f>Despesas!$O$2:$O$8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D7-45E3-82D6-9BC19639F37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0</xdr:rowOff>
    </xdr:from>
    <xdr:to>
      <xdr:col>12</xdr:col>
      <xdr:colOff>457200</xdr:colOff>
      <xdr:row>6</xdr:row>
      <xdr:rowOff>152400</xdr:rowOff>
    </xdr:to>
    <xdr:sp macro="[0]!ATUALIZAR_GRÁFICO_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FAC228-F8EE-4B7E-81B1-11C82368D0CB}"/>
            </a:ext>
          </a:extLst>
        </xdr:cNvPr>
        <xdr:cNvSpPr/>
      </xdr:nvSpPr>
      <xdr:spPr>
        <a:xfrm>
          <a:off x="12306300" y="0"/>
          <a:ext cx="2771775" cy="1390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Gráfico</a:t>
          </a:r>
        </a:p>
        <a:p>
          <a:pPr algn="ctr"/>
          <a:r>
            <a:rPr lang="pt-BR" sz="2400"/>
            <a:t>Atualizar</a:t>
          </a:r>
        </a:p>
      </xdr:txBody>
    </xdr:sp>
    <xdr:clientData/>
  </xdr:twoCellAnchor>
  <xdr:twoCellAnchor>
    <xdr:from>
      <xdr:col>8</xdr:col>
      <xdr:colOff>168953</xdr:colOff>
      <xdr:row>8</xdr:row>
      <xdr:rowOff>119514</xdr:rowOff>
    </xdr:from>
    <xdr:to>
      <xdr:col>17</xdr:col>
      <xdr:colOff>215445</xdr:colOff>
      <xdr:row>25</xdr:row>
      <xdr:rowOff>147411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70AD18-9F72-4359-85ED-47B0DB28F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0</xdr:rowOff>
    </xdr:from>
    <xdr:to>
      <xdr:col>12</xdr:col>
      <xdr:colOff>457200</xdr:colOff>
      <xdr:row>6</xdr:row>
      <xdr:rowOff>152400</xdr:rowOff>
    </xdr:to>
    <xdr:sp macro="[0]!ATUALIZAR_GRÁFICO_DESPESA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8233D6-8106-C93C-A2EB-46FDC69DD805}"/>
            </a:ext>
          </a:extLst>
        </xdr:cNvPr>
        <xdr:cNvSpPr/>
      </xdr:nvSpPr>
      <xdr:spPr>
        <a:xfrm>
          <a:off x="11744325" y="0"/>
          <a:ext cx="2771775" cy="1390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Gráfico</a:t>
          </a:r>
        </a:p>
        <a:p>
          <a:pPr algn="ctr"/>
          <a:r>
            <a:rPr lang="pt-BR" sz="2400"/>
            <a:t>Atualizar</a:t>
          </a:r>
        </a:p>
      </xdr:txBody>
    </xdr:sp>
    <xdr:clientData/>
  </xdr:twoCellAnchor>
  <xdr:twoCellAnchor>
    <xdr:from>
      <xdr:col>8</xdr:col>
      <xdr:colOff>112257</xdr:colOff>
      <xdr:row>8</xdr:row>
      <xdr:rowOff>74157</xdr:rowOff>
    </xdr:from>
    <xdr:to>
      <xdr:col>17</xdr:col>
      <xdr:colOff>158749</xdr:colOff>
      <xdr:row>25</xdr:row>
      <xdr:rowOff>102054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71983EB-24CF-CAC6-A3B2-4F22AAE2A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0</xdr:rowOff>
    </xdr:from>
    <xdr:to>
      <xdr:col>12</xdr:col>
      <xdr:colOff>457200</xdr:colOff>
      <xdr:row>6</xdr:row>
      <xdr:rowOff>152400</xdr:rowOff>
    </xdr:to>
    <xdr:sp macro="[0]!ATUALIZAR_GRÁFICO_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F9C2CB-2362-4BFA-95CF-EF5A9ED0ECDA}"/>
            </a:ext>
          </a:extLst>
        </xdr:cNvPr>
        <xdr:cNvSpPr/>
      </xdr:nvSpPr>
      <xdr:spPr>
        <a:xfrm>
          <a:off x="12306300" y="0"/>
          <a:ext cx="2771775" cy="1390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Gráfico</a:t>
          </a:r>
        </a:p>
        <a:p>
          <a:pPr algn="ctr"/>
          <a:r>
            <a:rPr lang="pt-BR" sz="2400"/>
            <a:t>Atualizar</a:t>
          </a:r>
        </a:p>
      </xdr:txBody>
    </xdr:sp>
    <xdr:clientData/>
  </xdr:twoCellAnchor>
  <xdr:twoCellAnchor>
    <xdr:from>
      <xdr:col>8</xdr:col>
      <xdr:colOff>168953</xdr:colOff>
      <xdr:row>8</xdr:row>
      <xdr:rowOff>119514</xdr:rowOff>
    </xdr:from>
    <xdr:to>
      <xdr:col>17</xdr:col>
      <xdr:colOff>215445</xdr:colOff>
      <xdr:row>25</xdr:row>
      <xdr:rowOff>147411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16BF20-2E7F-482F-AEEF-04068DAC3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11075</xdr:colOff>
      <xdr:row>0</xdr:row>
      <xdr:rowOff>99679</xdr:rowOff>
    </xdr:from>
    <xdr:to>
      <xdr:col>29</xdr:col>
      <xdr:colOff>535429</xdr:colOff>
      <xdr:row>45</xdr:row>
      <xdr:rowOff>119062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EA730ED-69F9-4727-8FEE-EACC1D239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133350</xdr:colOff>
      <xdr:row>1</xdr:row>
      <xdr:rowOff>142875</xdr:rowOff>
    </xdr:from>
    <xdr:to>
      <xdr:col>10</xdr:col>
      <xdr:colOff>561975</xdr:colOff>
      <xdr:row>5</xdr:row>
      <xdr:rowOff>180975</xdr:rowOff>
    </xdr:to>
    <xdr:sp macro="[0]!REGISTRAR_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DB38CA3-D700-DE30-F847-0156B1ECEF2A}"/>
            </a:ext>
          </a:extLst>
        </xdr:cNvPr>
        <xdr:cNvSpPr/>
      </xdr:nvSpPr>
      <xdr:spPr>
        <a:xfrm>
          <a:off x="7019925" y="333375"/>
          <a:ext cx="2257425" cy="1047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158037</xdr:colOff>
      <xdr:row>6</xdr:row>
      <xdr:rowOff>168145</xdr:rowOff>
    </xdr:from>
    <xdr:to>
      <xdr:col>10</xdr:col>
      <xdr:colOff>586662</xdr:colOff>
      <xdr:row>9</xdr:row>
      <xdr:rowOff>371474</xdr:rowOff>
    </xdr:to>
    <xdr:sp macro="[0]!REINICIAR_DESPES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65ACDD-C2F5-4363-BC70-35FBBB51E6BD}"/>
            </a:ext>
          </a:extLst>
        </xdr:cNvPr>
        <xdr:cNvSpPr/>
      </xdr:nvSpPr>
      <xdr:spPr>
        <a:xfrm>
          <a:off x="8157093" y="1606614"/>
          <a:ext cx="2265589" cy="10877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REINICIAR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4400797</xdr:colOff>
      <xdr:row>0</xdr:row>
      <xdr:rowOff>232968</xdr:rowOff>
    </xdr:from>
    <xdr:to>
      <xdr:col>0</xdr:col>
      <xdr:colOff>6743700</xdr:colOff>
      <xdr:row>2</xdr:row>
      <xdr:rowOff>1025011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EBDEF79C-AB36-435C-FFC9-3536FD53C12A}"/>
            </a:ext>
          </a:extLst>
        </xdr:cNvPr>
        <xdr:cNvSpPr/>
      </xdr:nvSpPr>
      <xdr:spPr>
        <a:xfrm>
          <a:off x="4400797" y="232968"/>
          <a:ext cx="2342903" cy="2316043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oneCellAnchor>
    <xdr:from>
      <xdr:col>0</xdr:col>
      <xdr:colOff>4944820</xdr:colOff>
      <xdr:row>0</xdr:row>
      <xdr:rowOff>0</xdr:rowOff>
    </xdr:from>
    <xdr:ext cx="9940926" cy="26909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0E93873-E2A1-4E3F-D2D0-AAD102C43DDA}"/>
            </a:ext>
          </a:extLst>
        </xdr:cNvPr>
        <xdr:cNvSpPr/>
      </xdr:nvSpPr>
      <xdr:spPr>
        <a:xfrm>
          <a:off x="4944820" y="0"/>
          <a:ext cx="9940926" cy="26909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</a:t>
          </a:r>
          <a:r>
            <a:rPr lang="pt-BR" sz="166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</a:t>
          </a:r>
          <a:r>
            <a:rPr lang="pt-BR" sz="16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Salgados</a:t>
          </a:r>
        </a:p>
      </xdr:txBody>
    </xdr:sp>
    <xdr:clientData/>
  </xdr:oneCellAnchor>
  <xdr:oneCellAnchor>
    <xdr:from>
      <xdr:col>0</xdr:col>
      <xdr:colOff>6338326</xdr:colOff>
      <xdr:row>2</xdr:row>
      <xdr:rowOff>838200</xdr:rowOff>
    </xdr:from>
    <xdr:ext cx="7458965" cy="1031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89002F9-CEE0-0F76-6B6E-236C23C63B3B}"/>
            </a:ext>
          </a:extLst>
        </xdr:cNvPr>
        <xdr:cNvSpPr/>
      </xdr:nvSpPr>
      <xdr:spPr>
        <a:xfrm>
          <a:off x="6338326" y="2362200"/>
          <a:ext cx="7458965" cy="1031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6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Edson</a:t>
          </a:r>
          <a:r>
            <a:rPr lang="pt-BR" sz="6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(11) 97250-9777</a:t>
          </a:r>
          <a:endParaRPr lang="pt-BR" sz="6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171450</xdr:colOff>
      <xdr:row>9</xdr:row>
      <xdr:rowOff>838200</xdr:rowOff>
    </xdr:from>
    <xdr:to>
      <xdr:col>16</xdr:col>
      <xdr:colOff>0</xdr:colOff>
      <xdr:row>14</xdr:row>
      <xdr:rowOff>114301</xdr:rowOff>
    </xdr:to>
    <xdr:sp macro="[0]!REGISTRAR_PEDID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D4643C9-3D61-4BC1-A9FF-1E5C0FFD7982}"/>
            </a:ext>
          </a:extLst>
        </xdr:cNvPr>
        <xdr:cNvSpPr/>
      </xdr:nvSpPr>
      <xdr:spPr>
        <a:xfrm>
          <a:off x="19640550" y="4343400"/>
          <a:ext cx="5924550" cy="392430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REGISTRAR</a:t>
          </a:r>
        </a:p>
      </xdr:txBody>
    </xdr:sp>
    <xdr:clientData/>
  </xdr:twoCellAnchor>
  <xdr:twoCellAnchor>
    <xdr:from>
      <xdr:col>6</xdr:col>
      <xdr:colOff>202621</xdr:colOff>
      <xdr:row>32</xdr:row>
      <xdr:rowOff>152400</xdr:rowOff>
    </xdr:from>
    <xdr:to>
      <xdr:col>15</xdr:col>
      <xdr:colOff>604837</xdr:colOff>
      <xdr:row>37</xdr:row>
      <xdr:rowOff>234553</xdr:rowOff>
    </xdr:to>
    <xdr:sp macro="[0]!REINICIAR_PEDI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69A5E6-6D13-4B9B-AD45-2FB8A23C2A14}"/>
            </a:ext>
          </a:extLst>
        </xdr:cNvPr>
        <xdr:cNvSpPr/>
      </xdr:nvSpPr>
      <xdr:spPr>
        <a:xfrm>
          <a:off x="19671721" y="22745700"/>
          <a:ext cx="5888616" cy="404455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REINICIAR</a:t>
          </a:r>
          <a:endParaRPr lang="pt-BR" sz="4400" b="1"/>
        </a:p>
      </xdr:txBody>
    </xdr:sp>
    <xdr:clientData/>
  </xdr:twoCellAnchor>
  <xdr:twoCellAnchor>
    <xdr:from>
      <xdr:col>6</xdr:col>
      <xdr:colOff>207383</xdr:colOff>
      <xdr:row>20</xdr:row>
      <xdr:rowOff>533400</xdr:rowOff>
    </xdr:from>
    <xdr:to>
      <xdr:col>16</xdr:col>
      <xdr:colOff>-1</xdr:colOff>
      <xdr:row>25</xdr:row>
      <xdr:rowOff>495300</xdr:rowOff>
    </xdr:to>
    <xdr:sp macro="[0]!BUSCAR_PEDI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A880094-9B07-4403-9022-48663A8928FC}"/>
            </a:ext>
          </a:extLst>
        </xdr:cNvPr>
        <xdr:cNvSpPr/>
      </xdr:nvSpPr>
      <xdr:spPr>
        <a:xfrm>
          <a:off x="19676483" y="13563600"/>
          <a:ext cx="5888616" cy="3962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BUSCAR</a:t>
          </a:r>
        </a:p>
      </xdr:txBody>
    </xdr:sp>
    <xdr:clientData/>
  </xdr:twoCellAnchor>
  <xdr:twoCellAnchor>
    <xdr:from>
      <xdr:col>6</xdr:col>
      <xdr:colOff>169282</xdr:colOff>
      <xdr:row>14</xdr:row>
      <xdr:rowOff>675101</xdr:rowOff>
    </xdr:from>
    <xdr:to>
      <xdr:col>15</xdr:col>
      <xdr:colOff>571500</xdr:colOff>
      <xdr:row>19</xdr:row>
      <xdr:rowOff>685800</xdr:rowOff>
    </xdr:to>
    <xdr:sp macro="[0]!EDITAR_PEDID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CD1B0C3-A7F2-48F8-AD9A-DE7B90D7747A}"/>
            </a:ext>
          </a:extLst>
        </xdr:cNvPr>
        <xdr:cNvSpPr/>
      </xdr:nvSpPr>
      <xdr:spPr>
        <a:xfrm>
          <a:off x="19638382" y="8904701"/>
          <a:ext cx="5888618" cy="40111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EDITAR</a:t>
          </a:r>
        </a:p>
      </xdr:txBody>
    </xdr:sp>
    <xdr:clientData/>
  </xdr:twoCellAnchor>
  <xdr:twoCellAnchor>
    <xdr:from>
      <xdr:col>6</xdr:col>
      <xdr:colOff>221670</xdr:colOff>
      <xdr:row>26</xdr:row>
      <xdr:rowOff>304800</xdr:rowOff>
    </xdr:from>
    <xdr:to>
      <xdr:col>16</xdr:col>
      <xdr:colOff>14288</xdr:colOff>
      <xdr:row>31</xdr:row>
      <xdr:rowOff>344911</xdr:rowOff>
    </xdr:to>
    <xdr:sp macro="[0]!ELIMINAR_PED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E294757-7E4A-48BC-BBF3-D815116B1286}"/>
            </a:ext>
          </a:extLst>
        </xdr:cNvPr>
        <xdr:cNvSpPr/>
      </xdr:nvSpPr>
      <xdr:spPr>
        <a:xfrm>
          <a:off x="19690770" y="18097500"/>
          <a:ext cx="5888618" cy="404061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ELIMINAR</a:t>
          </a:r>
        </a:p>
      </xdr:txBody>
    </xdr:sp>
    <xdr:clientData/>
  </xdr:twoCellAnchor>
  <xdr:twoCellAnchor>
    <xdr:from>
      <xdr:col>6</xdr:col>
      <xdr:colOff>176212</xdr:colOff>
      <xdr:row>0</xdr:row>
      <xdr:rowOff>304800</xdr:rowOff>
    </xdr:from>
    <xdr:to>
      <xdr:col>16</xdr:col>
      <xdr:colOff>0</xdr:colOff>
      <xdr:row>9</xdr:row>
      <xdr:rowOff>692600</xdr:rowOff>
    </xdr:to>
    <xdr:sp macro="[0]!IMPRIMIR_PEDID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CD6C960A-F1E5-1A3B-BC1B-447398B963B6}"/>
            </a:ext>
          </a:extLst>
        </xdr:cNvPr>
        <xdr:cNvSpPr/>
      </xdr:nvSpPr>
      <xdr:spPr>
        <a:xfrm>
          <a:off x="19645312" y="304800"/>
          <a:ext cx="5919788" cy="3893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IMPRIMIR</a:t>
          </a:r>
        </a:p>
      </xdr:txBody>
    </xdr:sp>
    <xdr:clientData/>
  </xdr:twoCellAnchor>
  <xdr:twoCellAnchor>
    <xdr:from>
      <xdr:col>6</xdr:col>
      <xdr:colOff>138112</xdr:colOff>
      <xdr:row>0</xdr:row>
      <xdr:rowOff>266700</xdr:rowOff>
    </xdr:from>
    <xdr:to>
      <xdr:col>15</xdr:col>
      <xdr:colOff>571500</xdr:colOff>
      <xdr:row>9</xdr:row>
      <xdr:rowOff>654500</xdr:rowOff>
    </xdr:to>
    <xdr:sp macro="[0]!IMPRIMIR_PEDID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C5E0122-5D9E-72D6-48C8-D43547A8A601}"/>
            </a:ext>
          </a:extLst>
        </xdr:cNvPr>
        <xdr:cNvSpPr/>
      </xdr:nvSpPr>
      <xdr:spPr>
        <a:xfrm>
          <a:off x="19607212" y="266700"/>
          <a:ext cx="5919788" cy="3893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IMPRIMIR</a:t>
          </a:r>
        </a:p>
      </xdr:txBody>
    </xdr:sp>
    <xdr:clientData/>
  </xdr:twoCellAnchor>
  <xdr:twoCellAnchor>
    <xdr:from>
      <xdr:col>32</xdr:col>
      <xdr:colOff>266700</xdr:colOff>
      <xdr:row>13</xdr:row>
      <xdr:rowOff>0</xdr:rowOff>
    </xdr:from>
    <xdr:to>
      <xdr:col>42</xdr:col>
      <xdr:colOff>59316</xdr:colOff>
      <xdr:row>17</xdr:row>
      <xdr:rowOff>762000</xdr:rowOff>
    </xdr:to>
    <xdr:sp macro="[0]!BUSCARULTIMOPEDIDO_PEDID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2DBD8EE-B47F-4510-B74F-9227FF0277DB}"/>
            </a:ext>
          </a:extLst>
        </xdr:cNvPr>
        <xdr:cNvSpPr/>
      </xdr:nvSpPr>
      <xdr:spPr>
        <a:xfrm>
          <a:off x="38938200" y="7429500"/>
          <a:ext cx="5888616" cy="3962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BUSCAR</a:t>
          </a:r>
        </a:p>
      </xdr:txBody>
    </xdr:sp>
    <xdr:clientData/>
  </xdr:twoCellAnchor>
  <xdr:twoCellAnchor>
    <xdr:from>
      <xdr:col>19</xdr:col>
      <xdr:colOff>435983</xdr:colOff>
      <xdr:row>18</xdr:row>
      <xdr:rowOff>762000</xdr:rowOff>
    </xdr:from>
    <xdr:to>
      <xdr:col>22</xdr:col>
      <xdr:colOff>495299</xdr:colOff>
      <xdr:row>24</xdr:row>
      <xdr:rowOff>723900</xdr:rowOff>
    </xdr:to>
    <xdr:sp macro="[0]!PDF_PEDID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3BBB3FF-050A-49DC-9EC4-8B3294BECE49}"/>
            </a:ext>
          </a:extLst>
        </xdr:cNvPr>
        <xdr:cNvSpPr/>
      </xdr:nvSpPr>
      <xdr:spPr>
        <a:xfrm>
          <a:off x="27829883" y="12192000"/>
          <a:ext cx="5888616" cy="476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/>
            <a:t>PDF</a:t>
          </a:r>
        </a:p>
      </xdr:txBody>
    </xdr:sp>
    <xdr:clientData/>
  </xdr:twoCellAnchor>
  <xdr:twoCellAnchor editAs="oneCell">
    <xdr:from>
      <xdr:col>56</xdr:col>
      <xdr:colOff>266700</xdr:colOff>
      <xdr:row>0</xdr:row>
      <xdr:rowOff>0</xdr:rowOff>
    </xdr:from>
    <xdr:to>
      <xdr:col>64</xdr:col>
      <xdr:colOff>266700</xdr:colOff>
      <xdr:row>10</xdr:row>
      <xdr:rowOff>266700</xdr:rowOff>
    </xdr:to>
    <xdr:pic>
      <xdr:nvPicPr>
        <xdr:cNvPr id="16" name="Chave">
          <a:extLst>
            <a:ext uri="{FF2B5EF4-FFF2-40B4-BE49-F238E27FC236}">
              <a16:creationId xmlns:a16="http://schemas.microsoft.com/office/drawing/2014/main" id="{F87F8509-22E5-273D-ED83-6087C66D4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787800" y="0"/>
          <a:ext cx="4876800" cy="487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2838697</xdr:colOff>
      <xdr:row>0</xdr:row>
      <xdr:rowOff>121226</xdr:rowOff>
    </xdr:from>
    <xdr:to>
      <xdr:col>0</xdr:col>
      <xdr:colOff>3861954</xdr:colOff>
      <xdr:row>5</xdr:row>
      <xdr:rowOff>172315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062644A4-A9E1-437E-B4A7-619EDA78074D}"/>
            </a:ext>
          </a:extLst>
        </xdr:cNvPr>
        <xdr:cNvSpPr/>
      </xdr:nvSpPr>
      <xdr:spPr>
        <a:xfrm>
          <a:off x="2838697" y="121226"/>
          <a:ext cx="1023257" cy="1003589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oneCellAnchor>
    <xdr:from>
      <xdr:col>0</xdr:col>
      <xdr:colOff>3044807</xdr:colOff>
      <xdr:row>0</xdr:row>
      <xdr:rowOff>69272</xdr:rowOff>
    </xdr:from>
    <xdr:ext cx="4063549" cy="112550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D89F3C-1EB9-4382-AC0A-4057E7680C97}"/>
            </a:ext>
          </a:extLst>
        </xdr:cNvPr>
        <xdr:cNvSpPr/>
      </xdr:nvSpPr>
      <xdr:spPr>
        <a:xfrm>
          <a:off x="3044807" y="69272"/>
          <a:ext cx="4063549" cy="112550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6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</a:t>
          </a:r>
          <a:r>
            <a:rPr lang="pt-BR" sz="66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</a:t>
          </a:r>
          <a:r>
            <a:rPr lang="pt-BR" sz="6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Salgados</a:t>
          </a:r>
        </a:p>
      </xdr:txBody>
    </xdr:sp>
    <xdr:clientData/>
  </xdr:oneCellAnchor>
  <xdr:oneCellAnchor>
    <xdr:from>
      <xdr:col>0</xdr:col>
      <xdr:colOff>2968250</xdr:colOff>
      <xdr:row>5</xdr:row>
      <xdr:rowOff>74173</xdr:rowOff>
    </xdr:from>
    <xdr:ext cx="4064511" cy="593304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BD53E699-1DE9-47BB-8AAE-C7BE09A3FD89}"/>
            </a:ext>
          </a:extLst>
        </xdr:cNvPr>
        <xdr:cNvSpPr/>
      </xdr:nvSpPr>
      <xdr:spPr>
        <a:xfrm>
          <a:off x="2968250" y="1026673"/>
          <a:ext cx="4064511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Edson</a:t>
          </a:r>
          <a:r>
            <a:rPr lang="pt-BR" sz="3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(11) 97250-9777</a:t>
          </a:r>
          <a:endParaRPr lang="pt-BR" sz="3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2116619</xdr:colOff>
      <xdr:row>8</xdr:row>
      <xdr:rowOff>174123</xdr:rowOff>
    </xdr:from>
    <xdr:ext cx="5672771" cy="655885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846C24F-C0C2-DADB-2755-C6597845A752}"/>
            </a:ext>
          </a:extLst>
        </xdr:cNvPr>
        <xdr:cNvSpPr/>
      </xdr:nvSpPr>
      <xdr:spPr>
        <a:xfrm>
          <a:off x="2116619" y="1737200"/>
          <a:ext cx="5672771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Comprovante</a:t>
          </a:r>
          <a:r>
            <a:rPr lang="pt-BR" sz="3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Pagamento</a:t>
          </a:r>
          <a:endParaRPr lang="pt-BR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333375</xdr:colOff>
      <xdr:row>2</xdr:row>
      <xdr:rowOff>145928</xdr:rowOff>
    </xdr:from>
    <xdr:to>
      <xdr:col>15</xdr:col>
      <xdr:colOff>47625</xdr:colOff>
      <xdr:row>14</xdr:row>
      <xdr:rowOff>217365</xdr:rowOff>
    </xdr:to>
    <xdr:sp macro="[0]!REGISTRARPAGAMENTO_DIVID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7A9FEF-709A-1C24-F263-DDD522F98493}"/>
            </a:ext>
          </a:extLst>
        </xdr:cNvPr>
        <xdr:cNvSpPr/>
      </xdr:nvSpPr>
      <xdr:spPr>
        <a:xfrm>
          <a:off x="11152798" y="536697"/>
          <a:ext cx="5233865" cy="26847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 b="1"/>
            <a:t>REGISTRAR</a:t>
          </a:r>
        </a:p>
      </xdr:txBody>
    </xdr:sp>
    <xdr:clientData/>
  </xdr:twoCellAnchor>
  <xdr:twoCellAnchor>
    <xdr:from>
      <xdr:col>6</xdr:col>
      <xdr:colOff>404813</xdr:colOff>
      <xdr:row>15</xdr:row>
      <xdr:rowOff>95250</xdr:rowOff>
    </xdr:from>
    <xdr:to>
      <xdr:col>15</xdr:col>
      <xdr:colOff>119063</xdr:colOff>
      <xdr:row>20</xdr:row>
      <xdr:rowOff>428624</xdr:rowOff>
    </xdr:to>
    <xdr:sp macro="[0]!BUSCARPEDIDO_DIVIDA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383EF04-95F9-4FAE-9BBA-2FC20B07566F}"/>
            </a:ext>
          </a:extLst>
        </xdr:cNvPr>
        <xdr:cNvSpPr/>
      </xdr:nvSpPr>
      <xdr:spPr>
        <a:xfrm>
          <a:off x="10977563" y="3524250"/>
          <a:ext cx="5286375" cy="26431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 b="1"/>
            <a:t>BUSCAR</a:t>
          </a:r>
        </a:p>
      </xdr:txBody>
    </xdr:sp>
    <xdr:clientData/>
  </xdr:twoCellAnchor>
  <xdr:twoCellAnchor>
    <xdr:from>
      <xdr:col>6</xdr:col>
      <xdr:colOff>438150</xdr:colOff>
      <xdr:row>22</xdr:row>
      <xdr:rowOff>33337</xdr:rowOff>
    </xdr:from>
    <xdr:to>
      <xdr:col>15</xdr:col>
      <xdr:colOff>152400</xdr:colOff>
      <xdr:row>27</xdr:row>
      <xdr:rowOff>414337</xdr:rowOff>
    </xdr:to>
    <xdr:sp macro="[0]!REINICIARPAGAMENTO_DIVIDA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5EB39D5-A3BD-43AB-A0E9-06334398E980}"/>
            </a:ext>
          </a:extLst>
        </xdr:cNvPr>
        <xdr:cNvSpPr/>
      </xdr:nvSpPr>
      <xdr:spPr>
        <a:xfrm>
          <a:off x="11010900" y="6677025"/>
          <a:ext cx="5286375" cy="26431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 b="1"/>
            <a:t>REINICIAR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51954</xdr:colOff>
      <xdr:row>1</xdr:row>
      <xdr:rowOff>69273</xdr:rowOff>
    </xdr:from>
    <xdr:to>
      <xdr:col>16</xdr:col>
      <xdr:colOff>103909</xdr:colOff>
      <xdr:row>9</xdr:row>
      <xdr:rowOff>121227</xdr:rowOff>
    </xdr:to>
    <xdr:sp macro="[0]!GERAR_RELATO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415AAF4-6EEB-BF5B-CA83-CB7C9053A463}"/>
            </a:ext>
          </a:extLst>
        </xdr:cNvPr>
        <xdr:cNvSpPr/>
      </xdr:nvSpPr>
      <xdr:spPr>
        <a:xfrm>
          <a:off x="10962409" y="346364"/>
          <a:ext cx="4294909" cy="252845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GERAR</a:t>
          </a:r>
          <a:r>
            <a:rPr lang="pt-BR" sz="3600" b="1" baseline="0"/>
            <a:t> RELATÓRIO</a:t>
          </a:r>
          <a:endParaRPr lang="pt-BR" sz="3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157843</xdr:colOff>
      <xdr:row>0</xdr:row>
      <xdr:rowOff>12246</xdr:rowOff>
    </xdr:from>
    <xdr:to>
      <xdr:col>15</xdr:col>
      <xdr:colOff>272143</xdr:colOff>
      <xdr:row>4</xdr:row>
      <xdr:rowOff>0</xdr:rowOff>
    </xdr:to>
    <xdr:sp macro="[0]!ATUALIZAR_CLIEN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7AA15ED-2091-E8C1-E4C7-2819C2C04EB0}"/>
            </a:ext>
          </a:extLst>
        </xdr:cNvPr>
        <xdr:cNvSpPr/>
      </xdr:nvSpPr>
      <xdr:spPr>
        <a:xfrm>
          <a:off x="33400093" y="12246"/>
          <a:ext cx="3175907" cy="17838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bg1"/>
              </a:solidFill>
            </a:rPr>
            <a:t>ATUALIZAR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360405</xdr:colOff>
      <xdr:row>6</xdr:row>
      <xdr:rowOff>308918</xdr:rowOff>
    </xdr:from>
    <xdr:to>
      <xdr:col>15</xdr:col>
      <xdr:colOff>2265406</xdr:colOff>
      <xdr:row>13</xdr:row>
      <xdr:rowOff>360405</xdr:rowOff>
    </xdr:to>
    <xdr:sp macro="[0]!REGISTRAR_DESEMPENH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5C6073-6552-2C5B-4C7B-9E2930C8C1CF}"/>
            </a:ext>
          </a:extLst>
        </xdr:cNvPr>
        <xdr:cNvSpPr/>
      </xdr:nvSpPr>
      <xdr:spPr>
        <a:xfrm>
          <a:off x="20208446" y="3655540"/>
          <a:ext cx="6229865" cy="329513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0" b="1"/>
            <a:t>REGISTRAR</a:t>
          </a:r>
          <a:endParaRPr lang="pt-BR" sz="1800" b="1"/>
        </a:p>
      </xdr:txBody>
    </xdr:sp>
    <xdr:clientData/>
  </xdr:twoCellAnchor>
  <xdr:twoCellAnchor>
    <xdr:from>
      <xdr:col>8</xdr:col>
      <xdr:colOff>409832</xdr:colOff>
      <xdr:row>14</xdr:row>
      <xdr:rowOff>384089</xdr:rowOff>
    </xdr:from>
    <xdr:to>
      <xdr:col>15</xdr:col>
      <xdr:colOff>2314833</xdr:colOff>
      <xdr:row>21</xdr:row>
      <xdr:rowOff>435576</xdr:rowOff>
    </xdr:to>
    <xdr:sp macro="[0]!REINICIAR_DESEMPENH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A655CD-7B27-499B-B1D3-29224D8993EF}"/>
            </a:ext>
          </a:extLst>
        </xdr:cNvPr>
        <xdr:cNvSpPr/>
      </xdr:nvSpPr>
      <xdr:spPr>
        <a:xfrm>
          <a:off x="20257873" y="7437738"/>
          <a:ext cx="6229865" cy="329513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0" b="1"/>
            <a:t>REINICIAR</a:t>
          </a:r>
          <a:endParaRPr lang="pt-BR" sz="1800" b="1"/>
        </a:p>
      </xdr:txBody>
    </xdr:sp>
    <xdr:clientData/>
  </xdr:twoCellAnchor>
  <xdr:twoCellAnchor>
    <xdr:from>
      <xdr:col>17</xdr:col>
      <xdr:colOff>126658</xdr:colOff>
      <xdr:row>6</xdr:row>
      <xdr:rowOff>358346</xdr:rowOff>
    </xdr:from>
    <xdr:to>
      <xdr:col>27</xdr:col>
      <xdr:colOff>178145</xdr:colOff>
      <xdr:row>13</xdr:row>
      <xdr:rowOff>409833</xdr:rowOff>
    </xdr:to>
    <xdr:sp macro="[0]!APAGARULTIMO_DESEMPE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686E41-C6A1-4FDC-8D7F-5F348481015E}"/>
            </a:ext>
          </a:extLst>
        </xdr:cNvPr>
        <xdr:cNvSpPr/>
      </xdr:nvSpPr>
      <xdr:spPr>
        <a:xfrm>
          <a:off x="26848144" y="3704968"/>
          <a:ext cx="6229866" cy="329513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0" b="1"/>
            <a:t>APAGAR ÚLTIMO</a:t>
          </a:r>
          <a:endParaRPr lang="pt-BR" sz="1800" b="1"/>
        </a:p>
      </xdr:txBody>
    </xdr:sp>
    <xdr:clientData/>
  </xdr:twoCellAnchor>
  <xdr:twoCellAnchor>
    <xdr:from>
      <xdr:col>17</xdr:col>
      <xdr:colOff>128717</xdr:colOff>
      <xdr:row>14</xdr:row>
      <xdr:rowOff>437636</xdr:rowOff>
    </xdr:from>
    <xdr:to>
      <xdr:col>27</xdr:col>
      <xdr:colOff>180205</xdr:colOff>
      <xdr:row>22</xdr:row>
      <xdr:rowOff>25744</xdr:rowOff>
    </xdr:to>
    <xdr:sp macro="[0]!ATUALIZAR_ESTO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A985FF6-FD88-4615-8F39-18B1317BB94E}"/>
            </a:ext>
          </a:extLst>
        </xdr:cNvPr>
        <xdr:cNvSpPr/>
      </xdr:nvSpPr>
      <xdr:spPr>
        <a:xfrm>
          <a:off x="28137366" y="7491285"/>
          <a:ext cx="6229866" cy="329513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0" b="1"/>
            <a:t>ATUALIZAR</a:t>
          </a:r>
          <a:r>
            <a:rPr lang="pt-BR" sz="8000" b="1" baseline="0"/>
            <a:t> ESTOQUE</a:t>
          </a:r>
          <a:endParaRPr lang="pt-BR" sz="1800" b="1"/>
        </a:p>
      </xdr:txBody>
    </xdr:sp>
    <xdr:clientData/>
  </xdr:twoCellAnchor>
  <xdr:twoCellAnchor>
    <xdr:from>
      <xdr:col>20</xdr:col>
      <xdr:colOff>0</xdr:colOff>
      <xdr:row>0</xdr:row>
      <xdr:rowOff>540608</xdr:rowOff>
    </xdr:from>
    <xdr:to>
      <xdr:col>26</xdr:col>
      <xdr:colOff>514865</xdr:colOff>
      <xdr:row>5</xdr:row>
      <xdr:rowOff>102973</xdr:rowOff>
    </xdr:to>
    <xdr:sp macro="[0]!DESCONTAR_DO_ESTO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9B9413F-0C1E-112F-8B01-A3559C607E44}"/>
            </a:ext>
          </a:extLst>
        </xdr:cNvPr>
        <xdr:cNvSpPr/>
      </xdr:nvSpPr>
      <xdr:spPr>
        <a:xfrm>
          <a:off x="29862162" y="540608"/>
          <a:ext cx="4221892" cy="244560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 b="1"/>
            <a:t>DESCONTAR SAÍDA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persons/person59.xml><?xml version="1.0" encoding="utf-8"?>
<personList xmlns="http://schemas.microsoft.com/office/spreadsheetml/2018/threadedcomments" xmlns:x="http://schemas.openxmlformats.org/spreadsheetml/2006/main"/>
</file>

<file path=xl/persons/person60.xml><?xml version="1.0" encoding="utf-8"?>
<personList xmlns="http://schemas.microsoft.com/office/spreadsheetml/2018/threadedcomments" xmlns:x="http://schemas.openxmlformats.org/spreadsheetml/2006/main"/>
</file>

<file path=xl/persons/person61.xml><?xml version="1.0" encoding="utf-8"?>
<personList xmlns="http://schemas.microsoft.com/office/spreadsheetml/2018/threadedcomments" xmlns:x="http://schemas.openxmlformats.org/spreadsheetml/2006/main"/>
</file>

<file path=xl/persons/person62.xml><?xml version="1.0" encoding="utf-8"?>
<personList xmlns="http://schemas.microsoft.com/office/spreadsheetml/2018/threadedcomments" xmlns:x="http://schemas.openxmlformats.org/spreadsheetml/2006/main"/>
</file>

<file path=xl/persons/person63.xml><?xml version="1.0" encoding="utf-8"?>
<personList xmlns="http://schemas.microsoft.com/office/spreadsheetml/2018/threadedcomments" xmlns:x="http://schemas.openxmlformats.org/spreadsheetml/2006/main"/>
</file>

<file path=xl/persons/person64.xml><?xml version="1.0" encoding="utf-8"?>
<personList xmlns="http://schemas.microsoft.com/office/spreadsheetml/2018/threadedcomments" xmlns:x="http://schemas.openxmlformats.org/spreadsheetml/2006/main"/>
</file>

<file path=xl/persons/person65.xml><?xml version="1.0" encoding="utf-8"?>
<personList xmlns="http://schemas.microsoft.com/office/spreadsheetml/2018/threadedcomments" xmlns:x="http://schemas.openxmlformats.org/spreadsheetml/2006/main"/>
</file>

<file path=xl/persons/person66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6742AF-2268-487E-842B-FA7D0E77F0C1}" name="Tabela3" displayName="Tabela3" ref="A2:AT138" totalsRowShown="0" headerRowDxfId="231" dataDxfId="229" headerRowBorderDxfId="230" tableBorderDxfId="228" totalsRowBorderDxfId="227" headerRowCellStyle="Moeda">
  <autoFilter ref="A2:AT138" xr:uid="{6A6742AF-2268-487E-842B-FA7D0E77F0C1}"/>
  <sortState xmlns:xlrd2="http://schemas.microsoft.com/office/spreadsheetml/2017/richdata2" ref="A3:AT63">
    <sortCondition ref="A2:A63"/>
  </sortState>
  <tableColumns count="46">
    <tableColumn id="1" xr3:uid="{D8D8FA3A-4685-4030-9C0A-8F21E2CD8CA8}" name="Nome do Cliente" dataDxfId="226"/>
    <tableColumn id="2" xr3:uid="{F47AFF7F-618F-4207-9770-7DACC76B2506}" name="Data" dataDxfId="225"/>
    <tableColumn id="3" xr3:uid="{9A534FE3-373D-40CA-AB67-7E8C52E9B6DD}" name="Quantidade de Salgado" dataDxfId="224"/>
    <tableColumn id="4" xr3:uid="{D595A303-268F-4CE8-A3FD-32623490AACF}" name="Total R$" dataDxfId="223"/>
    <tableColumn id="5" xr3:uid="{41CDEAAD-1627-45A2-9765-B995447447BD}" name="Fogazza Queijo" dataDxfId="222"/>
    <tableColumn id="6" xr3:uid="{B7F0AAF5-28BD-485F-8FCE-B3008357FEB7}" name="Fogazza de Presunto e Queijo" dataDxfId="221"/>
    <tableColumn id="7" xr3:uid="{46623D90-03EA-4809-A0BD-CF791341FF4A}" name="Fogazza Calabresa" dataDxfId="220"/>
    <tableColumn id="8" xr3:uid="{F0CE6782-9BEE-49CC-870A-396C16591D2E}" name="Fogazza de Frango" dataDxfId="219"/>
    <tableColumn id="41" xr3:uid="{3ABCC865-0AC2-4764-81E8-136943E5371D}" name="Fogazza de Carne" dataDxfId="218"/>
    <tableColumn id="42" xr3:uid="{8F2C9A91-009A-442A-ABA6-62C948E3E02E}" name="Mini Coxinha" dataDxfId="217"/>
    <tableColumn id="43" xr3:uid="{DB5B14D5-0B04-42B6-B92C-0E17F682107F}" name="Mini Bolinho de Carne" dataDxfId="216"/>
    <tableColumn id="44" xr3:uid="{5C06B8F2-CDFF-4C5D-BF10-FE8CC501D7D7}" name="Mini Bolinho de Queijo" dataDxfId="215"/>
    <tableColumn id="45" xr3:uid="{4BC87E20-6CA9-4E89-9FC8-6ED256E29E41}" name="Mini Risoli de Pres. E Queijo" dataDxfId="214"/>
    <tableColumn id="9" xr3:uid="{E4DA102C-0895-44C7-AF0E-5BE658FA0EB9}" name="Coxinha" dataDxfId="213"/>
    <tableColumn id="46" xr3:uid="{1EFDD6BF-AAFF-4674-B7F4-F2F121449752}" name="Coxinha c/ Catupiry" dataDxfId="212"/>
    <tableColumn id="10" xr3:uid="{756F6268-D573-4CAF-A77B-ED59EB3ECEBE}" name="Risoli de Queijo" dataDxfId="211"/>
    <tableColumn id="11" xr3:uid="{CDA0E199-F522-4367-8C97-D671A904A928}" name="Risoli de Presunto e Queijo" dataDxfId="210"/>
    <tableColumn id="12" xr3:uid="{361A0F0F-37EE-4A32-99D4-32A6D61A5681}" name="Bolinho de Carne" dataDxfId="209"/>
    <tableColumn id="13" xr3:uid="{8FFB4396-9BC2-4EDA-AD6F-CF5A62FE3CCF}" name="Kibe" dataDxfId="208"/>
    <tableColumn id="14" xr3:uid="{32CCBADA-2195-407D-86A2-3445D5DD55BE}" name="Enroladinho de Salsicha" dataDxfId="207"/>
    <tableColumn id="15" xr3:uid="{B35542BD-7D7C-4BAC-91E6-7BE98D288987}" name="Croissants de Presunto e Queijo" dataDxfId="206"/>
    <tableColumn id="16" xr3:uid="{D264971E-397F-48FD-B527-9DC7D3776B3F}" name="Croissants de Queijo" dataDxfId="205"/>
    <tableColumn id="17" xr3:uid="{A224CC55-FC26-41B2-9E23-2DC5B118C1D3}" name="Croissants de Calabresa" dataDxfId="204"/>
    <tableColumn id="18" xr3:uid="{7E029BEE-5965-4E2E-BBD9-A97D80F29056}" name="Croissants de Frango" dataDxfId="203"/>
    <tableColumn id="19" xr3:uid="{042B0992-A765-4F7E-AB1B-0DC130F6A48C}" name="Enroladinho de Frango" dataDxfId="202"/>
    <tableColumn id="20" xr3:uid="{9914805D-412E-4FA1-9582-D5A247B22B30}" name="Enroladinho de Calabresa" dataDxfId="201"/>
    <tableColumn id="21" xr3:uid="{4F196234-42CB-4CF1-81BC-937B741D46A8}" name="Enroladinho de Presunto e Queijo" dataDxfId="200"/>
    <tableColumn id="22" xr3:uid="{21408399-3C40-4D1C-9A52-6B4A842DA928}" name="Esfihas de Carne" dataDxfId="199"/>
    <tableColumn id="23" xr3:uid="{40B9924C-44A2-4492-B11F-D7FA897BC395}" name="Esfihas de Queijo" dataDxfId="198"/>
    <tableColumn id="24" xr3:uid="{CBB9D66C-3288-44D9-B53B-D46D3F6DC2E5}" name="Esfihas de Frango" dataDxfId="197"/>
    <tableColumn id="25" xr3:uid="{9E532936-CB63-43F0-BB99-5871A1420866}" name="Esfihas de Calabresa" dataDxfId="196"/>
    <tableColumn id="26" xr3:uid="{F2ADFD33-530A-4B40-A962-91E8BBC5520E}" name="Salsicha Assada" dataDxfId="195"/>
    <tableColumn id="27" xr3:uid="{B6FDF162-11EF-4BD5-9381-143DAB3790B3}" name="Bauru de Presunto e Queijo" dataDxfId="194"/>
    <tableColumn id="28" xr3:uid="{54B38930-68B4-4F08-B448-C5C48EA69F3A}" name="Bauru de Frango" dataDxfId="193"/>
    <tableColumn id="29" xr3:uid="{4646B7C9-0F72-43DC-AD06-E8CF71877067}" name="Bauru de Calabresa" dataDxfId="192"/>
    <tableColumn id="30" xr3:uid="{C48F103D-656C-4224-B3B8-465E973CB02E}" name="Empada de Palmito" dataDxfId="191"/>
    <tableColumn id="31" xr3:uid="{5EA11FC1-2D4D-49BE-A13C-FB320B9F6FC4}" name="Empada de Frango" dataDxfId="190"/>
    <tableColumn id="32" xr3:uid="{3AF23BE3-B35E-4633-9467-22DD9EDB27DB}" name="Hamburgão Cheddar" dataDxfId="189"/>
    <tableColumn id="33" xr3:uid="{5914590A-B26D-47C4-B5B9-69E7B18752C6}" name="Pizza de Calabresa" dataDxfId="188"/>
    <tableColumn id="34" xr3:uid="{C70E6935-BB88-45EE-9599-F741F9E94626}" name="Pizza de Frango" dataDxfId="187"/>
    <tableColumn id="35" xr3:uid="{7AC71985-F165-4A57-A779-5D03EC8DD02A}" name="Pago no Dia" dataDxfId="186"/>
    <tableColumn id="36" xr3:uid="{9786082F-048A-44E6-900C-CC7B12F79A0F}" name="Forma de Pagamento" dataDxfId="185"/>
    <tableColumn id="37" xr3:uid="{A7C2C96B-DA90-477B-983F-35DA4520AC47}" name="Data de Registro" dataDxfId="184"/>
    <tableColumn id="38" xr3:uid="{7C526D7A-DE8D-47D4-8E6D-ED9167E4E8A7}" name="Total Pago" dataDxfId="183"/>
    <tableColumn id="39" xr3:uid="{BE6FE418-56A0-42CC-B4FF-AFCA5E2477F6}" name="Falta Pagar" dataDxfId="182"/>
    <tableColumn id="40" xr3:uid="{66037335-8CAF-4012-B1FD-0A0B36C09E02}" name="Comentários" dataDxfId="18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F038D2-5E92-4A46-9FBF-42C782BE1958}" name="Tabela173" displayName="Tabela173" ref="A1:H214" totalsRowShown="0" headerRowDxfId="180" tableBorderDxfId="179">
  <autoFilter ref="A1:H214" xr:uid="{165CDCBD-6FEE-4667-BFAC-64756043A695}"/>
  <sortState xmlns:xlrd2="http://schemas.microsoft.com/office/spreadsheetml/2017/richdata2" ref="A2:H214">
    <sortCondition ref="D1:D214"/>
  </sortState>
  <tableColumns count="8">
    <tableColumn id="1" xr3:uid="{54A65ABE-E4CE-4FDE-8055-319605670FC4}" name="DESCRIÇÃO" dataDxfId="178"/>
    <tableColumn id="2" xr3:uid="{3D7824A2-644C-4667-A6DE-E66F7DA8C90A}" name="REMETENTE" dataDxfId="177"/>
    <tableColumn id="3" xr3:uid="{78A6E116-2063-4190-A7C8-0020690293BE}" name="DESTINATÁRIO" dataDxfId="176"/>
    <tableColumn id="4" xr3:uid="{50777A00-A10A-412C-8B73-1944D011881C}" name="DATA" dataDxfId="175"/>
    <tableColumn id="5" xr3:uid="{110BA250-E635-436F-B5BC-B8F5B4CD3D25}" name="PREÇO" dataDxfId="174" dataCellStyle="Moeda"/>
    <tableColumn id="6" xr3:uid="{0FDFD5F3-38C4-4AA5-9E4D-6B838872E528}" name="COMPLEMENTO" dataDxfId="173"/>
    <tableColumn id="7" xr3:uid="{8A1B3529-D8CC-4708-BE6A-B287036C455E}" name="FONTE" dataDxfId="172"/>
    <tableColumn id="8" xr3:uid="{0DF1AB11-20B5-4B4B-A6F5-0DC5FF91CB26}" name="CATEGORIA" dataDxfId="17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5CDCBD-6FEE-4667-BFAC-64756043A695}" name="Tabela1" displayName="Tabela1" ref="A1:H214" totalsRowShown="0" headerRowDxfId="170" tableBorderDxfId="169">
  <autoFilter ref="A1:H214" xr:uid="{165CDCBD-6FEE-4667-BFAC-64756043A695}"/>
  <sortState xmlns:xlrd2="http://schemas.microsoft.com/office/spreadsheetml/2017/richdata2" ref="A2:H214">
    <sortCondition ref="D1:D214"/>
  </sortState>
  <tableColumns count="8">
    <tableColumn id="1" xr3:uid="{E54EC5BB-B533-42FE-BD95-D3F7D78293BE}" name="DESCRIÇÃO" dataDxfId="168"/>
    <tableColumn id="2" xr3:uid="{981146FA-A16A-42DA-A688-C16575E5DF80}" name="REMETENTE" dataDxfId="167"/>
    <tableColumn id="3" xr3:uid="{F620C484-00CF-4BA2-83E3-30C92B6B4E4E}" name="DESTINATÁRIO" dataDxfId="166"/>
    <tableColumn id="4" xr3:uid="{CCFBD2C6-BAF4-4528-BC91-3C1C71CF8C4B}" name="DATA" dataDxfId="165"/>
    <tableColumn id="5" xr3:uid="{95FA759C-0508-44C0-95B5-86741C32D8C9}" name="PREÇO" dataDxfId="164" dataCellStyle="Moeda"/>
    <tableColumn id="6" xr3:uid="{34566CD8-6636-4EEF-BD26-390F28BE7AF4}" name="COMPLEMENTO" dataDxfId="163"/>
    <tableColumn id="7" xr3:uid="{03F5E38A-3C5F-4A5F-BC6E-91050FEC2E86}" name="FONTE" dataDxfId="162"/>
    <tableColumn id="8" xr3:uid="{3C9A0795-3135-4456-AE34-8752175F0905}" name="CATEGORIA" dataDxfId="16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AC4ED9-454C-4B69-B7F1-1E6E782D6AB7}" name="Tabela17" displayName="Tabela17" ref="A1:H214" totalsRowShown="0" headerRowDxfId="160" tableBorderDxfId="159">
  <autoFilter ref="A1:H214" xr:uid="{165CDCBD-6FEE-4667-BFAC-64756043A695}"/>
  <sortState xmlns:xlrd2="http://schemas.microsoft.com/office/spreadsheetml/2017/richdata2" ref="A2:H214">
    <sortCondition ref="D1:D214"/>
  </sortState>
  <tableColumns count="8">
    <tableColumn id="1" xr3:uid="{5E8F4AD0-24A0-4E81-A4E1-1CAD4A08DD8B}" name="DESCRIÇÃO" dataDxfId="158"/>
    <tableColumn id="2" xr3:uid="{A1A2FEB5-B9BC-4AEB-9C58-DC0552AC8320}" name="REMETENTE" dataDxfId="157"/>
    <tableColumn id="3" xr3:uid="{DFB27DB3-AE51-4512-9360-2DAEF68A239B}" name="DESTINATÁRIO" dataDxfId="156"/>
    <tableColumn id="4" xr3:uid="{5D7222D8-5238-411F-98DD-216D8CA4BFA7}" name="DATA" dataDxfId="155"/>
    <tableColumn id="5" xr3:uid="{75A189CD-0880-47C3-9C69-AA770847083D}" name="PREÇO" dataDxfId="154" dataCellStyle="Moeda"/>
    <tableColumn id="6" xr3:uid="{19C03BFE-905D-44F6-89B2-0ACEA69CFF0F}" name="COMPLEMENTO" dataDxfId="153"/>
    <tableColumn id="7" xr3:uid="{5DD08473-2EC5-471F-BC44-9D35BFD888B1}" name="FONTE" dataDxfId="152"/>
    <tableColumn id="8" xr3:uid="{736DA7F1-7B39-4E4C-93BF-C0B9C3B7AA31}" name="CATEGORIA" dataDxfId="15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53FB87-8708-4C1D-9DBC-087D63D788A2}" name="Tabela4" displayName="Tabela4" ref="A1:AT2011" totalsRowShown="0" headerRowDxfId="150">
  <autoFilter ref="A1:AT2011" xr:uid="{9353FB87-8708-4C1D-9DBC-087D63D788A2}"/>
  <sortState xmlns:xlrd2="http://schemas.microsoft.com/office/spreadsheetml/2017/richdata2" ref="A79:AT1363">
    <sortCondition ref="B1:B2011"/>
  </sortState>
  <tableColumns count="46">
    <tableColumn id="1" xr3:uid="{5C8A4600-0667-49FE-BF4D-F0EDCFF2BA02}" name="Nome do Cliente" dataDxfId="149"/>
    <tableColumn id="2" xr3:uid="{0485FF3D-6512-42FE-8BFF-8CC4A9595652}" name="Data" dataDxfId="148"/>
    <tableColumn id="3" xr3:uid="{26ADD517-44AD-416B-B3AD-747ED5F583B5}" name="Quantidade de Salgado" dataDxfId="147"/>
    <tableColumn id="4" xr3:uid="{ED2AFEA8-C245-47D1-83AC-9AB1F10F9AB4}" name="Total R$" dataDxfId="146"/>
    <tableColumn id="5" xr3:uid="{BC5842F8-1D25-4945-8CC6-D962450BBC5D}" name="Fogazza Queijo" dataDxfId="145"/>
    <tableColumn id="6" xr3:uid="{FC3D691E-8DA4-4B29-B501-F7E68DB82C56}" name="Fogazza de Presunto e Queijo" dataDxfId="144"/>
    <tableColumn id="7" xr3:uid="{902100C5-9A5A-400D-984A-A1DE89CBEEE7}" name="Fogazza Calabresa" dataDxfId="143"/>
    <tableColumn id="8" xr3:uid="{C1F0D376-94D6-49CD-B2A5-7978F168EA93}" name="Fogazza de Frango" dataDxfId="142"/>
    <tableColumn id="41" xr3:uid="{4F978420-76DF-470E-94F1-E5A10BC07E03}" name="Fogazza de Carne" dataDxfId="141"/>
    <tableColumn id="42" xr3:uid="{367BCAE3-F167-43FB-9FFA-EB1C5D9CA9F7}" name="Mini Coxinha" dataDxfId="140"/>
    <tableColumn id="43" xr3:uid="{17A5D879-A781-4FD1-9E22-7D80E1756664}" name="Mini Bolinho de Carne" dataDxfId="2"/>
    <tableColumn id="44" xr3:uid="{9F46CB24-17FE-47B2-BBA0-2E977B187123}" name="Mini Bolinho de Queijo" dataDxfId="0"/>
    <tableColumn id="45" xr3:uid="{9CEF4E4A-C36F-4927-96CC-862AB26C553F}" name="Mini Risoli de Pres. E Queijo" dataDxfId="1"/>
    <tableColumn id="9" xr3:uid="{D7812E70-A41F-447F-A17E-91D2115FE4EB}" name="Coxinha" dataDxfId="139"/>
    <tableColumn id="46" xr3:uid="{E708C145-64E5-40FD-B765-6BA212B083E9}" name="Coxinha c/ Catupiry" dataDxfId="138"/>
    <tableColumn id="10" xr3:uid="{7E15949D-D1EF-4D94-AF42-A2CD14B0D5B2}" name="Risoli de Queijo" dataDxfId="137"/>
    <tableColumn id="11" xr3:uid="{5FBAD287-4E58-49F9-B940-3497CC458658}" name="Risoli de Presunto e Queijo" dataDxfId="136"/>
    <tableColumn id="12" xr3:uid="{887EA79F-6CF1-4D81-A5ED-D502B3043EF8}" name="Bolinho de Carne" dataDxfId="135"/>
    <tableColumn id="13" xr3:uid="{84D5B7F1-F87C-4371-9374-D1E88F4D995C}" name="Kibe" dataDxfId="134"/>
    <tableColumn id="14" xr3:uid="{7F2A4A6F-AE3D-41E4-890F-FEC862C1602E}" name="Enroladinho de Salsicha" dataDxfId="133"/>
    <tableColumn id="15" xr3:uid="{77E8E4E6-AF6B-4E39-ACC1-7FFB36BB4203}" name="Croissants de Presunto e Queijo" dataDxfId="132"/>
    <tableColumn id="16" xr3:uid="{3F00C8F7-CF75-4D66-B7A8-6016CE89FBC0}" name="Croissants de Queijo" dataDxfId="131"/>
    <tableColumn id="17" xr3:uid="{356EED1A-301E-4F01-8B84-FA764B6F2831}" name="Croissants de Calabresa" dataDxfId="130"/>
    <tableColumn id="18" xr3:uid="{461B6C85-8217-4496-A7A7-F968138ED00B}" name="Croissants de Frango" dataDxfId="129"/>
    <tableColumn id="19" xr3:uid="{3E0FAE30-398B-4165-9A78-362CEF1200AA}" name="Enroladinho de Frango" dataDxfId="128"/>
    <tableColumn id="20" xr3:uid="{F1BDD3E5-8063-47AC-B6B9-AFAA3FC9537C}" name="Enroladinho de Calabresa" dataDxfId="127"/>
    <tableColumn id="21" xr3:uid="{8615B675-7B30-4772-8E4E-55A91DDAA75C}" name="Enroladinho de Presunto e Queijo" dataDxfId="126"/>
    <tableColumn id="22" xr3:uid="{812948A4-4819-4024-BEC5-964FCC6C007F}" name="Esfihas de Carne" dataDxfId="125"/>
    <tableColumn id="23" xr3:uid="{FC995F28-9B25-4B7C-9D75-F589BC3B7100}" name="Esfihas de Queijo" dataDxfId="124"/>
    <tableColumn id="24" xr3:uid="{37522D42-FD49-478E-8AC5-A429CFA000AE}" name="Esfihas de Frango" dataDxfId="123"/>
    <tableColumn id="25" xr3:uid="{C8E1E636-9D94-4803-A493-B116AC9DA4D4}" name="Esfihas de Calabresa" dataDxfId="122"/>
    <tableColumn id="26" xr3:uid="{265BE83D-C0F8-4EA4-BDD9-74436F0D4948}" name="Salsicha Assada" dataDxfId="121"/>
    <tableColumn id="27" xr3:uid="{392DF4BD-1314-42C9-80C7-C09AF47BDE53}" name="Bauru de Presunto e Queijo" dataDxfId="120"/>
    <tableColumn id="28" xr3:uid="{00A1CB8C-B5F6-422F-AA8A-E8B8CCBDAAB9}" name="Bauru de Frango" dataDxfId="119"/>
    <tableColumn id="29" xr3:uid="{AF252434-4217-499D-BE2B-81BB0CDA6EBF}" name="Bauru de Calabresa" dataDxfId="118"/>
    <tableColumn id="30" xr3:uid="{7A8F2EC1-C36D-42AB-8EF3-14A672F6A644}" name="Empada de Palmito" dataDxfId="117"/>
    <tableColumn id="31" xr3:uid="{4143D2F8-67AB-40A8-BD35-065B05A2322E}" name="Empada de Frango" dataDxfId="116"/>
    <tableColumn id="32" xr3:uid="{598BEBDB-ED33-4829-9150-A2E741CDC39C}" name="Hamburgão Cheddar"/>
    <tableColumn id="33" xr3:uid="{DBD163DF-955A-4E3E-B558-2863653ACB58}" name="Pizza de Calabresa"/>
    <tableColumn id="34" xr3:uid="{7CF5F6AD-1145-4CF3-BFCF-752F93E10725}" name="Pizza de Frango"/>
    <tableColumn id="35" xr3:uid="{E2589FBE-8BA0-4F1E-BCC8-220F2828D2B0}" name="Pago no Dia" dataDxfId="115"/>
    <tableColumn id="36" xr3:uid="{76D79C10-B3E2-43FB-A990-C2C1281A2E2D}" name="Forma de Pagamento" dataDxfId="114"/>
    <tableColumn id="37" xr3:uid="{C22FDF01-BA05-4B23-B6E9-53BDCD92DD04}" name="Data de Registro" dataDxfId="113"/>
    <tableColumn id="38" xr3:uid="{5E17E4B4-AA53-44D3-B005-416DC3327B38}" name="Total Pago" dataDxfId="112" dataCellStyle="Moeda"/>
    <tableColumn id="39" xr3:uid="{B8027909-2A31-4265-9565-528CA8214BDE}" name="Falta Pagar" dataDxfId="111" dataCellStyle="Moeda">
      <calculatedColumnFormula>Tabela4[[#This Row],[Total R$]]-Tabela4[[#This Row],[Total Pago]]</calculatedColumnFormula>
    </tableColumn>
    <tableColumn id="40" xr3:uid="{54FC5E1E-D92C-4ECC-A4EE-85829EC42511}" name="COMENTÁRIO" dataDxfId="110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6CB380-F267-480E-B135-6C651E14A6F2}" name="Tabela5" displayName="Tabela5" ref="A1:J51" insertRowShift="1" totalsRowShown="0" headerRowDxfId="108" dataDxfId="106" headerRowBorderDxfId="107" tableBorderDxfId="105" totalsRowBorderDxfId="104">
  <autoFilter ref="A1:J51" xr:uid="{766CB380-F267-480E-B135-6C651E14A6F2}"/>
  <sortState xmlns:xlrd2="http://schemas.microsoft.com/office/spreadsheetml/2017/richdata2" ref="A2:J51">
    <sortCondition ref="A1:A51"/>
  </sortState>
  <tableColumns count="10">
    <tableColumn id="1" xr3:uid="{2D0D9A9C-59E4-4472-9BBC-DC46CADBCDA0}" name="Nome" dataDxfId="103"/>
    <tableColumn id="2" xr3:uid="{0C3EFC2C-0C2A-43EF-9D2D-65C766988957}" name="Nome Fantasia do Estabelecimento" dataDxfId="102"/>
    <tableColumn id="3" xr3:uid="{E1BE77BB-E7FF-45D5-B722-CEE496DBFFDD}" name="Endereço 1" dataDxfId="101"/>
    <tableColumn id="7" xr3:uid="{D1AC9D6B-9853-4881-BFAF-88C1F5249118}" name="Responsável Financeiro" dataDxfId="100"/>
    <tableColumn id="8" xr3:uid="{296F880F-9523-4838-A53B-89BEDA33E0B7}" name="Correio Eletrônico" dataDxfId="99"/>
    <tableColumn id="9" xr3:uid="{A6AB1A8E-0422-4C1A-8677-610BBC53748F}" name="Telefone" dataDxfId="98"/>
    <tableColumn id="10" xr3:uid="{C88C417C-01F1-4956-87E5-3EDCB52B7029}" name="Dívida" dataDxfId="97" dataCellStyle="Moeda"/>
    <tableColumn id="11" xr3:uid="{34C97C70-70D7-4237-8F57-60E724A49D5C}" name="Média de Pedidos" dataDxfId="96" dataCellStyle="Moeda"/>
    <tableColumn id="12" xr3:uid="{26072A7B-FA2E-438D-9A1C-B18F02F37BFF}" name="Dinâmica de Pagamento" dataDxfId="95"/>
    <tableColumn id="13" xr3:uid="{CEF9EF82-127D-419A-90CE-AE90CBC4F7B3}" name="Código" dataDxfId="94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13A80C5-6118-47DA-877B-5B897A6FFB39}" name="Tabela7" displayName="Tabela7" ref="A1:AO28" totalsRowShown="0" headerRowDxfId="93" dataDxfId="91" headerRowBorderDxfId="92">
  <autoFilter ref="A1:AO28" xr:uid="{113A80C5-6118-47DA-877B-5B897A6FFB39}"/>
  <sortState xmlns:xlrd2="http://schemas.microsoft.com/office/spreadsheetml/2017/richdata2" ref="A7:AO26">
    <sortCondition ref="B1:B26"/>
  </sortState>
  <tableColumns count="41">
    <tableColumn id="1" xr3:uid="{045B50C9-C592-4272-A07F-84807249B7E3}" name="Nome do Funcionário" dataDxfId="90"/>
    <tableColumn id="2" xr3:uid="{4D8E8EE8-CFD8-4B64-AD2E-789FFBA038D6}" name="Data" dataDxfId="89"/>
    <tableColumn id="3" xr3:uid="{AAB5704D-FEC7-4E76-B628-BCACE3A9A08D}" name="Quantidade de Salgado" dataDxfId="88"/>
    <tableColumn id="4" xr3:uid="{C13255BD-B2DA-4A47-BB7C-0B6912E06712}" name="Total R$" dataDxfId="87"/>
    <tableColumn id="5" xr3:uid="{8A14F8B6-C58C-4593-902A-80956184176C}" name="Fogazza Queijo" dataDxfId="86"/>
    <tableColumn id="6" xr3:uid="{353FF830-9A66-48FE-88D2-B3E02A57E2F0}" name="Fogazza de Presunto e Queijo" dataDxfId="85"/>
    <tableColumn id="7" xr3:uid="{1CC8D8C0-1CF3-42E1-800E-6585600E4176}" name="Fogazza Calabresa" dataDxfId="84"/>
    <tableColumn id="8" xr3:uid="{9679ED15-4D33-432F-AC97-14A725B7341D}" name="Fogazza de Frango" dataDxfId="83"/>
    <tableColumn id="9" xr3:uid="{DD209256-1DE5-4D44-AD02-57F5490F1082}" name="Fogazza de Carne" dataDxfId="82"/>
    <tableColumn id="10" xr3:uid="{4AFDFA59-2CA8-4918-B12A-EC74133CCD50}" name="Mini Coxinha" dataDxfId="81"/>
    <tableColumn id="11" xr3:uid="{7F1E1D6C-56B4-437D-9161-C715655F41B0}" name="Mini Bolinho de Carne" dataDxfId="80"/>
    <tableColumn id="12" xr3:uid="{7B3AB5D4-F498-42E2-A3C2-B2310D12E24B}" name="Mini Bolinho de Queijo" dataDxfId="79"/>
    <tableColumn id="13" xr3:uid="{3E16BB5F-03C7-494A-BDC1-641EFF1EA745}" name="Mini Risoli de Pres. E Queijo" dataDxfId="78"/>
    <tableColumn id="14" xr3:uid="{AF738646-258A-435B-B3AF-84DF2316912B}" name="Coxinha" dataDxfId="77"/>
    <tableColumn id="15" xr3:uid="{4D63D8BC-23C8-4633-967D-140C679B2167}" name="Coxinha c/ Catupiry" dataDxfId="76"/>
    <tableColumn id="16" xr3:uid="{3D667B9D-7340-4B17-B585-07F57102B207}" name="Risoli de Queijo" dataDxfId="75"/>
    <tableColumn id="17" xr3:uid="{D2C00EA8-D9C2-4311-B70B-2482002DBE46}" name="Risoli de Presunto e Queijo" dataDxfId="74"/>
    <tableColumn id="18" xr3:uid="{BE01DBAA-8725-405A-BCFA-271F46563B66}" name="Bolinho de Carne" dataDxfId="73"/>
    <tableColumn id="19" xr3:uid="{ECB1D8D4-ED96-49DB-9D70-562E03890815}" name="Kibe" dataDxfId="72"/>
    <tableColumn id="20" xr3:uid="{B30798ED-F69D-43D7-8072-B2FC47BC60E6}" name="Enroladinho de Salsicha" dataDxfId="71"/>
    <tableColumn id="21" xr3:uid="{B592223A-E9B9-4AAE-A6A8-65E484A46210}" name="Croissants de Presunto e Queijo" dataDxfId="70"/>
    <tableColumn id="22" xr3:uid="{2EEA2A18-1505-41D8-B4F6-2DDF442D691D}" name="Croissants de Queijo" dataDxfId="69"/>
    <tableColumn id="23" xr3:uid="{2719E9EA-A7E6-476F-BB6C-992C2BF535F9}" name="Croissants de Calabresa" dataDxfId="68"/>
    <tableColumn id="24" xr3:uid="{492F0FF9-47AF-4CD2-A368-28B23D2B5F45}" name="Croissants de Frango" dataDxfId="67"/>
    <tableColumn id="25" xr3:uid="{D03DA87D-249C-493E-8A4A-923C248D660C}" name="Enroladinho de Frango" dataDxfId="66"/>
    <tableColumn id="26" xr3:uid="{F9DA2AE6-6E5C-4B6E-8320-662BAEC29CE0}" name="Enroladinho de Calabresa" dataDxfId="65"/>
    <tableColumn id="27" xr3:uid="{2A659318-8D94-4865-9FE0-4C7276F5BFD2}" name="Enroladinho de Presunto e Queijo" dataDxfId="64"/>
    <tableColumn id="28" xr3:uid="{CCC09347-98C2-4FB3-B1FA-61AF025D3A2C}" name="Esfihas de Carne" dataDxfId="63"/>
    <tableColumn id="29" xr3:uid="{7FC69E41-CFD6-4273-9DBD-413840784312}" name="Esfihas de Queijo" dataDxfId="62"/>
    <tableColumn id="30" xr3:uid="{1BE789B1-5C9B-4F0A-A680-BCFD3B5C4D91}" name="Esfihas de Frango" dataDxfId="61"/>
    <tableColumn id="31" xr3:uid="{3CADA59B-0C45-4206-B31D-E63DB821AD89}" name="Esfihas de Calabresa" dataDxfId="60"/>
    <tableColumn id="32" xr3:uid="{7C3836BC-82AE-4A09-8D3D-42B7CAC4DC1C}" name="Salsicha Assada" dataDxfId="59"/>
    <tableColumn id="33" xr3:uid="{22BFF1BF-274A-4205-8D8D-4171E385FF40}" name="Bauru de Presunto e Queijo" dataDxfId="58"/>
    <tableColumn id="34" xr3:uid="{41EBC534-5E9A-4C53-841A-135F1B607503}" name="Bauru de Frango" dataDxfId="57"/>
    <tableColumn id="35" xr3:uid="{E505A6AA-FA66-48D6-ADB7-382B3AA9324F}" name="Bauru de Calabresa" dataDxfId="56"/>
    <tableColumn id="36" xr3:uid="{61228ADF-6A6D-45A2-B25B-CE17C4277C17}" name="Empada de Palmito" dataDxfId="55"/>
    <tableColumn id="37" xr3:uid="{47596392-CC58-479B-BD48-7499B48A312A}" name="Empada de Frango" dataDxfId="54"/>
    <tableColumn id="38" xr3:uid="{77869ED1-E9FA-4914-9360-F6A81D30504B}" name="Hamburgão Cheddar" dataDxfId="53"/>
    <tableColumn id="39" xr3:uid="{BEE8EDA2-675E-4AD8-A3AE-F71BF6FEF1B9}" name="Pizza de Calabresa" dataDxfId="52"/>
    <tableColumn id="40" xr3:uid="{3683E73C-0CCE-425C-8B01-7CD7B9929E7E}" name="Pizza de Frango" dataDxfId="51"/>
    <tableColumn id="41" xr3:uid="{A1DBD260-3CFD-49B4-8893-3F6F2FBF2A75}" name="Registrado no Dia" dataDxfId="5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EEDB20-98D0-4D34-B7E1-3D211B5EE74A}" name="Tabela8" displayName="Tabela8" ref="A1:AQ42" totalsRowShown="0" headerRowDxfId="49" dataDxfId="47" headerRowBorderDxfId="48" tableBorderDxfId="46">
  <autoFilter ref="A1:AQ42" xr:uid="{50EEDB20-98D0-4D34-B7E1-3D211B5EE74A}"/>
  <tableColumns count="43">
    <tableColumn id="1" xr3:uid="{577588F1-27E5-48E6-86DD-93F4A637228D}" name="Nome do Funcionário" dataDxfId="45"/>
    <tableColumn id="2" xr3:uid="{6031E6A9-6E77-4D42-A4D7-C49AEF40890E}" name="Data" dataDxfId="44"/>
    <tableColumn id="3" xr3:uid="{8AE274A9-898B-4988-BF61-7CF461E2C6B2}" name="Quantidade de Salgado" dataDxfId="43"/>
    <tableColumn id="4" xr3:uid="{A4081B56-917D-4D54-B97A-F782EBC503DD}" name="Total R$" dataDxfId="42"/>
    <tableColumn id="5" xr3:uid="{A3D4CD8F-DD84-4232-8566-6F8B31EEC83F}" name="Fogazza Queijo" dataDxfId="41"/>
    <tableColumn id="6" xr3:uid="{F324C976-7293-475D-81BB-9BC0D5C70883}" name="Fogazza de Presunto e Queijo" dataDxfId="40"/>
    <tableColumn id="7" xr3:uid="{6CF8F015-F745-46AC-AC48-31B6C27BCDF4}" name="Fogazza Calabresa" dataDxfId="39"/>
    <tableColumn id="8" xr3:uid="{119B1645-8C19-4B41-A450-8610F5A41F48}" name="Fogazza de Frango" dataDxfId="38"/>
    <tableColumn id="9" xr3:uid="{8A998D67-3A01-4B08-94A1-9E168F522C30}" name="Fogazza de Carne" dataDxfId="37"/>
    <tableColumn id="10" xr3:uid="{7E57FA85-9366-4407-A7FA-8FD14B82C35B}" name="Mini Coxinha" dataDxfId="36"/>
    <tableColumn id="11" xr3:uid="{B6F06C69-5DFD-4231-9C33-471F9A8EC0FE}" name="Mini Bolinho de Carne" dataDxfId="35"/>
    <tableColumn id="12" xr3:uid="{5A7F7627-E0C3-454B-8D2C-61D41EA68D5A}" name="Mini Bolinho de Queijo" dataDxfId="34"/>
    <tableColumn id="13" xr3:uid="{FC86B9BC-9D4B-4862-B348-8A75D3BD8A31}" name="Mini Risoli de Pres. E Queijo" dataDxfId="33"/>
    <tableColumn id="14" xr3:uid="{0D3225C3-F1DF-4B92-86BB-4C3CB2BC035B}" name="Coxinha" dataDxfId="32"/>
    <tableColumn id="15" xr3:uid="{CFC2EA5C-C8C4-41F9-A249-F15E90A77094}" name="Coxinha c/ Catupiry" dataDxfId="31"/>
    <tableColumn id="16" xr3:uid="{4D8C640B-DE94-4FCC-B73B-8C8B40C514F4}" name="Risoli de Queijo" dataDxfId="30"/>
    <tableColumn id="17" xr3:uid="{6C834F67-27A1-4DFF-9BFA-BAD1A0E8742A}" name="Risoli de Presunto e Queijo" dataDxfId="29"/>
    <tableColumn id="18" xr3:uid="{77D0AE16-95B2-4051-BC90-3C78ECDBB4DF}" name="Bolinho de Carne" dataDxfId="28"/>
    <tableColumn id="19" xr3:uid="{F51D1E1C-2341-4DE9-B78E-1F7188A5E86D}" name="Kibe" dataDxfId="27"/>
    <tableColumn id="20" xr3:uid="{183DFBF4-F3CE-417A-8A0E-71B398A69E9F}" name="Enroladinho de Salsicha" dataDxfId="26"/>
    <tableColumn id="21" xr3:uid="{59412434-190C-4975-BEF1-8D0FD1EFD913}" name="Croissants de Presunto e Queijo" dataDxfId="25"/>
    <tableColumn id="22" xr3:uid="{5471A31E-DA88-4D12-8B87-C9D360722CE7}" name="Croissants de Queijo" dataDxfId="24"/>
    <tableColumn id="23" xr3:uid="{BD299C40-A741-4DE0-B976-2471875F1477}" name="Croissants de Calabresa" dataDxfId="23"/>
    <tableColumn id="24" xr3:uid="{B4F7CE62-8584-4812-A4E0-355FE1ECF646}" name="Croissants de Frango" dataDxfId="22"/>
    <tableColumn id="25" xr3:uid="{D69D4B84-08E5-4963-8FD7-706DC4A78FD6}" name="Enroladinho de Frango" dataDxfId="21"/>
    <tableColumn id="26" xr3:uid="{12EF20A1-4A5A-4C3F-9116-34B65F4C94C6}" name="Enroladinho de Calabresa" dataDxfId="20"/>
    <tableColumn id="27" xr3:uid="{4DB12F3D-4635-47C3-9840-1F37E752C611}" name="Enroladinho de Presunto e Queijo" dataDxfId="19"/>
    <tableColumn id="28" xr3:uid="{4DEF30DA-94E5-4130-AF9D-0E072D6BD5B6}" name="Esfihas de Carne" dataDxfId="18"/>
    <tableColumn id="29" xr3:uid="{24EB6820-1031-45F9-AC9B-51BD16C920A4}" name="Esfihas de Queijo" dataDxfId="17"/>
    <tableColumn id="30" xr3:uid="{ECAA6BAF-81BB-450C-90EA-946AF97D3DB3}" name="Esfihas de Frango" dataDxfId="16"/>
    <tableColumn id="31" xr3:uid="{FE6BB3B7-949E-4DAA-8BAA-13868FD65F82}" name="Esfihas de Calabresa" dataDxfId="15"/>
    <tableColumn id="32" xr3:uid="{7DC61565-9223-4AD0-8C52-FB865F10132F}" name="Salsicha Assada" dataDxfId="14"/>
    <tableColumn id="33" xr3:uid="{935F8E27-B9C1-40E5-BCDE-47116C74B0FA}" name="Bauru de Presunto e Queijo" dataDxfId="13"/>
    <tableColumn id="34" xr3:uid="{A5375DF8-5461-4EE6-8C44-58BBE421885B}" name="Bauru de Frango" dataDxfId="12"/>
    <tableColumn id="35" xr3:uid="{4C375181-3205-4057-AA93-B0BCB08FC11B}" name="Bauru de Calabresa" dataDxfId="11"/>
    <tableColumn id="36" xr3:uid="{B7BAC4AD-F997-417D-B713-B5669A857903}" name="Empada de Palmito" dataDxfId="10"/>
    <tableColumn id="37" xr3:uid="{BD89B722-8E00-466A-8386-6AD2B97BA45E}" name="Empada de Frango" dataDxfId="9"/>
    <tableColumn id="38" xr3:uid="{8CAF0D7E-018A-42D7-846D-C70E6ECAA411}" name="Hamburgão Cheddar" dataDxfId="8"/>
    <tableColumn id="39" xr3:uid="{C6F6303B-17E9-446C-9B13-734D0F4B8953}" name="Pizza de Calabresa" dataDxfId="7"/>
    <tableColumn id="40" xr3:uid="{27D1DE87-D316-4E31-B463-42F44422C8F6}" name="Pizza de Frango" dataDxfId="6"/>
    <tableColumn id="41" xr3:uid="{971F0A50-1D73-4759-A28D-427722BD52E7}" name="Operação" dataDxfId="5"/>
    <tableColumn id="42" xr3:uid="{7B30F517-892D-4406-9701-30962C237D83}" name="Registrado no Dia" dataDxfId="4"/>
    <tableColumn id="43" xr3:uid="{090B5EC4-230E-4603-A84B-A195DCCCDE2B}" name="Nota de Esclarecimento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C91D1-69EE-40C7-86FC-6CC78A4735B9}">
  <sheetPr codeName="Planilha1"/>
  <dimension ref="A1:DS10"/>
  <sheetViews>
    <sheetView topLeftCell="BF1" zoomScale="89" zoomScaleNormal="89" workbookViewId="0">
      <selection activeCell="BY3" sqref="BY3:BY6"/>
    </sheetView>
  </sheetViews>
  <sheetFormatPr defaultRowHeight="15" x14ac:dyDescent="0.25"/>
  <cols>
    <col min="1" max="1" width="20.42578125" customWidth="1"/>
    <col min="2" max="2" width="10.5703125" style="2" customWidth="1"/>
    <col min="4" max="4" width="21.28515625" bestFit="1" customWidth="1"/>
    <col min="5" max="5" width="9.85546875" customWidth="1"/>
    <col min="7" max="7" width="17.140625" customWidth="1"/>
    <col min="8" max="8" width="11" customWidth="1"/>
    <col min="10" max="10" width="15.28515625" bestFit="1" customWidth="1"/>
    <col min="11" max="11" width="9.7109375" bestFit="1" customWidth="1"/>
    <col min="12" max="12" width="9.7109375" customWidth="1"/>
    <col min="13" max="13" width="15.5703125" bestFit="1" customWidth="1"/>
    <col min="14" max="14" width="9.7109375" customWidth="1"/>
    <col min="16" max="16" width="15.28515625" bestFit="1" customWidth="1"/>
    <col min="17" max="17" width="9.7109375" bestFit="1" customWidth="1"/>
    <col min="19" max="19" width="16.28515625" bestFit="1" customWidth="1"/>
    <col min="20" max="20" width="9.7109375" bestFit="1" customWidth="1"/>
    <col min="22" max="22" width="15.28515625" bestFit="1" customWidth="1"/>
    <col min="23" max="23" width="9.7109375" style="2" bestFit="1" customWidth="1"/>
    <col min="25" max="25" width="17.85546875" customWidth="1"/>
    <col min="26" max="26" width="9.7109375" bestFit="1" customWidth="1"/>
    <col min="28" max="28" width="15.28515625" bestFit="1" customWidth="1"/>
    <col min="29" max="29" width="10" bestFit="1" customWidth="1"/>
    <col min="31" max="31" width="15.42578125" bestFit="1" customWidth="1"/>
    <col min="32" max="32" width="10.140625" bestFit="1" customWidth="1"/>
    <col min="34" max="34" width="18.7109375" bestFit="1" customWidth="1"/>
    <col min="37" max="37" width="16.140625" bestFit="1" customWidth="1"/>
    <col min="38" max="38" width="9.85546875" bestFit="1" customWidth="1"/>
    <col min="40" max="40" width="16.85546875" customWidth="1"/>
    <col min="41" max="41" width="11.42578125" customWidth="1"/>
    <col min="43" max="43" width="15.28515625" bestFit="1" customWidth="1"/>
    <col min="46" max="46" width="15.28515625" bestFit="1" customWidth="1"/>
    <col min="47" max="47" width="9.140625" style="2"/>
    <col min="49" max="49" width="15.28515625" bestFit="1" customWidth="1"/>
    <col min="52" max="52" width="15.28515625" bestFit="1" customWidth="1"/>
    <col min="55" max="55" width="15.28515625" bestFit="1" customWidth="1"/>
    <col min="56" max="56" width="9.85546875" bestFit="1" customWidth="1"/>
    <col min="58" max="58" width="16" bestFit="1" customWidth="1"/>
    <col min="59" max="59" width="9.140625" style="2"/>
    <col min="61" max="61" width="20.7109375" bestFit="1" customWidth="1"/>
    <col min="64" max="64" width="15.28515625" bestFit="1" customWidth="1"/>
    <col min="67" max="67" width="15.28515625" bestFit="1" customWidth="1"/>
    <col min="70" max="70" width="15.28515625" bestFit="1" customWidth="1"/>
    <col min="73" max="73" width="15.28515625" bestFit="1" customWidth="1"/>
    <col min="76" max="76" width="15.28515625" bestFit="1" customWidth="1"/>
    <col min="77" max="77" width="9.140625" style="2"/>
    <col min="79" max="79" width="36.42578125" bestFit="1" customWidth="1"/>
  </cols>
  <sheetData>
    <row r="1" spans="1:123" ht="44.25" customHeight="1" x14ac:dyDescent="0.25">
      <c r="A1" s="352" t="s">
        <v>247</v>
      </c>
      <c r="B1" s="352"/>
      <c r="D1" s="351" t="s">
        <v>248</v>
      </c>
      <c r="E1" s="351"/>
      <c r="G1" s="351" t="s">
        <v>249</v>
      </c>
      <c r="H1" s="351"/>
      <c r="J1" s="351" t="s">
        <v>250</v>
      </c>
      <c r="K1" s="351"/>
      <c r="L1" s="77"/>
      <c r="M1" s="351" t="s">
        <v>252</v>
      </c>
      <c r="N1" s="351"/>
      <c r="P1" s="352" t="s">
        <v>12</v>
      </c>
      <c r="Q1" s="352"/>
      <c r="S1" s="351" t="s">
        <v>13</v>
      </c>
      <c r="T1" s="351"/>
      <c r="V1" s="352" t="s">
        <v>14</v>
      </c>
      <c r="W1" s="352"/>
      <c r="Y1" s="351" t="s">
        <v>51</v>
      </c>
      <c r="Z1" s="351"/>
      <c r="AB1" s="352" t="s">
        <v>23</v>
      </c>
      <c r="AC1" s="352"/>
      <c r="AE1" s="351" t="s">
        <v>27</v>
      </c>
      <c r="AF1" s="351"/>
      <c r="AH1" s="351" t="s">
        <v>28</v>
      </c>
      <c r="AI1" s="351"/>
      <c r="AK1" s="351" t="s">
        <v>29</v>
      </c>
      <c r="AL1" s="351"/>
      <c r="AN1" s="351" t="s">
        <v>16</v>
      </c>
      <c r="AO1" s="351"/>
      <c r="AQ1" s="351" t="s">
        <v>15</v>
      </c>
      <c r="AR1" s="351"/>
      <c r="AT1" s="351" t="s">
        <v>17</v>
      </c>
      <c r="AU1" s="351"/>
      <c r="AW1" s="351" t="s">
        <v>18</v>
      </c>
      <c r="AX1" s="351"/>
      <c r="AZ1" s="351" t="s">
        <v>21</v>
      </c>
      <c r="BA1" s="351"/>
      <c r="BC1" s="351" t="s">
        <v>22</v>
      </c>
      <c r="BD1" s="351"/>
      <c r="BF1" s="351" t="s">
        <v>23</v>
      </c>
      <c r="BG1" s="351"/>
      <c r="BI1" s="351" t="s">
        <v>24</v>
      </c>
      <c r="BJ1" s="351"/>
      <c r="BL1" s="351" t="s">
        <v>25</v>
      </c>
      <c r="BM1" s="351"/>
      <c r="BO1" s="351" t="s">
        <v>26</v>
      </c>
      <c r="BP1" s="351"/>
      <c r="BR1" s="351" t="s">
        <v>27</v>
      </c>
      <c r="BS1" s="351"/>
      <c r="BU1" s="351" t="s">
        <v>28</v>
      </c>
      <c r="BV1" s="351"/>
      <c r="BX1" s="351" t="s">
        <v>29</v>
      </c>
      <c r="BY1" s="351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</row>
    <row r="2" spans="1:123" ht="20.25" x14ac:dyDescent="0.25">
      <c r="A2" s="16" t="s">
        <v>0</v>
      </c>
      <c r="B2" s="16" t="s">
        <v>1</v>
      </c>
      <c r="D2" s="16" t="s">
        <v>0</v>
      </c>
      <c r="E2" s="16" t="s">
        <v>1</v>
      </c>
      <c r="G2" s="16" t="s">
        <v>0</v>
      </c>
      <c r="H2" s="16" t="s">
        <v>1</v>
      </c>
      <c r="J2" s="16" t="s">
        <v>0</v>
      </c>
      <c r="K2" s="16" t="s">
        <v>1</v>
      </c>
      <c r="L2" s="18"/>
      <c r="M2" s="16" t="s">
        <v>0</v>
      </c>
      <c r="N2" s="16" t="s">
        <v>1</v>
      </c>
      <c r="P2" s="16" t="s">
        <v>0</v>
      </c>
      <c r="Q2" s="16" t="s">
        <v>1</v>
      </c>
      <c r="S2" s="16" t="s">
        <v>0</v>
      </c>
      <c r="T2" s="16" t="s">
        <v>1</v>
      </c>
      <c r="V2" s="16" t="s">
        <v>0</v>
      </c>
      <c r="W2" s="32" t="s">
        <v>1</v>
      </c>
      <c r="Y2" s="16" t="s">
        <v>0</v>
      </c>
      <c r="Z2" s="16" t="s">
        <v>1</v>
      </c>
      <c r="AB2" s="16" t="s">
        <v>0</v>
      </c>
      <c r="AC2" s="16" t="s">
        <v>1</v>
      </c>
      <c r="AE2" s="16" t="s">
        <v>0</v>
      </c>
      <c r="AF2" s="16" t="s">
        <v>1</v>
      </c>
      <c r="AH2" s="16" t="s">
        <v>0</v>
      </c>
      <c r="AI2" s="16" t="s">
        <v>1</v>
      </c>
      <c r="AK2" s="16" t="s">
        <v>0</v>
      </c>
      <c r="AL2" s="32" t="s">
        <v>1</v>
      </c>
      <c r="AN2" s="16" t="s">
        <v>0</v>
      </c>
      <c r="AO2" s="16" t="s">
        <v>1</v>
      </c>
      <c r="AQ2" s="16" t="s">
        <v>0</v>
      </c>
      <c r="AR2" s="16" t="s">
        <v>1</v>
      </c>
      <c r="AT2" s="16" t="s">
        <v>0</v>
      </c>
      <c r="AU2" s="16" t="s">
        <v>1</v>
      </c>
      <c r="AW2" s="16" t="s">
        <v>0</v>
      </c>
      <c r="AX2" s="16" t="s">
        <v>1</v>
      </c>
      <c r="AZ2" s="16" t="s">
        <v>0</v>
      </c>
      <c r="BA2" s="16" t="s">
        <v>1</v>
      </c>
      <c r="BC2" s="16" t="s">
        <v>0</v>
      </c>
      <c r="BD2" s="16" t="s">
        <v>1</v>
      </c>
      <c r="BF2" s="16" t="s">
        <v>0</v>
      </c>
      <c r="BG2" s="32" t="s">
        <v>1</v>
      </c>
      <c r="BI2" s="16" t="s">
        <v>0</v>
      </c>
      <c r="BJ2" s="16" t="s">
        <v>1</v>
      </c>
      <c r="BL2" s="16" t="s">
        <v>0</v>
      </c>
      <c r="BM2" s="16" t="s">
        <v>1</v>
      </c>
      <c r="BO2" s="16" t="s">
        <v>0</v>
      </c>
      <c r="BP2" s="16" t="s">
        <v>1</v>
      </c>
      <c r="BR2" s="16" t="s">
        <v>0</v>
      </c>
      <c r="BS2" s="16" t="s">
        <v>1</v>
      </c>
      <c r="BU2" s="16" t="s">
        <v>0</v>
      </c>
      <c r="BV2" s="16" t="s">
        <v>1</v>
      </c>
      <c r="BX2" s="16" t="s">
        <v>0</v>
      </c>
      <c r="BY2" s="32" t="s">
        <v>1</v>
      </c>
      <c r="CA2" s="18"/>
      <c r="CB2" s="18"/>
      <c r="CD2" s="18"/>
      <c r="CE2" s="18"/>
      <c r="CG2" s="18"/>
      <c r="CH2" s="18"/>
      <c r="CJ2" s="18"/>
      <c r="CK2" s="18"/>
      <c r="CM2" s="18"/>
      <c r="CN2" s="18"/>
      <c r="CP2" s="18"/>
      <c r="CQ2" s="18"/>
      <c r="CS2" s="18"/>
      <c r="CT2" s="18"/>
      <c r="CV2" s="18"/>
      <c r="CW2" s="18"/>
      <c r="CY2" s="18"/>
      <c r="CZ2" s="18"/>
      <c r="DB2" s="18"/>
      <c r="DC2" s="18"/>
      <c r="DE2" s="18"/>
      <c r="DF2" s="18"/>
      <c r="DH2" s="18"/>
      <c r="DI2" s="18"/>
    </row>
    <row r="3" spans="1:123" x14ac:dyDescent="0.25">
      <c r="A3" s="22" t="s">
        <v>76</v>
      </c>
      <c r="B3" s="30"/>
      <c r="D3" s="22" t="s">
        <v>76</v>
      </c>
      <c r="E3" s="30"/>
      <c r="G3" s="22" t="s">
        <v>76</v>
      </c>
      <c r="H3" s="30"/>
      <c r="J3" s="22" t="s">
        <v>76</v>
      </c>
      <c r="K3" s="30"/>
      <c r="M3" s="22" t="s">
        <v>76</v>
      </c>
      <c r="N3" s="30"/>
      <c r="P3" s="22" t="s">
        <v>76</v>
      </c>
      <c r="Q3" s="30"/>
      <c r="S3" s="22" t="s">
        <v>76</v>
      </c>
      <c r="T3" s="30"/>
      <c r="V3" s="22" t="s">
        <v>76</v>
      </c>
      <c r="W3" s="30"/>
      <c r="Y3" s="22" t="s">
        <v>76</v>
      </c>
      <c r="Z3" s="30"/>
      <c r="AB3" s="22" t="s">
        <v>76</v>
      </c>
      <c r="AC3" s="30"/>
      <c r="AK3" s="22" t="s">
        <v>76</v>
      </c>
      <c r="AL3" s="30"/>
      <c r="AZ3" t="s">
        <v>76</v>
      </c>
      <c r="BA3" s="2">
        <v>0.42</v>
      </c>
      <c r="BC3" t="s">
        <v>76</v>
      </c>
      <c r="BD3" s="2">
        <v>0.42</v>
      </c>
      <c r="BL3" t="s">
        <v>76</v>
      </c>
      <c r="BM3" s="2">
        <v>0.42</v>
      </c>
      <c r="BO3" t="s">
        <v>76</v>
      </c>
      <c r="BP3" s="2">
        <v>0.42</v>
      </c>
      <c r="BX3" t="s">
        <v>76</v>
      </c>
    </row>
    <row r="4" spans="1:123" x14ac:dyDescent="0.25">
      <c r="A4" s="22" t="s">
        <v>85</v>
      </c>
      <c r="B4" s="30"/>
      <c r="D4" s="22" t="s">
        <v>84</v>
      </c>
      <c r="E4" s="30"/>
      <c r="G4" s="22" t="s">
        <v>255</v>
      </c>
      <c r="H4" s="30"/>
      <c r="J4" s="22" t="s">
        <v>265</v>
      </c>
      <c r="K4" s="30"/>
      <c r="M4" s="22" t="s">
        <v>101</v>
      </c>
      <c r="N4" s="30"/>
      <c r="P4" s="22" t="s">
        <v>280</v>
      </c>
      <c r="Q4" s="30"/>
      <c r="S4" s="22" t="s">
        <v>101</v>
      </c>
      <c r="T4" s="30"/>
      <c r="V4" s="22" t="s">
        <v>279</v>
      </c>
      <c r="W4" s="30"/>
      <c r="Y4" s="22" t="s">
        <v>278</v>
      </c>
      <c r="Z4" s="30"/>
      <c r="AB4" s="22" t="s">
        <v>251</v>
      </c>
      <c r="AC4" s="30"/>
      <c r="AK4" s="22" t="s">
        <v>83</v>
      </c>
      <c r="AL4" s="30"/>
      <c r="BX4" t="s">
        <v>83</v>
      </c>
    </row>
    <row r="5" spans="1:123" x14ac:dyDescent="0.25">
      <c r="A5" s="22" t="s">
        <v>75</v>
      </c>
      <c r="B5" s="30"/>
      <c r="D5" s="22" t="s">
        <v>75</v>
      </c>
      <c r="E5" s="30"/>
      <c r="G5" s="22" t="s">
        <v>75</v>
      </c>
      <c r="H5" s="30"/>
      <c r="J5" s="22" t="s">
        <v>75</v>
      </c>
      <c r="K5" s="30"/>
      <c r="M5" s="22" t="s">
        <v>75</v>
      </c>
      <c r="N5" s="30"/>
      <c r="P5" s="22" t="s">
        <v>277</v>
      </c>
      <c r="Q5" s="30"/>
      <c r="S5" s="22" t="s">
        <v>277</v>
      </c>
      <c r="T5" s="30"/>
      <c r="V5" s="22" t="s">
        <v>277</v>
      </c>
      <c r="W5" s="30"/>
      <c r="Y5" s="22" t="s">
        <v>277</v>
      </c>
      <c r="Z5" s="30"/>
      <c r="AB5" s="22" t="s">
        <v>75</v>
      </c>
      <c r="AC5" s="30"/>
      <c r="AK5" s="22" t="s">
        <v>75</v>
      </c>
      <c r="AL5" s="30"/>
      <c r="BX5" t="s">
        <v>75</v>
      </c>
    </row>
    <row r="6" spans="1:123" x14ac:dyDescent="0.25">
      <c r="A6" s="22" t="s">
        <v>253</v>
      </c>
      <c r="B6" s="30"/>
      <c r="D6" s="22" t="s">
        <v>253</v>
      </c>
      <c r="E6" s="30"/>
      <c r="G6" s="22" t="s">
        <v>253</v>
      </c>
      <c r="H6" s="30"/>
      <c r="J6" s="22" t="s">
        <v>253</v>
      </c>
      <c r="K6" s="30"/>
      <c r="M6" s="22" t="s">
        <v>253</v>
      </c>
      <c r="N6" s="30"/>
      <c r="P6" s="22" t="s">
        <v>253</v>
      </c>
      <c r="Q6" s="30"/>
      <c r="S6" s="22" t="s">
        <v>253</v>
      </c>
      <c r="T6" s="30"/>
      <c r="V6" s="22" t="s">
        <v>253</v>
      </c>
      <c r="W6" s="30"/>
      <c r="Y6" s="22" t="s">
        <v>253</v>
      </c>
      <c r="Z6" s="30"/>
      <c r="AB6" s="22" t="s">
        <v>253</v>
      </c>
      <c r="AC6" s="30"/>
      <c r="AK6" s="22" t="s">
        <v>176</v>
      </c>
      <c r="AL6" s="22"/>
    </row>
    <row r="7" spans="1:123" x14ac:dyDescent="0.25">
      <c r="A7" s="22" t="s">
        <v>254</v>
      </c>
      <c r="B7" s="30"/>
      <c r="D7" s="22" t="s">
        <v>254</v>
      </c>
      <c r="E7" s="30"/>
      <c r="G7" s="22" t="s">
        <v>254</v>
      </c>
      <c r="H7" s="30"/>
      <c r="J7" s="22" t="s">
        <v>254</v>
      </c>
      <c r="K7" s="30"/>
      <c r="M7" s="22" t="s">
        <v>254</v>
      </c>
      <c r="N7" s="30"/>
      <c r="P7" s="22" t="s">
        <v>254</v>
      </c>
      <c r="Q7" s="30"/>
      <c r="S7" s="22" t="s">
        <v>254</v>
      </c>
      <c r="T7" s="30"/>
      <c r="V7" s="22" t="s">
        <v>254</v>
      </c>
      <c r="W7" s="30"/>
      <c r="Y7" s="22" t="s">
        <v>254</v>
      </c>
      <c r="Z7" s="30"/>
      <c r="AB7" s="22" t="s">
        <v>254</v>
      </c>
      <c r="AC7" s="30"/>
      <c r="AK7" s="22" t="s">
        <v>253</v>
      </c>
      <c r="AL7" s="30"/>
    </row>
    <row r="8" spans="1:123" x14ac:dyDescent="0.25">
      <c r="A8" s="79" t="s">
        <v>282</v>
      </c>
      <c r="B8" s="30"/>
      <c r="D8" s="79" t="s">
        <v>282</v>
      </c>
      <c r="E8" s="30"/>
      <c r="G8" s="22" t="s">
        <v>176</v>
      </c>
      <c r="H8" s="30"/>
      <c r="J8" s="22" t="s">
        <v>176</v>
      </c>
      <c r="K8" s="30"/>
      <c r="M8" s="22" t="s">
        <v>176</v>
      </c>
      <c r="N8" s="30"/>
      <c r="P8" s="22" t="s">
        <v>176</v>
      </c>
      <c r="Q8" s="30"/>
      <c r="S8" s="22" t="s">
        <v>176</v>
      </c>
      <c r="T8" s="30"/>
      <c r="V8" s="22" t="s">
        <v>176</v>
      </c>
      <c r="W8" s="30"/>
      <c r="Y8" s="79" t="s">
        <v>282</v>
      </c>
      <c r="Z8" s="30"/>
      <c r="AB8" s="79" t="s">
        <v>282</v>
      </c>
      <c r="AC8" s="30"/>
      <c r="AK8" s="22" t="s">
        <v>254</v>
      </c>
      <c r="AL8" s="30"/>
    </row>
    <row r="9" spans="1:123" ht="18.75" x14ac:dyDescent="0.3">
      <c r="A9" s="80" t="s">
        <v>45</v>
      </c>
      <c r="B9" s="81"/>
      <c r="D9" s="80" t="s">
        <v>45</v>
      </c>
      <c r="E9" s="81"/>
      <c r="G9" s="79" t="s">
        <v>282</v>
      </c>
      <c r="H9" s="30"/>
      <c r="J9" s="79" t="s">
        <v>282</v>
      </c>
      <c r="K9" s="30"/>
      <c r="M9" s="79" t="s">
        <v>282</v>
      </c>
      <c r="N9" s="30"/>
      <c r="P9" s="79" t="s">
        <v>282</v>
      </c>
      <c r="Q9" s="30"/>
      <c r="S9" s="79" t="s">
        <v>282</v>
      </c>
      <c r="T9" s="30"/>
      <c r="V9" s="79" t="s">
        <v>282</v>
      </c>
      <c r="W9" s="30"/>
      <c r="Y9" s="80" t="s">
        <v>45</v>
      </c>
      <c r="Z9" s="81"/>
      <c r="AB9" s="80" t="s">
        <v>45</v>
      </c>
      <c r="AC9" s="81"/>
      <c r="AK9" s="22" t="s">
        <v>282</v>
      </c>
      <c r="AL9" s="30"/>
    </row>
    <row r="10" spans="1:123" ht="18" customHeight="1" x14ac:dyDescent="0.3">
      <c r="G10" s="80" t="s">
        <v>45</v>
      </c>
      <c r="H10" s="81"/>
      <c r="J10" s="80" t="s">
        <v>45</v>
      </c>
      <c r="K10" s="81"/>
      <c r="M10" s="80" t="s">
        <v>45</v>
      </c>
      <c r="N10" s="81"/>
      <c r="P10" s="80" t="s">
        <v>45</v>
      </c>
      <c r="Q10" s="81"/>
      <c r="S10" s="80" t="s">
        <v>45</v>
      </c>
      <c r="T10" s="81"/>
      <c r="V10" s="80" t="s">
        <v>45</v>
      </c>
      <c r="W10" s="81"/>
      <c r="AK10" s="80" t="s">
        <v>45</v>
      </c>
      <c r="AL10" s="81"/>
    </row>
  </sheetData>
  <mergeCells count="26">
    <mergeCell ref="BX1:BY1"/>
    <mergeCell ref="BI1:BJ1"/>
    <mergeCell ref="BL1:BM1"/>
    <mergeCell ref="BO1:BP1"/>
    <mergeCell ref="BR1:BS1"/>
    <mergeCell ref="BU1:BV1"/>
    <mergeCell ref="AT1:AU1"/>
    <mergeCell ref="AW1:AX1"/>
    <mergeCell ref="AZ1:BA1"/>
    <mergeCell ref="BC1:BD1"/>
    <mergeCell ref="BF1:BG1"/>
    <mergeCell ref="A1:B1"/>
    <mergeCell ref="D1:E1"/>
    <mergeCell ref="G1:H1"/>
    <mergeCell ref="J1:K1"/>
    <mergeCell ref="P1:Q1"/>
    <mergeCell ref="AQ1:AR1"/>
    <mergeCell ref="AH1:AI1"/>
    <mergeCell ref="M1:N1"/>
    <mergeCell ref="S1:T1"/>
    <mergeCell ref="V1:W1"/>
    <mergeCell ref="Y1:Z1"/>
    <mergeCell ref="AB1:AC1"/>
    <mergeCell ref="AE1:AF1"/>
    <mergeCell ref="AN1:AO1"/>
    <mergeCell ref="AK1:A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3F5C8-149B-4340-B326-1F405C12B428}">
  <sheetPr codeName="Planilha13"/>
  <dimension ref="A1:AT138"/>
  <sheetViews>
    <sheetView workbookViewId="0">
      <selection activeCell="A3" sqref="A3:AT137"/>
    </sheetView>
  </sheetViews>
  <sheetFormatPr defaultRowHeight="15" x14ac:dyDescent="0.25"/>
  <cols>
    <col min="1" max="1" width="24" customWidth="1"/>
    <col min="2" max="2" width="12.140625" style="99" bestFit="1" customWidth="1"/>
    <col min="3" max="3" width="31.7109375" customWidth="1"/>
    <col min="4" max="4" width="13.28515625" customWidth="1"/>
    <col min="5" max="5" width="17.5703125" customWidth="1"/>
    <col min="6" max="6" width="31.7109375" customWidth="1"/>
    <col min="7" max="7" width="20.42578125" customWidth="1"/>
    <col min="8" max="8" width="20.85546875" customWidth="1"/>
    <col min="9" max="9" width="10.85546875" customWidth="1"/>
    <col min="10" max="10" width="11.28515625" customWidth="1"/>
    <col min="11" max="11" width="13.28515625" customWidth="1"/>
    <col min="12" max="12" width="15.42578125" customWidth="1"/>
    <col min="13" max="13" width="19.140625" bestFit="1" customWidth="1"/>
    <col min="14" max="14" width="13.28515625" bestFit="1" customWidth="1"/>
    <col min="15" max="15" width="34" customWidth="1"/>
    <col min="16" max="16" width="22.85546875" customWidth="1"/>
    <col min="17" max="17" width="25.7109375" customWidth="1"/>
    <col min="18" max="18" width="23.140625" customWidth="1"/>
    <col min="19" max="19" width="25.42578125" customWidth="1"/>
    <col min="20" max="20" width="28" customWidth="1"/>
    <col min="21" max="21" width="36.28515625" customWidth="1"/>
    <col min="22" max="22" width="18.85546875" customWidth="1"/>
    <col min="23" max="23" width="19.7109375" customWidth="1"/>
    <col min="24" max="24" width="20" customWidth="1"/>
    <col min="25" max="25" width="22.5703125" customWidth="1"/>
    <col min="26" max="26" width="18.140625" customWidth="1"/>
    <col min="27" max="27" width="30.140625" customWidth="1"/>
    <col min="28" max="28" width="19.28515625" customWidth="1"/>
    <col min="29" max="29" width="21.85546875" customWidth="1"/>
    <col min="30" max="30" width="22.140625" customWidth="1"/>
    <col min="31" max="31" width="21.28515625" customWidth="1"/>
    <col min="32" max="32" width="23.28515625" customWidth="1"/>
    <col min="33" max="33" width="20.7109375" customWidth="1"/>
    <col min="34" max="34" width="18.140625" customWidth="1"/>
    <col min="35" max="35" width="14.85546875" customWidth="1"/>
    <col min="36" max="36" width="24" customWidth="1"/>
    <col min="37" max="37" width="19.28515625" customWidth="1"/>
    <col min="38" max="38" width="14.7109375" customWidth="1"/>
    <col min="39" max="39" width="15.140625" customWidth="1"/>
    <col min="40" max="40" width="14.140625" customWidth="1"/>
    <col min="43" max="43" width="13.5703125" bestFit="1" customWidth="1"/>
    <col min="45" max="45" width="11.140625" bestFit="1" customWidth="1"/>
    <col min="46" max="46" width="18" bestFit="1" customWidth="1"/>
  </cols>
  <sheetData>
    <row r="1" spans="1:46" s="1" customFormat="1" ht="35.25" customHeight="1" x14ac:dyDescent="0.25">
      <c r="A1" s="348" t="s">
        <v>486</v>
      </c>
      <c r="B1" s="348" t="s">
        <v>486</v>
      </c>
      <c r="C1" s="348" t="s">
        <v>486</v>
      </c>
      <c r="D1" s="348" t="s">
        <v>486</v>
      </c>
      <c r="E1" s="348" t="s">
        <v>486</v>
      </c>
      <c r="F1" s="348" t="s">
        <v>486</v>
      </c>
      <c r="G1" s="348" t="s">
        <v>486</v>
      </c>
      <c r="H1" s="348" t="s">
        <v>486</v>
      </c>
      <c r="I1" s="348" t="s">
        <v>486</v>
      </c>
      <c r="J1" s="348" t="s">
        <v>486</v>
      </c>
      <c r="K1" s="348" t="s">
        <v>486</v>
      </c>
      <c r="L1" s="348" t="s">
        <v>486</v>
      </c>
      <c r="M1" s="348" t="s">
        <v>486</v>
      </c>
      <c r="N1" s="348" t="s">
        <v>486</v>
      </c>
      <c r="O1" s="348" t="s">
        <v>486</v>
      </c>
      <c r="P1" s="348" t="s">
        <v>486</v>
      </c>
      <c r="Q1" s="348" t="s">
        <v>486</v>
      </c>
      <c r="R1" s="348" t="s">
        <v>486</v>
      </c>
      <c r="S1" s="348" t="s">
        <v>486</v>
      </c>
      <c r="T1" s="348" t="s">
        <v>486</v>
      </c>
      <c r="U1" s="348" t="s">
        <v>486</v>
      </c>
      <c r="V1" s="348" t="s">
        <v>486</v>
      </c>
      <c r="W1" s="348" t="s">
        <v>486</v>
      </c>
      <c r="X1" s="348" t="s">
        <v>486</v>
      </c>
      <c r="Y1" s="348" t="s">
        <v>486</v>
      </c>
      <c r="Z1" s="348" t="s">
        <v>486</v>
      </c>
      <c r="AA1" s="348" t="s">
        <v>486</v>
      </c>
      <c r="AB1" s="348" t="s">
        <v>486</v>
      </c>
      <c r="AC1" s="348" t="s">
        <v>486</v>
      </c>
      <c r="AD1" s="348" t="s">
        <v>486</v>
      </c>
      <c r="AE1" s="348" t="s">
        <v>486</v>
      </c>
      <c r="AF1" s="348" t="s">
        <v>486</v>
      </c>
      <c r="AG1" s="348" t="s">
        <v>486</v>
      </c>
      <c r="AH1" s="348" t="s">
        <v>486</v>
      </c>
      <c r="AI1" s="348" t="s">
        <v>486</v>
      </c>
      <c r="AJ1" s="348" t="s">
        <v>486</v>
      </c>
      <c r="AK1" s="348" t="s">
        <v>486</v>
      </c>
      <c r="AL1" s="348" t="s">
        <v>486</v>
      </c>
      <c r="AM1" s="348" t="s">
        <v>486</v>
      </c>
      <c r="AN1" s="348" t="s">
        <v>486</v>
      </c>
      <c r="AO1" s="348" t="s">
        <v>486</v>
      </c>
      <c r="AP1" s="348" t="s">
        <v>486</v>
      </c>
      <c r="AQ1" s="348" t="s">
        <v>486</v>
      </c>
      <c r="AR1" s="348" t="s">
        <v>486</v>
      </c>
      <c r="AS1" s="348" t="s">
        <v>486</v>
      </c>
      <c r="AT1" s="348" t="s">
        <v>486</v>
      </c>
    </row>
    <row r="2" spans="1:46" s="27" customFormat="1" ht="63" x14ac:dyDescent="0.25">
      <c r="A2" s="83" t="s">
        <v>46</v>
      </c>
      <c r="B2" s="109" t="s">
        <v>47</v>
      </c>
      <c r="C2" s="85" t="s">
        <v>48</v>
      </c>
      <c r="D2" s="84" t="s">
        <v>49</v>
      </c>
      <c r="E2" s="86" t="s">
        <v>2</v>
      </c>
      <c r="F2" s="86" t="s">
        <v>30</v>
      </c>
      <c r="G2" s="86" t="s">
        <v>11</v>
      </c>
      <c r="H2" s="86" t="s">
        <v>50</v>
      </c>
      <c r="I2" s="86" t="s">
        <v>431</v>
      </c>
      <c r="J2" s="86" t="s">
        <v>432</v>
      </c>
      <c r="K2" s="86" t="s">
        <v>433</v>
      </c>
      <c r="L2" s="86" t="s">
        <v>434</v>
      </c>
      <c r="M2" s="86" t="s">
        <v>435</v>
      </c>
      <c r="N2" s="87" t="s">
        <v>12</v>
      </c>
      <c r="O2" s="87" t="s">
        <v>438</v>
      </c>
      <c r="P2" s="86" t="s">
        <v>55</v>
      </c>
      <c r="Q2" s="86" t="s">
        <v>56</v>
      </c>
      <c r="R2" s="86" t="s">
        <v>13</v>
      </c>
      <c r="S2" s="87" t="s">
        <v>14</v>
      </c>
      <c r="T2" s="86" t="s">
        <v>51</v>
      </c>
      <c r="U2" s="86" t="s">
        <v>16</v>
      </c>
      <c r="V2" s="86" t="s">
        <v>15</v>
      </c>
      <c r="W2" s="86" t="s">
        <v>17</v>
      </c>
      <c r="X2" s="86" t="s">
        <v>18</v>
      </c>
      <c r="Y2" s="86" t="s">
        <v>62</v>
      </c>
      <c r="Z2" s="86" t="s">
        <v>63</v>
      </c>
      <c r="AA2" s="86" t="s">
        <v>64</v>
      </c>
      <c r="AB2" s="86" t="s">
        <v>19</v>
      </c>
      <c r="AC2" s="86" t="s">
        <v>20</v>
      </c>
      <c r="AD2" s="86" t="s">
        <v>21</v>
      </c>
      <c r="AE2" s="86" t="s">
        <v>22</v>
      </c>
      <c r="AF2" s="86" t="s">
        <v>23</v>
      </c>
      <c r="AG2" s="86" t="s">
        <v>24</v>
      </c>
      <c r="AH2" s="86" t="s">
        <v>25</v>
      </c>
      <c r="AI2" s="86" t="s">
        <v>26</v>
      </c>
      <c r="AJ2" s="86" t="s">
        <v>27</v>
      </c>
      <c r="AK2" s="86" t="s">
        <v>28</v>
      </c>
      <c r="AL2" s="86" t="s">
        <v>52</v>
      </c>
      <c r="AM2" s="86" t="s">
        <v>262</v>
      </c>
      <c r="AN2" s="86" t="s">
        <v>92</v>
      </c>
      <c r="AO2" s="88" t="s">
        <v>119</v>
      </c>
      <c r="AP2" s="86" t="s">
        <v>120</v>
      </c>
      <c r="AQ2" s="86" t="s">
        <v>170</v>
      </c>
      <c r="AR2" s="89" t="s">
        <v>193</v>
      </c>
      <c r="AS2" s="90" t="s">
        <v>194</v>
      </c>
      <c r="AT2" s="89" t="s">
        <v>284</v>
      </c>
    </row>
    <row r="3" spans="1:46" ht="14.25" customHeight="1" x14ac:dyDescent="0.25">
      <c r="A3" s="91" t="s">
        <v>58</v>
      </c>
      <c r="B3" s="92">
        <v>45332</v>
      </c>
      <c r="C3" s="93">
        <v>75</v>
      </c>
      <c r="D3" s="94">
        <v>187.5</v>
      </c>
      <c r="E3" s="93">
        <v>15</v>
      </c>
      <c r="F3" s="93"/>
      <c r="G3" s="93"/>
      <c r="H3" s="93">
        <v>20</v>
      </c>
      <c r="I3" s="93"/>
      <c r="J3" s="93"/>
      <c r="K3" s="93"/>
      <c r="L3" s="93"/>
      <c r="M3" s="93"/>
      <c r="N3" s="93"/>
      <c r="O3" s="93"/>
      <c r="P3" s="93">
        <v>10</v>
      </c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>
        <v>15</v>
      </c>
      <c r="AI3" s="93"/>
      <c r="AJ3" s="93"/>
      <c r="AK3" s="93"/>
      <c r="AL3" s="93">
        <v>15</v>
      </c>
      <c r="AM3" s="93"/>
      <c r="AN3" s="93"/>
      <c r="AO3" s="93"/>
      <c r="AP3" s="93"/>
      <c r="AQ3" s="92">
        <v>45332</v>
      </c>
      <c r="AR3" s="93"/>
      <c r="AS3" s="95">
        <v>0</v>
      </c>
      <c r="AT3" s="98"/>
    </row>
    <row r="4" spans="1:46" ht="15.75" x14ac:dyDescent="0.25">
      <c r="A4" s="91" t="s">
        <v>58</v>
      </c>
      <c r="B4" s="92">
        <v>45340</v>
      </c>
      <c r="C4" s="93">
        <v>170</v>
      </c>
      <c r="D4" s="94">
        <v>287.5</v>
      </c>
      <c r="E4" s="93"/>
      <c r="F4" s="93"/>
      <c r="G4" s="93"/>
      <c r="H4" s="93"/>
      <c r="I4" s="93"/>
      <c r="J4" s="93"/>
      <c r="K4" s="93"/>
      <c r="L4" s="93"/>
      <c r="M4" s="93"/>
      <c r="N4" s="93">
        <v>70</v>
      </c>
      <c r="O4" s="93"/>
      <c r="P4" s="93"/>
      <c r="Q4" s="93">
        <v>10</v>
      </c>
      <c r="R4" s="93">
        <v>10</v>
      </c>
      <c r="S4" s="93"/>
      <c r="T4" s="93">
        <v>20</v>
      </c>
      <c r="U4" s="93"/>
      <c r="V4" s="93"/>
      <c r="W4" s="93"/>
      <c r="X4" s="93"/>
      <c r="Y4" s="93"/>
      <c r="Z4" s="93"/>
      <c r="AA4" s="93"/>
      <c r="AB4" s="93">
        <v>15</v>
      </c>
      <c r="AC4" s="93"/>
      <c r="AD4" s="93">
        <v>10</v>
      </c>
      <c r="AE4" s="93">
        <v>15</v>
      </c>
      <c r="AF4" s="93"/>
      <c r="AG4" s="93"/>
      <c r="AH4" s="93"/>
      <c r="AI4" s="93"/>
      <c r="AJ4" s="93">
        <v>10</v>
      </c>
      <c r="AK4" s="93">
        <v>10</v>
      </c>
      <c r="AL4" s="93"/>
      <c r="AM4" s="93"/>
      <c r="AN4" s="93"/>
      <c r="AO4" s="93"/>
      <c r="AP4" s="93"/>
      <c r="AQ4" s="92">
        <v>45340</v>
      </c>
      <c r="AR4" s="93"/>
      <c r="AS4" s="95">
        <v>287.5</v>
      </c>
      <c r="AT4" s="93"/>
    </row>
    <row r="5" spans="1:46" ht="15.75" x14ac:dyDescent="0.25">
      <c r="A5" s="91" t="s">
        <v>58</v>
      </c>
      <c r="B5" s="92">
        <v>45341</v>
      </c>
      <c r="C5" s="93">
        <v>125</v>
      </c>
      <c r="D5" s="94">
        <v>275</v>
      </c>
      <c r="E5" s="93"/>
      <c r="F5" s="93"/>
      <c r="G5" s="93"/>
      <c r="H5" s="93"/>
      <c r="I5" s="93"/>
      <c r="J5" s="93"/>
      <c r="K5" s="93"/>
      <c r="L5" s="93"/>
      <c r="M5" s="93"/>
      <c r="N5" s="93">
        <v>30</v>
      </c>
      <c r="O5" s="93"/>
      <c r="P5" s="93"/>
      <c r="Q5" s="93">
        <v>5</v>
      </c>
      <c r="R5" s="93">
        <v>5</v>
      </c>
      <c r="S5" s="93">
        <v>5</v>
      </c>
      <c r="T5" s="93">
        <v>5</v>
      </c>
      <c r="U5" s="93"/>
      <c r="V5" s="93"/>
      <c r="W5" s="93"/>
      <c r="X5" s="93"/>
      <c r="Y5" s="93"/>
      <c r="Z5" s="93"/>
      <c r="AA5" s="93"/>
      <c r="AB5" s="93">
        <v>10</v>
      </c>
      <c r="AC5" s="93">
        <v>5</v>
      </c>
      <c r="AD5" s="93">
        <v>10</v>
      </c>
      <c r="AE5" s="93">
        <v>10</v>
      </c>
      <c r="AF5" s="93"/>
      <c r="AG5" s="93">
        <v>10</v>
      </c>
      <c r="AH5" s="93">
        <v>10</v>
      </c>
      <c r="AI5" s="93"/>
      <c r="AJ5" s="93">
        <v>10</v>
      </c>
      <c r="AK5" s="93">
        <v>10</v>
      </c>
      <c r="AL5" s="93"/>
      <c r="AM5" s="93"/>
      <c r="AN5" s="93"/>
      <c r="AO5" s="93"/>
      <c r="AP5" s="93"/>
      <c r="AQ5" s="92">
        <v>45341</v>
      </c>
      <c r="AR5" s="93"/>
      <c r="AS5" s="95">
        <v>275</v>
      </c>
      <c r="AT5" s="93"/>
    </row>
    <row r="6" spans="1:46" ht="15.75" x14ac:dyDescent="0.25">
      <c r="A6" s="91" t="s">
        <v>58</v>
      </c>
      <c r="B6" s="92">
        <v>45343</v>
      </c>
      <c r="C6" s="93">
        <v>65</v>
      </c>
      <c r="D6" s="94">
        <v>162.5</v>
      </c>
      <c r="E6" s="93"/>
      <c r="F6" s="93"/>
      <c r="G6" s="93"/>
      <c r="H6" s="93"/>
      <c r="I6" s="93"/>
      <c r="J6" s="93"/>
      <c r="K6" s="93"/>
      <c r="L6" s="93"/>
      <c r="M6" s="93"/>
      <c r="N6" s="93">
        <v>25</v>
      </c>
      <c r="O6" s="93"/>
      <c r="P6" s="93"/>
      <c r="Q6" s="93"/>
      <c r="R6" s="93"/>
      <c r="S6" s="93">
        <v>5</v>
      </c>
      <c r="T6" s="93"/>
      <c r="U6" s="93"/>
      <c r="V6" s="93"/>
      <c r="W6" s="93"/>
      <c r="X6" s="93"/>
      <c r="Y6" s="93"/>
      <c r="Z6" s="93"/>
      <c r="AA6" s="93"/>
      <c r="AB6" s="93"/>
      <c r="AC6" s="93"/>
      <c r="AD6" s="93">
        <v>10</v>
      </c>
      <c r="AE6" s="93">
        <v>10</v>
      </c>
      <c r="AF6" s="93"/>
      <c r="AG6" s="93">
        <v>5</v>
      </c>
      <c r="AH6" s="93"/>
      <c r="AI6" s="93"/>
      <c r="AJ6" s="93"/>
      <c r="AK6" s="93">
        <v>5</v>
      </c>
      <c r="AL6" s="93">
        <v>5</v>
      </c>
      <c r="AM6" s="93"/>
      <c r="AN6" s="93"/>
      <c r="AO6" s="93"/>
      <c r="AP6" s="93"/>
      <c r="AQ6" s="92">
        <v>45343</v>
      </c>
      <c r="AR6" s="93"/>
      <c r="AS6" s="95">
        <v>0</v>
      </c>
      <c r="AT6" s="93"/>
    </row>
    <row r="7" spans="1:46" ht="15.75" x14ac:dyDescent="0.25">
      <c r="A7" s="91" t="s">
        <v>58</v>
      </c>
      <c r="B7" s="92">
        <v>45354</v>
      </c>
      <c r="C7" s="93">
        <v>95</v>
      </c>
      <c r="D7" s="94">
        <v>237.5</v>
      </c>
      <c r="E7" s="93"/>
      <c r="F7" s="93"/>
      <c r="G7" s="93"/>
      <c r="H7" s="93"/>
      <c r="I7" s="93"/>
      <c r="J7" s="93"/>
      <c r="K7" s="93"/>
      <c r="L7" s="93"/>
      <c r="M7" s="93"/>
      <c r="N7" s="93">
        <v>25</v>
      </c>
      <c r="O7" s="93"/>
      <c r="P7" s="93"/>
      <c r="Q7" s="93">
        <v>5</v>
      </c>
      <c r="R7" s="93">
        <v>5</v>
      </c>
      <c r="S7" s="93">
        <v>5</v>
      </c>
      <c r="T7" s="93"/>
      <c r="U7" s="93"/>
      <c r="V7" s="93"/>
      <c r="W7" s="93"/>
      <c r="X7" s="93"/>
      <c r="Y7" s="93"/>
      <c r="Z7" s="93">
        <v>5</v>
      </c>
      <c r="AA7" s="93"/>
      <c r="AB7" s="93">
        <v>10</v>
      </c>
      <c r="AC7" s="93"/>
      <c r="AD7" s="93">
        <v>10</v>
      </c>
      <c r="AE7" s="93">
        <v>10</v>
      </c>
      <c r="AF7" s="93"/>
      <c r="AG7" s="93">
        <v>10</v>
      </c>
      <c r="AH7" s="93">
        <v>10</v>
      </c>
      <c r="AI7" s="93"/>
      <c r="AJ7" s="93"/>
      <c r="AK7" s="93"/>
      <c r="AL7" s="93"/>
      <c r="AM7" s="93"/>
      <c r="AN7" s="93"/>
      <c r="AO7" s="93"/>
      <c r="AP7" s="93"/>
      <c r="AQ7" s="92">
        <v>45355</v>
      </c>
      <c r="AR7" s="93"/>
      <c r="AS7" s="95">
        <v>237.5</v>
      </c>
      <c r="AT7" s="93"/>
    </row>
    <row r="8" spans="1:46" ht="15.75" x14ac:dyDescent="0.25">
      <c r="A8" s="91" t="s">
        <v>321</v>
      </c>
      <c r="B8" s="92">
        <v>45328</v>
      </c>
      <c r="C8" s="93">
        <v>110</v>
      </c>
      <c r="D8" s="94">
        <v>275</v>
      </c>
      <c r="E8" s="93"/>
      <c r="F8" s="93"/>
      <c r="G8" s="93"/>
      <c r="H8" s="93"/>
      <c r="I8" s="93"/>
      <c r="J8" s="93"/>
      <c r="K8" s="93"/>
      <c r="L8" s="93"/>
      <c r="M8" s="93"/>
      <c r="N8" s="93">
        <v>55</v>
      </c>
      <c r="O8" s="93"/>
      <c r="P8" s="93"/>
      <c r="Q8" s="93">
        <v>15</v>
      </c>
      <c r="R8" s="93"/>
      <c r="S8" s="93"/>
      <c r="T8" s="93">
        <v>20</v>
      </c>
      <c r="U8" s="93"/>
      <c r="V8" s="93"/>
      <c r="W8" s="93"/>
      <c r="X8" s="93"/>
      <c r="Y8" s="93"/>
      <c r="Z8" s="93"/>
      <c r="AA8" s="93"/>
      <c r="AB8" s="93">
        <v>10</v>
      </c>
      <c r="AC8" s="93"/>
      <c r="AD8" s="93">
        <v>10</v>
      </c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2">
        <v>45328</v>
      </c>
      <c r="AR8" s="93"/>
      <c r="AS8" s="95">
        <v>0</v>
      </c>
      <c r="AT8" s="93"/>
    </row>
    <row r="9" spans="1:46" ht="15.75" x14ac:dyDescent="0.25">
      <c r="A9" s="91" t="s">
        <v>321</v>
      </c>
      <c r="B9" s="92">
        <v>45330</v>
      </c>
      <c r="C9" s="93">
        <v>110</v>
      </c>
      <c r="D9" s="94">
        <v>275</v>
      </c>
      <c r="E9" s="93"/>
      <c r="F9" s="93"/>
      <c r="G9" s="93"/>
      <c r="H9" s="93"/>
      <c r="I9" s="93"/>
      <c r="J9" s="93"/>
      <c r="K9" s="93"/>
      <c r="L9" s="93"/>
      <c r="M9" s="93"/>
      <c r="N9" s="93">
        <v>55</v>
      </c>
      <c r="O9" s="93"/>
      <c r="P9" s="93"/>
      <c r="Q9" s="93">
        <v>15</v>
      </c>
      <c r="R9" s="93"/>
      <c r="S9" s="93"/>
      <c r="T9" s="93">
        <v>20</v>
      </c>
      <c r="U9" s="93"/>
      <c r="V9" s="93"/>
      <c r="W9" s="93"/>
      <c r="X9" s="93"/>
      <c r="Y9" s="93"/>
      <c r="Z9" s="93"/>
      <c r="AA9" s="93"/>
      <c r="AB9" s="93">
        <v>10</v>
      </c>
      <c r="AC9" s="93"/>
      <c r="AD9" s="93">
        <v>10</v>
      </c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2">
        <v>45330</v>
      </c>
      <c r="AR9" s="93"/>
      <c r="AS9" s="95">
        <v>0</v>
      </c>
      <c r="AT9" s="93"/>
    </row>
    <row r="10" spans="1:46" ht="15.75" x14ac:dyDescent="0.25">
      <c r="A10" s="91" t="s">
        <v>321</v>
      </c>
      <c r="B10" s="92">
        <v>45332</v>
      </c>
      <c r="C10" s="93">
        <v>5</v>
      </c>
      <c r="D10" s="94">
        <v>12.5</v>
      </c>
      <c r="E10" s="93">
        <v>5</v>
      </c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2">
        <v>45332</v>
      </c>
      <c r="AR10" s="93"/>
      <c r="AS10" s="95">
        <v>0</v>
      </c>
      <c r="AT10" s="93"/>
    </row>
    <row r="11" spans="1:46" ht="15.75" x14ac:dyDescent="0.25">
      <c r="A11" s="91" t="s">
        <v>381</v>
      </c>
      <c r="B11" s="92">
        <v>45341</v>
      </c>
      <c r="C11" s="93">
        <v>120</v>
      </c>
      <c r="D11" s="94">
        <v>225</v>
      </c>
      <c r="E11" s="93"/>
      <c r="F11" s="93"/>
      <c r="G11" s="93"/>
      <c r="H11" s="93"/>
      <c r="I11" s="93"/>
      <c r="J11" s="93"/>
      <c r="K11" s="93"/>
      <c r="L11" s="93"/>
      <c r="M11" s="93"/>
      <c r="N11" s="93">
        <v>45</v>
      </c>
      <c r="O11" s="93"/>
      <c r="P11" s="93"/>
      <c r="Q11" s="93">
        <v>10</v>
      </c>
      <c r="R11" s="93">
        <v>10</v>
      </c>
      <c r="S11" s="93"/>
      <c r="T11" s="93">
        <v>15</v>
      </c>
      <c r="U11" s="93"/>
      <c r="V11" s="93"/>
      <c r="W11" s="93"/>
      <c r="X11" s="93"/>
      <c r="Y11" s="93"/>
      <c r="Z11" s="93"/>
      <c r="AA11" s="93"/>
      <c r="AB11" s="93">
        <v>15</v>
      </c>
      <c r="AC11" s="93"/>
      <c r="AD11" s="93">
        <v>10</v>
      </c>
      <c r="AE11" s="93">
        <v>15</v>
      </c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2">
        <v>45341</v>
      </c>
      <c r="AR11" s="93"/>
      <c r="AS11" s="95">
        <v>225</v>
      </c>
      <c r="AT11" s="93"/>
    </row>
    <row r="12" spans="1:46" ht="15.75" x14ac:dyDescent="0.25">
      <c r="A12" s="91" t="s">
        <v>381</v>
      </c>
      <c r="B12" s="92">
        <v>45354</v>
      </c>
      <c r="C12" s="93">
        <v>150</v>
      </c>
      <c r="D12" s="94">
        <v>375</v>
      </c>
      <c r="E12" s="93"/>
      <c r="F12" s="93"/>
      <c r="G12" s="93"/>
      <c r="H12" s="93"/>
      <c r="I12" s="93"/>
      <c r="J12" s="93"/>
      <c r="K12" s="93"/>
      <c r="L12" s="93"/>
      <c r="M12" s="93"/>
      <c r="N12" s="93">
        <v>70</v>
      </c>
      <c r="O12" s="93"/>
      <c r="P12" s="93"/>
      <c r="Q12" s="93">
        <v>10</v>
      </c>
      <c r="R12" s="93">
        <v>10</v>
      </c>
      <c r="S12" s="93"/>
      <c r="T12" s="93">
        <v>20</v>
      </c>
      <c r="U12" s="93"/>
      <c r="V12" s="93"/>
      <c r="W12" s="93"/>
      <c r="X12" s="93"/>
      <c r="Y12" s="93"/>
      <c r="Z12" s="93"/>
      <c r="AA12" s="93"/>
      <c r="AB12" s="93">
        <v>15</v>
      </c>
      <c r="AC12" s="93"/>
      <c r="AD12" s="93">
        <v>10</v>
      </c>
      <c r="AE12" s="93">
        <v>15</v>
      </c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2">
        <v>45355</v>
      </c>
      <c r="AR12" s="93"/>
      <c r="AS12" s="95">
        <v>375</v>
      </c>
      <c r="AT12" s="93"/>
    </row>
    <row r="13" spans="1:46" ht="15.75" x14ac:dyDescent="0.25">
      <c r="A13" s="91" t="s">
        <v>322</v>
      </c>
      <c r="B13" s="92">
        <v>45328</v>
      </c>
      <c r="C13" s="93">
        <v>12</v>
      </c>
      <c r="D13" s="94">
        <v>30</v>
      </c>
      <c r="E13" s="93">
        <v>12</v>
      </c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2">
        <v>45328</v>
      </c>
      <c r="AR13" s="93"/>
      <c r="AS13" s="95">
        <v>0</v>
      </c>
      <c r="AT13" s="93"/>
    </row>
    <row r="14" spans="1:46" ht="15.75" x14ac:dyDescent="0.25">
      <c r="A14" s="91" t="s">
        <v>323</v>
      </c>
      <c r="B14" s="92">
        <v>45328</v>
      </c>
      <c r="C14" s="93">
        <v>12</v>
      </c>
      <c r="D14" s="94">
        <v>30</v>
      </c>
      <c r="E14" s="93"/>
      <c r="F14" s="93"/>
      <c r="G14" s="93"/>
      <c r="H14" s="93"/>
      <c r="I14" s="93"/>
      <c r="J14" s="93"/>
      <c r="K14" s="93"/>
      <c r="L14" s="93"/>
      <c r="M14" s="93"/>
      <c r="N14" s="93">
        <v>12</v>
      </c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2">
        <v>45328</v>
      </c>
      <c r="AR14" s="93"/>
      <c r="AS14" s="95">
        <v>0</v>
      </c>
      <c r="AT14" s="93"/>
    </row>
    <row r="15" spans="1:46" ht="15.75" x14ac:dyDescent="0.25">
      <c r="A15" s="91" t="s">
        <v>324</v>
      </c>
      <c r="B15" s="92">
        <v>45328</v>
      </c>
      <c r="C15" s="93">
        <v>15</v>
      </c>
      <c r="D15" s="94">
        <v>37.5</v>
      </c>
      <c r="E15" s="93"/>
      <c r="F15" s="93"/>
      <c r="G15" s="93"/>
      <c r="H15" s="93"/>
      <c r="I15" s="93"/>
      <c r="J15" s="93"/>
      <c r="K15" s="93"/>
      <c r="L15" s="93"/>
      <c r="M15" s="93"/>
      <c r="N15" s="93">
        <v>15</v>
      </c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2">
        <v>45328</v>
      </c>
      <c r="AR15" s="93"/>
      <c r="AS15" s="95">
        <v>0</v>
      </c>
      <c r="AT15" s="93"/>
    </row>
    <row r="16" spans="1:46" ht="15.75" x14ac:dyDescent="0.25">
      <c r="A16" s="91" t="s">
        <v>325</v>
      </c>
      <c r="B16" s="92">
        <v>45328</v>
      </c>
      <c r="C16" s="93">
        <v>115</v>
      </c>
      <c r="D16" s="94">
        <v>287.5</v>
      </c>
      <c r="E16" s="93"/>
      <c r="F16" s="93"/>
      <c r="G16" s="93"/>
      <c r="H16" s="93"/>
      <c r="I16" s="93"/>
      <c r="J16" s="93"/>
      <c r="K16" s="93"/>
      <c r="L16" s="93"/>
      <c r="M16" s="93"/>
      <c r="N16" s="93">
        <v>15</v>
      </c>
      <c r="O16" s="93"/>
      <c r="P16" s="93"/>
      <c r="Q16" s="93">
        <v>5</v>
      </c>
      <c r="R16" s="93"/>
      <c r="S16" s="93">
        <v>5</v>
      </c>
      <c r="T16" s="93"/>
      <c r="U16" s="93"/>
      <c r="V16" s="93"/>
      <c r="W16" s="93"/>
      <c r="X16" s="93"/>
      <c r="Y16" s="93"/>
      <c r="Z16" s="93"/>
      <c r="AA16" s="93"/>
      <c r="AB16" s="93">
        <v>10</v>
      </c>
      <c r="AC16" s="93"/>
      <c r="AD16" s="93"/>
      <c r="AE16" s="93">
        <v>10</v>
      </c>
      <c r="AF16" s="93">
        <v>10</v>
      </c>
      <c r="AG16" s="93">
        <v>30</v>
      </c>
      <c r="AH16" s="93">
        <v>10</v>
      </c>
      <c r="AI16" s="93"/>
      <c r="AJ16" s="93"/>
      <c r="AK16" s="93">
        <v>10</v>
      </c>
      <c r="AL16" s="93">
        <v>10</v>
      </c>
      <c r="AM16" s="93"/>
      <c r="AN16" s="93"/>
      <c r="AO16" s="93"/>
      <c r="AP16" s="93"/>
      <c r="AQ16" s="92">
        <v>45328</v>
      </c>
      <c r="AR16" s="93"/>
      <c r="AS16" s="95">
        <v>0</v>
      </c>
      <c r="AT16" s="93"/>
    </row>
    <row r="17" spans="1:46" ht="15.75" x14ac:dyDescent="0.25">
      <c r="A17" s="91" t="s">
        <v>237</v>
      </c>
      <c r="B17" s="92">
        <v>45325</v>
      </c>
      <c r="C17" s="93">
        <v>83</v>
      </c>
      <c r="D17" s="94">
        <v>177.5</v>
      </c>
      <c r="E17" s="93"/>
      <c r="F17" s="93"/>
      <c r="G17" s="93">
        <v>2</v>
      </c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>
        <v>5</v>
      </c>
      <c r="S17" s="93"/>
      <c r="T17" s="93"/>
      <c r="U17" s="93"/>
      <c r="V17" s="93"/>
      <c r="W17" s="93"/>
      <c r="X17" s="93">
        <v>54</v>
      </c>
      <c r="Y17" s="93"/>
      <c r="Z17" s="93">
        <v>2</v>
      </c>
      <c r="AA17" s="93">
        <v>2</v>
      </c>
      <c r="AB17" s="93"/>
      <c r="AC17" s="93">
        <v>3</v>
      </c>
      <c r="AD17" s="93">
        <v>3</v>
      </c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2">
        <v>45325</v>
      </c>
      <c r="AR17" s="93"/>
      <c r="AS17" s="95">
        <v>0</v>
      </c>
      <c r="AT17" s="93"/>
    </row>
    <row r="18" spans="1:46" ht="15.75" x14ac:dyDescent="0.25">
      <c r="A18" s="91" t="s">
        <v>90</v>
      </c>
      <c r="B18" s="92">
        <v>45336</v>
      </c>
      <c r="C18" s="93">
        <v>80</v>
      </c>
      <c r="D18" s="94">
        <v>200</v>
      </c>
      <c r="E18" s="93"/>
      <c r="F18" s="93">
        <v>10</v>
      </c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>
        <v>10</v>
      </c>
      <c r="V18" s="93"/>
      <c r="W18" s="93"/>
      <c r="X18" s="93"/>
      <c r="Y18" s="93"/>
      <c r="Z18" s="93"/>
      <c r="AA18" s="93"/>
      <c r="AB18" s="93">
        <v>20</v>
      </c>
      <c r="AC18" s="93">
        <v>10</v>
      </c>
      <c r="AD18" s="93"/>
      <c r="AE18" s="93">
        <v>10</v>
      </c>
      <c r="AF18" s="93"/>
      <c r="AG18" s="93"/>
      <c r="AH18" s="93"/>
      <c r="AI18" s="93"/>
      <c r="AJ18" s="93"/>
      <c r="AK18" s="93"/>
      <c r="AL18" s="93">
        <v>20</v>
      </c>
      <c r="AM18" s="93"/>
      <c r="AN18" s="93"/>
      <c r="AO18" s="93"/>
      <c r="AP18" s="93"/>
      <c r="AQ18" s="92">
        <v>45336</v>
      </c>
      <c r="AR18" s="93"/>
      <c r="AS18" s="95">
        <v>0</v>
      </c>
      <c r="AT18" s="93"/>
    </row>
    <row r="19" spans="1:46" ht="15.75" x14ac:dyDescent="0.25">
      <c r="A19" s="91" t="s">
        <v>90</v>
      </c>
      <c r="B19" s="92">
        <v>45340</v>
      </c>
      <c r="C19" s="93">
        <v>80</v>
      </c>
      <c r="D19" s="94">
        <v>237.5</v>
      </c>
      <c r="E19" s="93"/>
      <c r="F19" s="93">
        <v>5</v>
      </c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>
        <v>10</v>
      </c>
      <c r="V19" s="93"/>
      <c r="W19" s="93"/>
      <c r="X19" s="93">
        <v>5</v>
      </c>
      <c r="Y19" s="93"/>
      <c r="Z19" s="93"/>
      <c r="AA19" s="93"/>
      <c r="AB19" s="93">
        <v>15</v>
      </c>
      <c r="AC19" s="93">
        <v>5</v>
      </c>
      <c r="AD19" s="93">
        <v>15</v>
      </c>
      <c r="AE19" s="93">
        <v>10</v>
      </c>
      <c r="AF19" s="93"/>
      <c r="AG19" s="93"/>
      <c r="AH19" s="93"/>
      <c r="AI19" s="93"/>
      <c r="AJ19" s="93"/>
      <c r="AK19" s="93"/>
      <c r="AL19" s="93">
        <v>15</v>
      </c>
      <c r="AM19" s="93"/>
      <c r="AN19" s="93"/>
      <c r="AO19" s="93"/>
      <c r="AP19" s="93"/>
      <c r="AQ19" s="92">
        <v>45340</v>
      </c>
      <c r="AR19" s="93"/>
      <c r="AS19" s="95">
        <v>237.5</v>
      </c>
      <c r="AT19" s="93"/>
    </row>
    <row r="20" spans="1:46" ht="15.75" x14ac:dyDescent="0.25">
      <c r="A20" s="91" t="s">
        <v>90</v>
      </c>
      <c r="B20" s="92">
        <v>45341</v>
      </c>
      <c r="C20" s="93">
        <v>50</v>
      </c>
      <c r="D20" s="94">
        <v>162.5</v>
      </c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>
        <v>5</v>
      </c>
      <c r="Q20" s="93"/>
      <c r="R20" s="93"/>
      <c r="S20" s="93"/>
      <c r="T20" s="93"/>
      <c r="U20" s="93">
        <v>10</v>
      </c>
      <c r="V20" s="93"/>
      <c r="W20" s="93"/>
      <c r="X20" s="93">
        <v>5</v>
      </c>
      <c r="Y20" s="93"/>
      <c r="Z20" s="93"/>
      <c r="AA20" s="93"/>
      <c r="AB20" s="93">
        <v>15</v>
      </c>
      <c r="AC20" s="93"/>
      <c r="AD20" s="93"/>
      <c r="AE20" s="93">
        <v>5</v>
      </c>
      <c r="AF20" s="93"/>
      <c r="AG20" s="93"/>
      <c r="AH20" s="93"/>
      <c r="AI20" s="93"/>
      <c r="AJ20" s="93"/>
      <c r="AK20" s="93"/>
      <c r="AL20" s="93">
        <v>10</v>
      </c>
      <c r="AM20" s="93"/>
      <c r="AN20" s="93"/>
      <c r="AO20" s="93"/>
      <c r="AP20" s="93"/>
      <c r="AQ20" s="92">
        <v>45341</v>
      </c>
      <c r="AR20" s="93"/>
      <c r="AS20" s="95">
        <v>162.5</v>
      </c>
      <c r="AT20" s="93"/>
    </row>
    <row r="21" spans="1:46" ht="15.75" x14ac:dyDescent="0.25">
      <c r="A21" s="91" t="s">
        <v>90</v>
      </c>
      <c r="B21" s="92">
        <v>45342</v>
      </c>
      <c r="C21" s="93">
        <v>70</v>
      </c>
      <c r="D21" s="94">
        <v>175</v>
      </c>
      <c r="E21" s="93"/>
      <c r="F21" s="93">
        <v>10</v>
      </c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>
        <v>20</v>
      </c>
      <c r="AC21" s="93">
        <v>10</v>
      </c>
      <c r="AD21" s="93"/>
      <c r="AE21" s="93">
        <v>15</v>
      </c>
      <c r="AF21" s="93"/>
      <c r="AG21" s="93"/>
      <c r="AH21" s="93"/>
      <c r="AI21" s="93"/>
      <c r="AJ21" s="93"/>
      <c r="AK21" s="93"/>
      <c r="AL21" s="93">
        <v>15</v>
      </c>
      <c r="AM21" s="93"/>
      <c r="AN21" s="93"/>
      <c r="AO21" s="93"/>
      <c r="AP21" s="93"/>
      <c r="AQ21" s="92">
        <v>45342</v>
      </c>
      <c r="AR21" s="93"/>
      <c r="AS21" s="95">
        <v>0</v>
      </c>
      <c r="AT21" s="93"/>
    </row>
    <row r="22" spans="1:46" ht="15.75" x14ac:dyDescent="0.25">
      <c r="A22" s="91" t="s">
        <v>90</v>
      </c>
      <c r="B22" s="92">
        <v>45342</v>
      </c>
      <c r="C22" s="93">
        <v>70</v>
      </c>
      <c r="D22" s="94">
        <v>175</v>
      </c>
      <c r="E22" s="93"/>
      <c r="F22" s="93">
        <v>10</v>
      </c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>
        <v>20</v>
      </c>
      <c r="AC22" s="93">
        <v>10</v>
      </c>
      <c r="AD22" s="93"/>
      <c r="AE22" s="93">
        <v>15</v>
      </c>
      <c r="AF22" s="93"/>
      <c r="AG22" s="93"/>
      <c r="AH22" s="93"/>
      <c r="AI22" s="93"/>
      <c r="AJ22" s="93"/>
      <c r="AK22" s="93"/>
      <c r="AL22" s="93">
        <v>15</v>
      </c>
      <c r="AM22" s="93"/>
      <c r="AN22" s="93"/>
      <c r="AO22" s="93"/>
      <c r="AP22" s="93"/>
      <c r="AQ22" s="92">
        <v>45342</v>
      </c>
      <c r="AR22" s="93"/>
      <c r="AS22" s="95">
        <v>0</v>
      </c>
      <c r="AT22" s="93"/>
    </row>
    <row r="23" spans="1:46" ht="15.75" x14ac:dyDescent="0.25">
      <c r="A23" s="91" t="s">
        <v>90</v>
      </c>
      <c r="B23" s="92">
        <v>45348</v>
      </c>
      <c r="C23" s="93">
        <v>115</v>
      </c>
      <c r="D23" s="94">
        <v>287.5</v>
      </c>
      <c r="E23" s="93"/>
      <c r="F23" s="93">
        <v>10</v>
      </c>
      <c r="G23" s="93"/>
      <c r="H23" s="93"/>
      <c r="I23" s="93"/>
      <c r="J23" s="93"/>
      <c r="K23" s="93"/>
      <c r="L23" s="93"/>
      <c r="M23" s="93"/>
      <c r="N23" s="93">
        <v>20</v>
      </c>
      <c r="O23" s="93"/>
      <c r="P23" s="93"/>
      <c r="Q23" s="93"/>
      <c r="R23" s="93"/>
      <c r="S23" s="93"/>
      <c r="T23" s="93"/>
      <c r="U23" s="93">
        <v>10</v>
      </c>
      <c r="V23" s="93"/>
      <c r="W23" s="93"/>
      <c r="X23" s="93">
        <v>10</v>
      </c>
      <c r="Y23" s="93"/>
      <c r="Z23" s="93"/>
      <c r="AA23" s="93"/>
      <c r="AB23" s="93">
        <v>20</v>
      </c>
      <c r="AC23" s="93">
        <v>10</v>
      </c>
      <c r="AD23" s="93"/>
      <c r="AE23" s="93">
        <v>15</v>
      </c>
      <c r="AF23" s="93"/>
      <c r="AG23" s="93"/>
      <c r="AH23" s="93"/>
      <c r="AI23" s="93"/>
      <c r="AJ23" s="93"/>
      <c r="AK23" s="93"/>
      <c r="AL23" s="93">
        <v>20</v>
      </c>
      <c r="AM23" s="93"/>
      <c r="AN23" s="93"/>
      <c r="AO23" s="93"/>
      <c r="AP23" s="93"/>
      <c r="AQ23" s="92">
        <v>45348</v>
      </c>
      <c r="AR23" s="93"/>
      <c r="AS23" s="95">
        <v>0</v>
      </c>
      <c r="AT23" s="93"/>
    </row>
    <row r="24" spans="1:46" ht="15.75" x14ac:dyDescent="0.25">
      <c r="A24" s="91" t="s">
        <v>90</v>
      </c>
      <c r="B24" s="92">
        <v>45346</v>
      </c>
      <c r="C24" s="93">
        <v>95</v>
      </c>
      <c r="D24" s="94">
        <v>237.5</v>
      </c>
      <c r="E24" s="93"/>
      <c r="F24" s="93">
        <v>10</v>
      </c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>
        <v>10</v>
      </c>
      <c r="V24" s="93"/>
      <c r="W24" s="93"/>
      <c r="X24" s="93">
        <v>5</v>
      </c>
      <c r="Y24" s="93"/>
      <c r="Z24" s="93"/>
      <c r="AA24" s="93"/>
      <c r="AB24" s="93">
        <v>15</v>
      </c>
      <c r="AC24" s="93">
        <v>10</v>
      </c>
      <c r="AD24" s="93">
        <v>15</v>
      </c>
      <c r="AE24" s="93">
        <v>15</v>
      </c>
      <c r="AF24" s="93"/>
      <c r="AG24" s="93"/>
      <c r="AH24" s="93"/>
      <c r="AI24" s="93"/>
      <c r="AJ24" s="93"/>
      <c r="AK24" s="93"/>
      <c r="AL24" s="93">
        <v>15</v>
      </c>
      <c r="AM24" s="93"/>
      <c r="AN24" s="93"/>
      <c r="AO24" s="93"/>
      <c r="AP24" s="93"/>
      <c r="AQ24" s="92">
        <v>45355</v>
      </c>
      <c r="AR24" s="93"/>
      <c r="AS24" s="95">
        <v>0</v>
      </c>
      <c r="AT24" s="93"/>
    </row>
    <row r="25" spans="1:46" ht="15.75" x14ac:dyDescent="0.25">
      <c r="A25" s="91" t="s">
        <v>89</v>
      </c>
      <c r="B25" s="92">
        <v>45341</v>
      </c>
      <c r="C25" s="93">
        <v>85</v>
      </c>
      <c r="D25" s="94">
        <v>187.5</v>
      </c>
      <c r="E25" s="93"/>
      <c r="F25" s="93"/>
      <c r="G25" s="93"/>
      <c r="H25" s="93"/>
      <c r="I25" s="93"/>
      <c r="J25" s="93"/>
      <c r="K25" s="93"/>
      <c r="L25" s="93"/>
      <c r="M25" s="93"/>
      <c r="N25" s="93">
        <v>25</v>
      </c>
      <c r="O25" s="93"/>
      <c r="P25" s="93"/>
      <c r="Q25" s="93">
        <v>5</v>
      </c>
      <c r="R25" s="93">
        <v>5</v>
      </c>
      <c r="S25" s="93">
        <v>5</v>
      </c>
      <c r="T25" s="93">
        <v>5</v>
      </c>
      <c r="U25" s="93"/>
      <c r="V25" s="93"/>
      <c r="W25" s="93"/>
      <c r="X25" s="93"/>
      <c r="Y25" s="93"/>
      <c r="Z25" s="93"/>
      <c r="AA25" s="93">
        <v>10</v>
      </c>
      <c r="AB25" s="93"/>
      <c r="AC25" s="93"/>
      <c r="AD25" s="93">
        <v>10</v>
      </c>
      <c r="AE25" s="93">
        <v>10</v>
      </c>
      <c r="AF25" s="93"/>
      <c r="AG25" s="93">
        <v>10</v>
      </c>
      <c r="AH25" s="93"/>
      <c r="AI25" s="93"/>
      <c r="AJ25" s="93"/>
      <c r="AK25" s="93"/>
      <c r="AL25" s="93"/>
      <c r="AM25" s="93"/>
      <c r="AN25" s="93"/>
      <c r="AO25" s="93"/>
      <c r="AP25" s="93"/>
      <c r="AQ25" s="92">
        <v>45341</v>
      </c>
      <c r="AR25" s="93"/>
      <c r="AS25" s="95">
        <v>187.5</v>
      </c>
      <c r="AT25" s="93"/>
    </row>
    <row r="26" spans="1:46" ht="15.75" x14ac:dyDescent="0.25">
      <c r="A26" s="91" t="s">
        <v>294</v>
      </c>
      <c r="B26" s="92">
        <v>45354</v>
      </c>
      <c r="C26" s="93">
        <v>85</v>
      </c>
      <c r="D26" s="94">
        <v>212.5</v>
      </c>
      <c r="E26" s="93"/>
      <c r="F26" s="93"/>
      <c r="G26" s="93"/>
      <c r="H26" s="93"/>
      <c r="I26" s="93"/>
      <c r="J26" s="93"/>
      <c r="K26" s="93"/>
      <c r="L26" s="93"/>
      <c r="M26" s="93"/>
      <c r="N26" s="93">
        <v>25</v>
      </c>
      <c r="O26" s="93"/>
      <c r="P26" s="93"/>
      <c r="Q26" s="93">
        <v>5</v>
      </c>
      <c r="R26" s="93">
        <v>5</v>
      </c>
      <c r="S26" s="93">
        <v>5</v>
      </c>
      <c r="T26" s="93">
        <v>5</v>
      </c>
      <c r="U26" s="93"/>
      <c r="V26" s="93"/>
      <c r="W26" s="93"/>
      <c r="X26" s="93"/>
      <c r="Y26" s="93"/>
      <c r="Z26" s="93"/>
      <c r="AA26" s="93"/>
      <c r="AB26" s="93">
        <v>5</v>
      </c>
      <c r="AC26" s="93"/>
      <c r="AD26" s="93">
        <v>10</v>
      </c>
      <c r="AE26" s="93">
        <v>10</v>
      </c>
      <c r="AF26" s="93"/>
      <c r="AG26" s="93">
        <v>10</v>
      </c>
      <c r="AH26" s="93">
        <v>5</v>
      </c>
      <c r="AI26" s="93"/>
      <c r="AJ26" s="93"/>
      <c r="AK26" s="93"/>
      <c r="AL26" s="93"/>
      <c r="AM26" s="93"/>
      <c r="AN26" s="93"/>
      <c r="AO26" s="93"/>
      <c r="AP26" s="93"/>
      <c r="AQ26" s="92">
        <v>45355</v>
      </c>
      <c r="AR26" s="93"/>
      <c r="AS26" s="95">
        <v>212.5</v>
      </c>
      <c r="AT26" s="93"/>
    </row>
    <row r="27" spans="1:46" ht="15.75" x14ac:dyDescent="0.25">
      <c r="A27" s="91" t="s">
        <v>93</v>
      </c>
      <c r="B27" s="92">
        <v>45336</v>
      </c>
      <c r="C27" s="93">
        <v>100</v>
      </c>
      <c r="D27" s="94">
        <v>250</v>
      </c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>
        <v>15</v>
      </c>
      <c r="V27" s="93"/>
      <c r="W27" s="93"/>
      <c r="X27" s="93"/>
      <c r="Y27" s="93"/>
      <c r="Z27" s="93"/>
      <c r="AA27" s="93"/>
      <c r="AB27" s="93">
        <v>20</v>
      </c>
      <c r="AC27" s="93">
        <v>10</v>
      </c>
      <c r="AD27" s="93">
        <v>15</v>
      </c>
      <c r="AE27" s="93">
        <v>20</v>
      </c>
      <c r="AF27" s="93"/>
      <c r="AG27" s="93"/>
      <c r="AH27" s="93"/>
      <c r="AI27" s="93"/>
      <c r="AJ27" s="93"/>
      <c r="AK27" s="93"/>
      <c r="AL27" s="93">
        <v>20</v>
      </c>
      <c r="AM27" s="93"/>
      <c r="AN27" s="93"/>
      <c r="AO27" s="93"/>
      <c r="AP27" s="93"/>
      <c r="AQ27" s="92">
        <v>45336</v>
      </c>
      <c r="AR27" s="93"/>
      <c r="AS27" s="95">
        <v>250</v>
      </c>
      <c r="AT27" s="93"/>
    </row>
    <row r="28" spans="1:46" ht="15.75" x14ac:dyDescent="0.25">
      <c r="A28" s="91" t="s">
        <v>93</v>
      </c>
      <c r="B28" s="92">
        <v>45341</v>
      </c>
      <c r="C28" s="93">
        <v>70</v>
      </c>
      <c r="D28" s="94">
        <v>212.5</v>
      </c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>
        <v>10</v>
      </c>
      <c r="V28" s="93"/>
      <c r="W28" s="93"/>
      <c r="X28" s="93"/>
      <c r="Y28" s="93"/>
      <c r="Z28" s="93"/>
      <c r="AA28" s="93"/>
      <c r="AB28" s="93">
        <v>20</v>
      </c>
      <c r="AC28" s="93">
        <v>10</v>
      </c>
      <c r="AD28" s="93">
        <v>10</v>
      </c>
      <c r="AE28" s="93">
        <v>10</v>
      </c>
      <c r="AF28" s="93"/>
      <c r="AG28" s="93"/>
      <c r="AH28" s="93"/>
      <c r="AI28" s="93"/>
      <c r="AJ28" s="93"/>
      <c r="AK28" s="93"/>
      <c r="AL28" s="93">
        <v>10</v>
      </c>
      <c r="AM28" s="93"/>
      <c r="AN28" s="93"/>
      <c r="AO28" s="93"/>
      <c r="AP28" s="93"/>
      <c r="AQ28" s="92">
        <v>45341</v>
      </c>
      <c r="AR28" s="93"/>
      <c r="AS28" s="95">
        <v>212.5</v>
      </c>
      <c r="AT28" s="93"/>
    </row>
    <row r="29" spans="1:46" ht="15.75" x14ac:dyDescent="0.25">
      <c r="A29" s="91" t="s">
        <v>93</v>
      </c>
      <c r="B29" s="92">
        <v>45341</v>
      </c>
      <c r="C29" s="93">
        <v>70</v>
      </c>
      <c r="D29" s="94">
        <v>175</v>
      </c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>
        <v>10</v>
      </c>
      <c r="V29" s="93"/>
      <c r="W29" s="93"/>
      <c r="X29" s="93"/>
      <c r="Y29" s="93"/>
      <c r="Z29" s="93"/>
      <c r="AA29" s="93"/>
      <c r="AB29" s="93">
        <v>20</v>
      </c>
      <c r="AC29" s="93">
        <v>10</v>
      </c>
      <c r="AD29" s="93">
        <v>10</v>
      </c>
      <c r="AE29" s="93">
        <v>10</v>
      </c>
      <c r="AF29" s="93"/>
      <c r="AG29" s="93"/>
      <c r="AH29" s="93"/>
      <c r="AI29" s="93"/>
      <c r="AJ29" s="93"/>
      <c r="AK29" s="93"/>
      <c r="AL29" s="93">
        <v>10</v>
      </c>
      <c r="AM29" s="93"/>
      <c r="AN29" s="93"/>
      <c r="AO29" s="93"/>
      <c r="AP29" s="93"/>
      <c r="AQ29" s="92">
        <v>45341</v>
      </c>
      <c r="AR29" s="93"/>
      <c r="AS29" s="95">
        <v>0</v>
      </c>
      <c r="AT29" s="93"/>
    </row>
    <row r="30" spans="1:46" ht="15.75" x14ac:dyDescent="0.25">
      <c r="A30" s="91" t="s">
        <v>295</v>
      </c>
      <c r="B30" s="92">
        <v>45341</v>
      </c>
      <c r="C30" s="93">
        <v>40</v>
      </c>
      <c r="D30" s="94">
        <v>112.5</v>
      </c>
      <c r="E30" s="93"/>
      <c r="F30" s="93"/>
      <c r="G30" s="93"/>
      <c r="H30" s="93"/>
      <c r="I30" s="93"/>
      <c r="J30" s="93"/>
      <c r="K30" s="93"/>
      <c r="L30" s="93"/>
      <c r="M30" s="93"/>
      <c r="N30" s="93">
        <v>10</v>
      </c>
      <c r="O30" s="93"/>
      <c r="P30" s="93">
        <v>5</v>
      </c>
      <c r="Q30" s="93"/>
      <c r="R30" s="93"/>
      <c r="S30" s="93">
        <v>5</v>
      </c>
      <c r="T30" s="93"/>
      <c r="U30" s="93"/>
      <c r="V30" s="93"/>
      <c r="W30" s="93"/>
      <c r="X30" s="93"/>
      <c r="Y30" s="93"/>
      <c r="Z30" s="93"/>
      <c r="AA30" s="93"/>
      <c r="AB30" s="93">
        <v>5</v>
      </c>
      <c r="AC30" s="93"/>
      <c r="AD30" s="93"/>
      <c r="AE30" s="93">
        <v>5</v>
      </c>
      <c r="AF30" s="93"/>
      <c r="AG30" s="93">
        <v>5</v>
      </c>
      <c r="AH30" s="93"/>
      <c r="AI30" s="93"/>
      <c r="AJ30" s="93">
        <v>5</v>
      </c>
      <c r="AK30" s="93"/>
      <c r="AL30" s="93"/>
      <c r="AM30" s="93"/>
      <c r="AN30" s="93"/>
      <c r="AO30" s="93"/>
      <c r="AP30" s="93"/>
      <c r="AQ30" s="92">
        <v>45341</v>
      </c>
      <c r="AR30" s="93"/>
      <c r="AS30" s="95">
        <v>112.5</v>
      </c>
      <c r="AT30" s="93"/>
    </row>
    <row r="31" spans="1:46" ht="15.75" x14ac:dyDescent="0.25">
      <c r="A31" s="91" t="s">
        <v>59</v>
      </c>
      <c r="B31" s="92">
        <v>45332</v>
      </c>
      <c r="C31" s="93">
        <v>50</v>
      </c>
      <c r="D31" s="94">
        <v>125</v>
      </c>
      <c r="E31" s="93"/>
      <c r="F31" s="93"/>
      <c r="G31" s="93"/>
      <c r="H31" s="93"/>
      <c r="I31" s="93"/>
      <c r="J31" s="93"/>
      <c r="K31" s="93"/>
      <c r="L31" s="93"/>
      <c r="M31" s="93"/>
      <c r="N31" s="93">
        <v>20</v>
      </c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>
        <v>5</v>
      </c>
      <c r="AC31" s="93"/>
      <c r="AD31" s="93"/>
      <c r="AE31" s="93"/>
      <c r="AF31" s="93"/>
      <c r="AG31" s="93">
        <v>5</v>
      </c>
      <c r="AH31" s="93">
        <v>5</v>
      </c>
      <c r="AI31" s="93"/>
      <c r="AJ31" s="93"/>
      <c r="AK31" s="93">
        <v>5</v>
      </c>
      <c r="AL31" s="93">
        <v>10</v>
      </c>
      <c r="AM31" s="93"/>
      <c r="AN31" s="93"/>
      <c r="AO31" s="93"/>
      <c r="AP31" s="93"/>
      <c r="AQ31" s="92">
        <v>45332</v>
      </c>
      <c r="AR31" s="93"/>
      <c r="AS31" s="95">
        <v>0</v>
      </c>
      <c r="AT31" s="93"/>
    </row>
    <row r="32" spans="1:46" ht="15.75" x14ac:dyDescent="0.25">
      <c r="A32" s="91" t="s">
        <v>236</v>
      </c>
      <c r="B32" s="92">
        <v>45328</v>
      </c>
      <c r="C32" s="93">
        <v>70</v>
      </c>
      <c r="D32" s="94">
        <v>175</v>
      </c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2"/>
      <c r="AR32" s="93"/>
      <c r="AS32" s="95"/>
      <c r="AT32" s="93"/>
    </row>
    <row r="33" spans="1:46" ht="15.75" x14ac:dyDescent="0.25">
      <c r="A33" s="91" t="s">
        <v>236</v>
      </c>
      <c r="B33" s="92">
        <v>45336</v>
      </c>
      <c r="C33" s="93">
        <v>90</v>
      </c>
      <c r="D33" s="94">
        <v>225</v>
      </c>
      <c r="E33" s="93"/>
      <c r="F33" s="93"/>
      <c r="G33" s="93"/>
      <c r="H33" s="93"/>
      <c r="I33" s="93"/>
      <c r="J33" s="93"/>
      <c r="K33" s="93"/>
      <c r="L33" s="93"/>
      <c r="M33" s="93"/>
      <c r="N33" s="93">
        <v>15</v>
      </c>
      <c r="O33" s="93"/>
      <c r="P33" s="93"/>
      <c r="Q33" s="93"/>
      <c r="R33" s="93"/>
      <c r="S33" s="93">
        <v>10</v>
      </c>
      <c r="T33" s="93"/>
      <c r="U33" s="93"/>
      <c r="V33" s="93"/>
      <c r="W33" s="93"/>
      <c r="X33" s="93"/>
      <c r="Y33" s="93"/>
      <c r="Z33" s="93"/>
      <c r="AA33" s="93"/>
      <c r="AB33" s="93">
        <v>15</v>
      </c>
      <c r="AC33" s="93"/>
      <c r="AD33" s="93">
        <v>10</v>
      </c>
      <c r="AE33" s="93">
        <v>10</v>
      </c>
      <c r="AF33" s="93"/>
      <c r="AG33" s="93">
        <v>10</v>
      </c>
      <c r="AH33" s="93">
        <v>10</v>
      </c>
      <c r="AI33" s="93"/>
      <c r="AJ33" s="93"/>
      <c r="AK33" s="93"/>
      <c r="AL33" s="93">
        <v>10</v>
      </c>
      <c r="AM33" s="93"/>
      <c r="AN33" s="93"/>
      <c r="AO33" s="93"/>
      <c r="AP33" s="93"/>
      <c r="AQ33" s="92">
        <v>45336</v>
      </c>
      <c r="AR33" s="93"/>
      <c r="AS33" s="95">
        <v>225</v>
      </c>
      <c r="AT33" s="93"/>
    </row>
    <row r="34" spans="1:46" ht="15.75" x14ac:dyDescent="0.25">
      <c r="A34" s="91" t="s">
        <v>172</v>
      </c>
      <c r="B34" s="92">
        <v>45327</v>
      </c>
      <c r="C34" s="93">
        <v>85</v>
      </c>
      <c r="D34" s="94">
        <v>212.5</v>
      </c>
      <c r="E34" s="93"/>
      <c r="F34" s="93">
        <v>10</v>
      </c>
      <c r="G34" s="93"/>
      <c r="H34" s="93"/>
      <c r="I34" s="93"/>
      <c r="J34" s="93"/>
      <c r="K34" s="93"/>
      <c r="L34" s="93"/>
      <c r="M34" s="93"/>
      <c r="N34" s="93">
        <v>10</v>
      </c>
      <c r="O34" s="93"/>
      <c r="P34" s="93"/>
      <c r="Q34" s="93"/>
      <c r="R34" s="93"/>
      <c r="S34" s="93"/>
      <c r="T34" s="93"/>
      <c r="U34" s="93">
        <v>10</v>
      </c>
      <c r="V34" s="93"/>
      <c r="W34" s="93"/>
      <c r="X34" s="93"/>
      <c r="Y34" s="93"/>
      <c r="Z34" s="93"/>
      <c r="AA34" s="93"/>
      <c r="AB34" s="93">
        <v>15</v>
      </c>
      <c r="AC34" s="93">
        <v>5</v>
      </c>
      <c r="AD34" s="93">
        <v>10</v>
      </c>
      <c r="AE34" s="93">
        <v>10</v>
      </c>
      <c r="AF34" s="93"/>
      <c r="AG34" s="93"/>
      <c r="AH34" s="93"/>
      <c r="AI34" s="93"/>
      <c r="AJ34" s="93"/>
      <c r="AK34" s="93"/>
      <c r="AL34" s="93">
        <v>15</v>
      </c>
      <c r="AM34" s="93"/>
      <c r="AN34" s="93"/>
      <c r="AO34" s="93"/>
      <c r="AP34" s="93"/>
      <c r="AQ34" s="92">
        <v>45332</v>
      </c>
      <c r="AR34" s="93"/>
      <c r="AS34" s="95">
        <v>0</v>
      </c>
      <c r="AT34" s="93"/>
    </row>
    <row r="35" spans="1:46" ht="15.75" x14ac:dyDescent="0.25">
      <c r="A35" s="91" t="s">
        <v>229</v>
      </c>
      <c r="B35" s="92">
        <v>45335</v>
      </c>
      <c r="C35" s="93">
        <v>50</v>
      </c>
      <c r="D35" s="94">
        <v>125</v>
      </c>
      <c r="E35" s="93"/>
      <c r="F35" s="93">
        <v>5</v>
      </c>
      <c r="G35" s="93">
        <v>5</v>
      </c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>
        <v>5</v>
      </c>
      <c r="V35" s="93"/>
      <c r="W35" s="93">
        <v>5</v>
      </c>
      <c r="X35" s="93"/>
      <c r="Y35" s="93"/>
      <c r="Z35" s="93"/>
      <c r="AA35" s="93"/>
      <c r="AB35" s="93">
        <v>5</v>
      </c>
      <c r="AC35" s="93"/>
      <c r="AD35" s="93"/>
      <c r="AE35" s="93">
        <v>5</v>
      </c>
      <c r="AF35" s="93"/>
      <c r="AG35" s="93">
        <v>5</v>
      </c>
      <c r="AH35" s="93"/>
      <c r="AI35" s="93"/>
      <c r="AJ35" s="93">
        <v>5</v>
      </c>
      <c r="AK35" s="93">
        <v>5</v>
      </c>
      <c r="AL35" s="93">
        <v>5</v>
      </c>
      <c r="AM35" s="93"/>
      <c r="AN35" s="93"/>
      <c r="AO35" s="93"/>
      <c r="AP35" s="93"/>
      <c r="AQ35" s="92">
        <v>45335</v>
      </c>
      <c r="AR35" s="93"/>
      <c r="AS35" s="95">
        <v>0</v>
      </c>
      <c r="AT35" s="93"/>
    </row>
    <row r="36" spans="1:46" ht="15.75" x14ac:dyDescent="0.25">
      <c r="A36" s="91" t="s">
        <v>229</v>
      </c>
      <c r="B36" s="92">
        <v>45340</v>
      </c>
      <c r="C36" s="93">
        <v>60</v>
      </c>
      <c r="D36" s="94">
        <v>162.5</v>
      </c>
      <c r="E36" s="93"/>
      <c r="F36" s="93"/>
      <c r="G36" s="93"/>
      <c r="H36" s="93"/>
      <c r="I36" s="93"/>
      <c r="J36" s="93"/>
      <c r="K36" s="93"/>
      <c r="L36" s="93"/>
      <c r="M36" s="93"/>
      <c r="N36" s="93">
        <v>10</v>
      </c>
      <c r="O36" s="93"/>
      <c r="P36" s="93"/>
      <c r="Q36" s="93"/>
      <c r="R36" s="93"/>
      <c r="S36" s="93"/>
      <c r="T36" s="93"/>
      <c r="U36" s="93">
        <v>5</v>
      </c>
      <c r="V36" s="93"/>
      <c r="W36" s="93"/>
      <c r="X36" s="93"/>
      <c r="Y36" s="93"/>
      <c r="Z36" s="93">
        <v>5</v>
      </c>
      <c r="AA36" s="93"/>
      <c r="AB36" s="93">
        <v>5</v>
      </c>
      <c r="AC36" s="93"/>
      <c r="AD36" s="93">
        <v>5</v>
      </c>
      <c r="AE36" s="93"/>
      <c r="AF36" s="93"/>
      <c r="AG36" s="93">
        <v>5</v>
      </c>
      <c r="AH36" s="93">
        <v>5</v>
      </c>
      <c r="AI36" s="93">
        <v>5</v>
      </c>
      <c r="AJ36" s="93">
        <v>5</v>
      </c>
      <c r="AK36" s="93">
        <v>5</v>
      </c>
      <c r="AL36" s="93">
        <v>5</v>
      </c>
      <c r="AM36" s="93"/>
      <c r="AN36" s="93"/>
      <c r="AO36" s="93"/>
      <c r="AP36" s="93"/>
      <c r="AQ36" s="92">
        <v>45340</v>
      </c>
      <c r="AR36" s="93"/>
      <c r="AS36" s="95">
        <v>162.5</v>
      </c>
      <c r="AT36" s="93"/>
    </row>
    <row r="37" spans="1:46" ht="15.75" x14ac:dyDescent="0.25">
      <c r="A37" s="91" t="s">
        <v>368</v>
      </c>
      <c r="B37" s="92">
        <v>45337</v>
      </c>
      <c r="C37" s="93">
        <v>60</v>
      </c>
      <c r="D37" s="94">
        <v>150</v>
      </c>
      <c r="E37" s="93"/>
      <c r="F37" s="93">
        <v>5</v>
      </c>
      <c r="G37" s="93">
        <v>5</v>
      </c>
      <c r="H37" s="93"/>
      <c r="I37" s="93"/>
      <c r="J37" s="93"/>
      <c r="K37" s="93"/>
      <c r="L37" s="93"/>
      <c r="M37" s="93"/>
      <c r="N37" s="93">
        <v>10</v>
      </c>
      <c r="O37" s="93"/>
      <c r="P37" s="93"/>
      <c r="Q37" s="93"/>
      <c r="R37" s="93"/>
      <c r="S37" s="93"/>
      <c r="T37" s="93"/>
      <c r="U37" s="93">
        <v>5</v>
      </c>
      <c r="V37" s="93"/>
      <c r="W37" s="93">
        <v>5</v>
      </c>
      <c r="X37" s="93"/>
      <c r="Y37" s="93"/>
      <c r="Z37" s="93"/>
      <c r="AA37" s="93"/>
      <c r="AB37" s="93">
        <v>5</v>
      </c>
      <c r="AC37" s="93"/>
      <c r="AD37" s="93"/>
      <c r="AE37" s="93">
        <v>5</v>
      </c>
      <c r="AF37" s="93"/>
      <c r="AG37" s="93">
        <v>5</v>
      </c>
      <c r="AH37" s="93"/>
      <c r="AI37" s="93"/>
      <c r="AJ37" s="93">
        <v>5</v>
      </c>
      <c r="AK37" s="93">
        <v>5</v>
      </c>
      <c r="AL37" s="93">
        <v>5</v>
      </c>
      <c r="AM37" s="93"/>
      <c r="AN37" s="93"/>
      <c r="AO37" s="93"/>
      <c r="AP37" s="93"/>
      <c r="AQ37" s="92">
        <v>45339</v>
      </c>
      <c r="AR37" s="93"/>
      <c r="AS37" s="95">
        <v>0</v>
      </c>
      <c r="AT37" s="93"/>
    </row>
    <row r="38" spans="1:46" ht="15.75" x14ac:dyDescent="0.25">
      <c r="A38" s="91" t="s">
        <v>368</v>
      </c>
      <c r="B38" s="92">
        <v>45339</v>
      </c>
      <c r="C38" s="93">
        <v>55</v>
      </c>
      <c r="D38" s="94">
        <v>137.5</v>
      </c>
      <c r="E38" s="93"/>
      <c r="F38" s="93">
        <v>5</v>
      </c>
      <c r="G38" s="93">
        <v>5</v>
      </c>
      <c r="H38" s="93"/>
      <c r="I38" s="93"/>
      <c r="J38" s="93"/>
      <c r="K38" s="93"/>
      <c r="L38" s="93"/>
      <c r="M38" s="93"/>
      <c r="N38" s="93">
        <v>5</v>
      </c>
      <c r="O38" s="93"/>
      <c r="P38" s="93"/>
      <c r="Q38" s="93"/>
      <c r="R38" s="93"/>
      <c r="S38" s="93"/>
      <c r="T38" s="93"/>
      <c r="U38" s="93">
        <v>5</v>
      </c>
      <c r="V38" s="93"/>
      <c r="W38" s="93">
        <v>5</v>
      </c>
      <c r="X38" s="93"/>
      <c r="Y38" s="93"/>
      <c r="Z38" s="93"/>
      <c r="AA38" s="93"/>
      <c r="AB38" s="93">
        <v>5</v>
      </c>
      <c r="AC38" s="93"/>
      <c r="AD38" s="93"/>
      <c r="AE38" s="93">
        <v>5</v>
      </c>
      <c r="AF38" s="93"/>
      <c r="AG38" s="93">
        <v>5</v>
      </c>
      <c r="AH38" s="93"/>
      <c r="AI38" s="93"/>
      <c r="AJ38" s="93">
        <v>5</v>
      </c>
      <c r="AK38" s="93">
        <v>5</v>
      </c>
      <c r="AL38" s="93">
        <v>5</v>
      </c>
      <c r="AM38" s="93"/>
      <c r="AN38" s="93"/>
      <c r="AO38" s="93"/>
      <c r="AP38" s="93"/>
      <c r="AQ38" s="92">
        <v>45339</v>
      </c>
      <c r="AR38" s="93"/>
      <c r="AS38" s="95">
        <v>0</v>
      </c>
      <c r="AT38" s="93"/>
    </row>
    <row r="39" spans="1:46" ht="15.75" x14ac:dyDescent="0.25">
      <c r="A39" s="91" t="s">
        <v>330</v>
      </c>
      <c r="B39" s="92">
        <v>45325</v>
      </c>
      <c r="C39" s="93">
        <v>50</v>
      </c>
      <c r="D39" s="94">
        <v>125</v>
      </c>
      <c r="E39" s="93"/>
      <c r="F39" s="93">
        <v>5</v>
      </c>
      <c r="G39" s="93">
        <v>5</v>
      </c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>
        <v>5</v>
      </c>
      <c r="V39" s="93"/>
      <c r="W39" s="93">
        <v>5</v>
      </c>
      <c r="X39" s="93"/>
      <c r="Y39" s="93"/>
      <c r="Z39" s="93"/>
      <c r="AA39" s="93"/>
      <c r="AB39" s="93">
        <v>5</v>
      </c>
      <c r="AC39" s="93"/>
      <c r="AD39" s="93"/>
      <c r="AE39" s="93">
        <v>5</v>
      </c>
      <c r="AF39" s="93"/>
      <c r="AG39" s="93">
        <v>5</v>
      </c>
      <c r="AH39" s="93"/>
      <c r="AI39" s="93"/>
      <c r="AJ39" s="93">
        <v>5</v>
      </c>
      <c r="AK39" s="93">
        <v>5</v>
      </c>
      <c r="AL39" s="93">
        <v>5</v>
      </c>
      <c r="AM39" s="93"/>
      <c r="AN39" s="93"/>
      <c r="AO39" s="93"/>
      <c r="AP39" s="93"/>
      <c r="AQ39" s="92">
        <v>45330</v>
      </c>
      <c r="AR39" s="93"/>
      <c r="AS39" s="95">
        <v>0</v>
      </c>
      <c r="AT39" s="93"/>
    </row>
    <row r="40" spans="1:46" ht="15.75" x14ac:dyDescent="0.25">
      <c r="A40" s="91" t="s">
        <v>57</v>
      </c>
      <c r="B40" s="92">
        <v>45340</v>
      </c>
      <c r="C40" s="93">
        <v>40</v>
      </c>
      <c r="D40" s="94">
        <v>112.5</v>
      </c>
      <c r="E40" s="93"/>
      <c r="F40" s="93"/>
      <c r="G40" s="93"/>
      <c r="H40" s="93"/>
      <c r="I40" s="93"/>
      <c r="J40" s="93"/>
      <c r="K40" s="93"/>
      <c r="L40" s="93"/>
      <c r="M40" s="93"/>
      <c r="N40" s="93">
        <v>10</v>
      </c>
      <c r="O40" s="93"/>
      <c r="P40" s="93"/>
      <c r="Q40" s="93"/>
      <c r="R40" s="93"/>
      <c r="S40" s="93">
        <v>10</v>
      </c>
      <c r="T40" s="93"/>
      <c r="U40" s="93"/>
      <c r="V40" s="93"/>
      <c r="W40" s="93"/>
      <c r="X40" s="93"/>
      <c r="Y40" s="93"/>
      <c r="Z40" s="93"/>
      <c r="AA40" s="93"/>
      <c r="AB40" s="93">
        <v>5</v>
      </c>
      <c r="AC40" s="93"/>
      <c r="AD40" s="93">
        <v>5</v>
      </c>
      <c r="AE40" s="93"/>
      <c r="AF40" s="93"/>
      <c r="AG40" s="93">
        <v>5</v>
      </c>
      <c r="AH40" s="93"/>
      <c r="AI40" s="93"/>
      <c r="AJ40" s="93"/>
      <c r="AK40" s="93">
        <v>5</v>
      </c>
      <c r="AL40" s="93"/>
      <c r="AM40" s="93"/>
      <c r="AN40" s="93"/>
      <c r="AO40" s="93"/>
      <c r="AP40" s="93"/>
      <c r="AQ40" s="92">
        <v>45340</v>
      </c>
      <c r="AR40" s="93"/>
      <c r="AS40" s="95">
        <v>112.5</v>
      </c>
      <c r="AT40" s="93"/>
    </row>
    <row r="41" spans="1:46" ht="15.75" x14ac:dyDescent="0.25">
      <c r="A41" s="91" t="s">
        <v>88</v>
      </c>
      <c r="B41" s="92">
        <v>45340</v>
      </c>
      <c r="C41" s="93">
        <v>70</v>
      </c>
      <c r="D41" s="94">
        <v>187.5</v>
      </c>
      <c r="E41" s="93">
        <v>5</v>
      </c>
      <c r="F41" s="93">
        <v>5</v>
      </c>
      <c r="G41" s="93"/>
      <c r="H41" s="93"/>
      <c r="I41" s="93"/>
      <c r="J41" s="93"/>
      <c r="K41" s="93"/>
      <c r="L41" s="93"/>
      <c r="M41" s="93"/>
      <c r="N41" s="93">
        <v>10</v>
      </c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>
        <v>10</v>
      </c>
      <c r="AC41" s="93"/>
      <c r="AD41" s="93">
        <v>5</v>
      </c>
      <c r="AE41" s="93">
        <v>10</v>
      </c>
      <c r="AF41" s="93"/>
      <c r="AG41" s="93">
        <v>10</v>
      </c>
      <c r="AH41" s="93"/>
      <c r="AI41" s="93"/>
      <c r="AJ41" s="93"/>
      <c r="AK41" s="93">
        <v>5</v>
      </c>
      <c r="AL41" s="93">
        <v>10</v>
      </c>
      <c r="AM41" s="93"/>
      <c r="AN41" s="93"/>
      <c r="AO41" s="93"/>
      <c r="AP41" s="93"/>
      <c r="AQ41" s="92">
        <v>45340</v>
      </c>
      <c r="AR41" s="93"/>
      <c r="AS41" s="95">
        <v>187.5</v>
      </c>
      <c r="AT41" s="93"/>
    </row>
    <row r="42" spans="1:46" ht="15.75" x14ac:dyDescent="0.25">
      <c r="A42" s="91" t="s">
        <v>60</v>
      </c>
      <c r="B42" s="92">
        <v>45341</v>
      </c>
      <c r="C42" s="93">
        <v>175</v>
      </c>
      <c r="D42" s="94">
        <v>400</v>
      </c>
      <c r="E42" s="93"/>
      <c r="F42" s="93"/>
      <c r="G42" s="93"/>
      <c r="H42" s="93"/>
      <c r="I42" s="93"/>
      <c r="J42" s="93"/>
      <c r="K42" s="93"/>
      <c r="L42" s="93"/>
      <c r="M42" s="93"/>
      <c r="N42" s="93">
        <v>30</v>
      </c>
      <c r="O42" s="93"/>
      <c r="P42" s="93">
        <v>5</v>
      </c>
      <c r="Q42" s="93">
        <v>5</v>
      </c>
      <c r="R42" s="93"/>
      <c r="S42" s="93">
        <v>5</v>
      </c>
      <c r="T42" s="93"/>
      <c r="U42" s="93"/>
      <c r="V42" s="93"/>
      <c r="W42" s="93"/>
      <c r="X42" s="93"/>
      <c r="Y42" s="93"/>
      <c r="Z42" s="93"/>
      <c r="AA42" s="93">
        <v>20</v>
      </c>
      <c r="AB42" s="93">
        <v>10</v>
      </c>
      <c r="AC42" s="93"/>
      <c r="AD42" s="93">
        <v>10</v>
      </c>
      <c r="AE42" s="93">
        <v>10</v>
      </c>
      <c r="AF42" s="93"/>
      <c r="AG42" s="93">
        <v>30</v>
      </c>
      <c r="AH42" s="93">
        <v>20</v>
      </c>
      <c r="AI42" s="93"/>
      <c r="AJ42" s="93"/>
      <c r="AK42" s="93">
        <v>10</v>
      </c>
      <c r="AL42" s="93">
        <v>20</v>
      </c>
      <c r="AM42" s="93"/>
      <c r="AN42" s="93"/>
      <c r="AO42" s="93"/>
      <c r="AP42" s="93"/>
      <c r="AQ42" s="92">
        <v>45341</v>
      </c>
      <c r="AR42" s="93"/>
      <c r="AS42" s="95">
        <v>400</v>
      </c>
      <c r="AT42" s="93"/>
    </row>
    <row r="43" spans="1:46" ht="15.75" x14ac:dyDescent="0.25">
      <c r="A43" s="91" t="s">
        <v>407</v>
      </c>
      <c r="B43" s="92">
        <v>45352</v>
      </c>
      <c r="C43" s="93">
        <v>85</v>
      </c>
      <c r="D43" s="94">
        <v>212.5</v>
      </c>
      <c r="E43" s="93"/>
      <c r="F43" s="93"/>
      <c r="G43" s="93"/>
      <c r="H43" s="93"/>
      <c r="I43" s="93"/>
      <c r="J43" s="93"/>
      <c r="K43" s="93"/>
      <c r="L43" s="93"/>
      <c r="M43" s="93"/>
      <c r="N43" s="93">
        <v>30</v>
      </c>
      <c r="O43" s="93"/>
      <c r="P43" s="93"/>
      <c r="Q43" s="93">
        <v>10</v>
      </c>
      <c r="R43" s="93"/>
      <c r="S43" s="93">
        <v>5</v>
      </c>
      <c r="T43" s="93">
        <v>5</v>
      </c>
      <c r="U43" s="93"/>
      <c r="V43" s="93"/>
      <c r="W43" s="93"/>
      <c r="X43" s="93">
        <v>10</v>
      </c>
      <c r="Y43" s="93"/>
      <c r="Z43" s="93"/>
      <c r="AA43" s="93"/>
      <c r="AB43" s="93"/>
      <c r="AC43" s="93"/>
      <c r="AD43" s="93">
        <v>10</v>
      </c>
      <c r="AE43" s="93"/>
      <c r="AF43" s="93"/>
      <c r="AG43" s="93"/>
      <c r="AH43" s="93"/>
      <c r="AI43" s="93"/>
      <c r="AJ43" s="93"/>
      <c r="AK43" s="93"/>
      <c r="AL43" s="93">
        <v>15</v>
      </c>
      <c r="AM43" s="93"/>
      <c r="AN43" s="93"/>
      <c r="AO43" s="93"/>
      <c r="AP43" s="93"/>
      <c r="AQ43" s="92">
        <v>45355</v>
      </c>
      <c r="AR43" s="93"/>
      <c r="AS43" s="95">
        <v>212.5</v>
      </c>
      <c r="AT43" s="93"/>
    </row>
    <row r="44" spans="1:46" ht="15.75" x14ac:dyDescent="0.25">
      <c r="A44" s="91" t="s">
        <v>407</v>
      </c>
      <c r="B44" s="92">
        <v>45352</v>
      </c>
      <c r="C44" s="93">
        <v>101</v>
      </c>
      <c r="D44" s="94">
        <v>252.5</v>
      </c>
      <c r="E44" s="93"/>
      <c r="F44" s="93"/>
      <c r="G44" s="93"/>
      <c r="H44" s="93"/>
      <c r="I44" s="93"/>
      <c r="J44" s="93"/>
      <c r="K44" s="93"/>
      <c r="L44" s="93"/>
      <c r="M44" s="93"/>
      <c r="N44" s="93">
        <v>30</v>
      </c>
      <c r="O44" s="93"/>
      <c r="P44" s="93"/>
      <c r="Q44" s="93">
        <v>10</v>
      </c>
      <c r="R44" s="93"/>
      <c r="S44" s="93">
        <v>5</v>
      </c>
      <c r="T44" s="93">
        <v>5</v>
      </c>
      <c r="U44" s="93"/>
      <c r="V44" s="93"/>
      <c r="W44" s="93"/>
      <c r="X44" s="93">
        <v>10</v>
      </c>
      <c r="Y44" s="93"/>
      <c r="Z44" s="93"/>
      <c r="AA44" s="93"/>
      <c r="AB44" s="93"/>
      <c r="AC44" s="93"/>
      <c r="AD44" s="93">
        <v>10</v>
      </c>
      <c r="AE44" s="93"/>
      <c r="AF44" s="93"/>
      <c r="AG44" s="93"/>
      <c r="AH44" s="93"/>
      <c r="AI44" s="93"/>
      <c r="AJ44" s="93"/>
      <c r="AK44" s="93"/>
      <c r="AL44" s="93">
        <v>15</v>
      </c>
      <c r="AM44" s="93"/>
      <c r="AN44" s="93"/>
      <c r="AO44" s="93"/>
      <c r="AP44" s="93"/>
      <c r="AQ44" s="92">
        <v>45355</v>
      </c>
      <c r="AR44" s="93"/>
      <c r="AS44" s="95">
        <v>0</v>
      </c>
      <c r="AT44" s="93"/>
    </row>
    <row r="45" spans="1:46" ht="15.75" x14ac:dyDescent="0.25">
      <c r="A45" s="91" t="s">
        <v>61</v>
      </c>
      <c r="B45" s="92">
        <v>45336</v>
      </c>
      <c r="C45" s="93">
        <v>175</v>
      </c>
      <c r="D45" s="94">
        <v>437.5</v>
      </c>
      <c r="E45" s="93"/>
      <c r="F45" s="93">
        <v>5</v>
      </c>
      <c r="G45" s="93">
        <v>5</v>
      </c>
      <c r="H45" s="93"/>
      <c r="I45" s="93"/>
      <c r="J45" s="93"/>
      <c r="K45" s="93"/>
      <c r="L45" s="93"/>
      <c r="M45" s="93"/>
      <c r="N45" s="93">
        <v>20</v>
      </c>
      <c r="O45" s="93"/>
      <c r="P45" s="93"/>
      <c r="Q45" s="93">
        <v>5</v>
      </c>
      <c r="R45" s="93">
        <v>5</v>
      </c>
      <c r="S45" s="93">
        <v>5</v>
      </c>
      <c r="T45" s="93">
        <v>10</v>
      </c>
      <c r="U45" s="93">
        <v>10</v>
      </c>
      <c r="V45" s="93">
        <v>10</v>
      </c>
      <c r="W45" s="93"/>
      <c r="X45" s="93">
        <v>10</v>
      </c>
      <c r="Y45" s="93">
        <v>5</v>
      </c>
      <c r="Z45" s="93">
        <v>5</v>
      </c>
      <c r="AA45" s="93">
        <v>10</v>
      </c>
      <c r="AB45" s="93">
        <v>15</v>
      </c>
      <c r="AC45" s="93"/>
      <c r="AD45" s="93"/>
      <c r="AE45" s="93"/>
      <c r="AF45" s="93">
        <v>10</v>
      </c>
      <c r="AG45" s="93">
        <v>5</v>
      </c>
      <c r="AH45" s="93">
        <v>5</v>
      </c>
      <c r="AI45" s="93">
        <v>5</v>
      </c>
      <c r="AJ45" s="93"/>
      <c r="AK45" s="93"/>
      <c r="AL45" s="93">
        <v>15</v>
      </c>
      <c r="AM45" s="93">
        <v>10</v>
      </c>
      <c r="AN45" s="93">
        <v>5</v>
      </c>
      <c r="AO45" s="93"/>
      <c r="AP45" s="93"/>
      <c r="AQ45" s="92">
        <v>45336</v>
      </c>
      <c r="AR45" s="93"/>
      <c r="AS45" s="95">
        <v>0</v>
      </c>
      <c r="AT45" s="93"/>
    </row>
    <row r="46" spans="1:46" ht="15.75" x14ac:dyDescent="0.25">
      <c r="A46" s="91" t="s">
        <v>61</v>
      </c>
      <c r="B46" s="92">
        <v>45340</v>
      </c>
      <c r="C46" s="93">
        <v>195</v>
      </c>
      <c r="D46" s="94">
        <v>475</v>
      </c>
      <c r="E46" s="93">
        <v>5</v>
      </c>
      <c r="F46" s="93">
        <v>5</v>
      </c>
      <c r="G46" s="93">
        <v>5</v>
      </c>
      <c r="H46" s="93"/>
      <c r="I46" s="93"/>
      <c r="J46" s="93"/>
      <c r="K46" s="93"/>
      <c r="L46" s="93"/>
      <c r="M46" s="93"/>
      <c r="N46" s="93">
        <v>20</v>
      </c>
      <c r="O46" s="93"/>
      <c r="P46" s="93">
        <v>5</v>
      </c>
      <c r="Q46" s="93">
        <v>5</v>
      </c>
      <c r="R46" s="93"/>
      <c r="S46" s="93">
        <v>10</v>
      </c>
      <c r="T46" s="93">
        <v>10</v>
      </c>
      <c r="U46" s="93">
        <v>10</v>
      </c>
      <c r="V46" s="93">
        <v>10</v>
      </c>
      <c r="W46" s="93"/>
      <c r="X46" s="93">
        <v>10</v>
      </c>
      <c r="Y46" s="93"/>
      <c r="Z46" s="93">
        <v>10</v>
      </c>
      <c r="AA46" s="93">
        <v>10</v>
      </c>
      <c r="AB46" s="93">
        <v>15</v>
      </c>
      <c r="AC46" s="93"/>
      <c r="AD46" s="93"/>
      <c r="AE46" s="93"/>
      <c r="AF46" s="93">
        <v>10</v>
      </c>
      <c r="AG46" s="93">
        <v>5</v>
      </c>
      <c r="AH46" s="93">
        <v>5</v>
      </c>
      <c r="AI46" s="93">
        <v>5</v>
      </c>
      <c r="AJ46" s="93">
        <v>5</v>
      </c>
      <c r="AK46" s="93">
        <v>5</v>
      </c>
      <c r="AL46" s="93">
        <v>15</v>
      </c>
      <c r="AM46" s="93">
        <v>10</v>
      </c>
      <c r="AN46" s="93">
        <v>5</v>
      </c>
      <c r="AO46" s="93"/>
      <c r="AP46" s="93"/>
      <c r="AQ46" s="92">
        <v>45340</v>
      </c>
      <c r="AR46" s="93"/>
      <c r="AS46" s="95">
        <v>475</v>
      </c>
      <c r="AT46" s="93"/>
    </row>
    <row r="47" spans="1:46" ht="15.75" x14ac:dyDescent="0.25">
      <c r="A47" s="91" t="s">
        <v>61</v>
      </c>
      <c r="B47" s="92">
        <v>45343</v>
      </c>
      <c r="C47" s="93">
        <v>220</v>
      </c>
      <c r="D47" s="94">
        <v>550</v>
      </c>
      <c r="E47" s="93">
        <v>5</v>
      </c>
      <c r="F47" s="93">
        <v>5</v>
      </c>
      <c r="G47" s="93">
        <v>5</v>
      </c>
      <c r="H47" s="93"/>
      <c r="I47" s="93"/>
      <c r="J47" s="93"/>
      <c r="K47" s="93"/>
      <c r="L47" s="93"/>
      <c r="M47" s="93"/>
      <c r="N47" s="93">
        <v>20</v>
      </c>
      <c r="O47" s="93"/>
      <c r="P47" s="93">
        <v>10</v>
      </c>
      <c r="Q47" s="93">
        <v>10</v>
      </c>
      <c r="R47" s="93"/>
      <c r="S47" s="93">
        <v>10</v>
      </c>
      <c r="T47" s="93">
        <v>10</v>
      </c>
      <c r="U47" s="93">
        <v>10</v>
      </c>
      <c r="V47" s="93">
        <v>10</v>
      </c>
      <c r="W47" s="93"/>
      <c r="X47" s="93"/>
      <c r="Y47" s="93"/>
      <c r="Z47" s="93">
        <v>10</v>
      </c>
      <c r="AA47" s="93">
        <v>10</v>
      </c>
      <c r="AB47" s="93">
        <v>15</v>
      </c>
      <c r="AC47" s="93"/>
      <c r="AD47" s="93"/>
      <c r="AE47" s="93"/>
      <c r="AF47" s="93">
        <v>15</v>
      </c>
      <c r="AG47" s="93">
        <v>15</v>
      </c>
      <c r="AH47" s="93">
        <v>5</v>
      </c>
      <c r="AI47" s="93">
        <v>5</v>
      </c>
      <c r="AJ47" s="93">
        <v>10</v>
      </c>
      <c r="AK47" s="93">
        <v>10</v>
      </c>
      <c r="AL47" s="93">
        <v>15</v>
      </c>
      <c r="AM47" s="93">
        <v>10</v>
      </c>
      <c r="AN47" s="93">
        <v>5</v>
      </c>
      <c r="AO47" s="93"/>
      <c r="AP47" s="93"/>
      <c r="AQ47" s="92">
        <v>45343</v>
      </c>
      <c r="AR47" s="93"/>
      <c r="AS47" s="95">
        <v>0</v>
      </c>
      <c r="AT47" s="93"/>
    </row>
    <row r="48" spans="1:46" ht="15.75" x14ac:dyDescent="0.25">
      <c r="A48" s="91" t="s">
        <v>61</v>
      </c>
      <c r="B48" s="92">
        <v>45348</v>
      </c>
      <c r="C48" s="93">
        <v>160</v>
      </c>
      <c r="D48" s="94">
        <v>400</v>
      </c>
      <c r="E48" s="93">
        <v>5</v>
      </c>
      <c r="F48" s="93">
        <v>5</v>
      </c>
      <c r="G48" s="93"/>
      <c r="H48" s="93"/>
      <c r="I48" s="93"/>
      <c r="J48" s="93"/>
      <c r="K48" s="93"/>
      <c r="L48" s="93"/>
      <c r="M48" s="93"/>
      <c r="N48" s="93">
        <v>20</v>
      </c>
      <c r="O48" s="93"/>
      <c r="P48" s="93">
        <v>5</v>
      </c>
      <c r="Q48" s="93">
        <v>5</v>
      </c>
      <c r="R48" s="93"/>
      <c r="S48" s="93">
        <v>10</v>
      </c>
      <c r="T48" s="93">
        <v>10</v>
      </c>
      <c r="U48" s="93">
        <v>10</v>
      </c>
      <c r="V48" s="93">
        <v>10</v>
      </c>
      <c r="W48" s="93"/>
      <c r="X48" s="93">
        <v>5</v>
      </c>
      <c r="Y48" s="93"/>
      <c r="Z48" s="93"/>
      <c r="AA48" s="93"/>
      <c r="AB48" s="93">
        <v>10</v>
      </c>
      <c r="AC48" s="93"/>
      <c r="AD48" s="93"/>
      <c r="AE48" s="93"/>
      <c r="AF48" s="93">
        <v>10</v>
      </c>
      <c r="AG48" s="93">
        <v>5</v>
      </c>
      <c r="AH48" s="93">
        <v>5</v>
      </c>
      <c r="AI48" s="93">
        <v>5</v>
      </c>
      <c r="AJ48" s="93">
        <v>5</v>
      </c>
      <c r="AK48" s="93">
        <v>10</v>
      </c>
      <c r="AL48" s="93">
        <v>10</v>
      </c>
      <c r="AM48" s="93">
        <v>10</v>
      </c>
      <c r="AN48" s="93">
        <v>5</v>
      </c>
      <c r="AO48" s="93"/>
      <c r="AP48" s="93"/>
      <c r="AQ48" s="92">
        <v>45348</v>
      </c>
      <c r="AR48" s="93"/>
      <c r="AS48" s="95">
        <v>0</v>
      </c>
      <c r="AT48" s="93"/>
    </row>
    <row r="49" spans="1:46" ht="15.75" x14ac:dyDescent="0.25">
      <c r="A49" s="91" t="s">
        <v>328</v>
      </c>
      <c r="B49" s="92">
        <v>45332</v>
      </c>
      <c r="C49" s="93">
        <v>105</v>
      </c>
      <c r="D49" s="94">
        <v>262.5</v>
      </c>
      <c r="E49" s="93"/>
      <c r="F49" s="93"/>
      <c r="G49" s="93"/>
      <c r="H49" s="93"/>
      <c r="I49" s="93"/>
      <c r="J49" s="93"/>
      <c r="K49" s="93"/>
      <c r="L49" s="93"/>
      <c r="M49" s="93"/>
      <c r="N49" s="93">
        <v>15</v>
      </c>
      <c r="O49" s="93"/>
      <c r="P49" s="93"/>
      <c r="Q49" s="93">
        <v>5</v>
      </c>
      <c r="R49" s="93"/>
      <c r="S49" s="93"/>
      <c r="T49" s="93">
        <v>5</v>
      </c>
      <c r="U49" s="93"/>
      <c r="V49" s="93"/>
      <c r="W49" s="93"/>
      <c r="X49" s="93"/>
      <c r="Y49" s="93"/>
      <c r="Z49" s="93"/>
      <c r="AA49" s="93"/>
      <c r="AB49" s="93">
        <v>15</v>
      </c>
      <c r="AC49" s="93"/>
      <c r="AD49" s="93"/>
      <c r="AE49" s="93"/>
      <c r="AF49" s="93"/>
      <c r="AG49" s="93">
        <v>20</v>
      </c>
      <c r="AH49" s="93"/>
      <c r="AI49" s="93"/>
      <c r="AJ49" s="93"/>
      <c r="AK49" s="93">
        <v>5</v>
      </c>
      <c r="AL49" s="93">
        <v>20</v>
      </c>
      <c r="AM49" s="93">
        <v>10</v>
      </c>
      <c r="AN49" s="93">
        <v>10</v>
      </c>
      <c r="AO49" s="93"/>
      <c r="AP49" s="93"/>
      <c r="AQ49" s="92">
        <v>45332</v>
      </c>
      <c r="AR49" s="93"/>
      <c r="AS49" s="95">
        <v>0</v>
      </c>
      <c r="AT49" s="93"/>
    </row>
    <row r="50" spans="1:46" ht="15.75" x14ac:dyDescent="0.25">
      <c r="A50" s="91" t="s">
        <v>91</v>
      </c>
      <c r="B50" s="92">
        <v>45354</v>
      </c>
      <c r="C50" s="93">
        <v>110</v>
      </c>
      <c r="D50" s="94">
        <v>275</v>
      </c>
      <c r="E50" s="93"/>
      <c r="F50" s="93"/>
      <c r="G50" s="93"/>
      <c r="H50" s="93"/>
      <c r="I50" s="93"/>
      <c r="J50" s="93"/>
      <c r="K50" s="93"/>
      <c r="L50" s="93"/>
      <c r="M50" s="93"/>
      <c r="N50" s="93">
        <v>20</v>
      </c>
      <c r="O50" s="93"/>
      <c r="P50" s="93"/>
      <c r="Q50" s="93">
        <v>10</v>
      </c>
      <c r="R50" s="93"/>
      <c r="S50" s="93">
        <v>5</v>
      </c>
      <c r="T50" s="93">
        <v>5</v>
      </c>
      <c r="U50" s="93">
        <v>5</v>
      </c>
      <c r="V50" s="93"/>
      <c r="W50" s="93"/>
      <c r="X50" s="93"/>
      <c r="Y50" s="93"/>
      <c r="Z50" s="93"/>
      <c r="AA50" s="93"/>
      <c r="AB50" s="93">
        <v>10</v>
      </c>
      <c r="AC50" s="93"/>
      <c r="AD50" s="93"/>
      <c r="AE50" s="93"/>
      <c r="AF50" s="93"/>
      <c r="AG50" s="93">
        <v>10</v>
      </c>
      <c r="AH50" s="93"/>
      <c r="AI50" s="93"/>
      <c r="AJ50" s="93"/>
      <c r="AK50" s="93"/>
      <c r="AL50" s="93">
        <v>20</v>
      </c>
      <c r="AM50" s="93">
        <v>10</v>
      </c>
      <c r="AN50" s="93">
        <v>15</v>
      </c>
      <c r="AO50" s="93"/>
      <c r="AP50" s="93"/>
      <c r="AQ50" s="92">
        <v>45355</v>
      </c>
      <c r="AR50" s="93"/>
      <c r="AS50" s="95">
        <v>275</v>
      </c>
      <c r="AT50" s="93"/>
    </row>
    <row r="51" spans="1:46" ht="15.75" x14ac:dyDescent="0.25">
      <c r="A51" s="91" t="s">
        <v>113</v>
      </c>
      <c r="B51" s="92">
        <v>45332</v>
      </c>
      <c r="C51" s="93">
        <v>165</v>
      </c>
      <c r="D51" s="94">
        <v>412.5</v>
      </c>
      <c r="E51" s="93"/>
      <c r="F51" s="93">
        <v>5</v>
      </c>
      <c r="G51" s="93"/>
      <c r="H51" s="93"/>
      <c r="I51" s="93"/>
      <c r="J51" s="93"/>
      <c r="K51" s="93"/>
      <c r="L51" s="93"/>
      <c r="M51" s="93"/>
      <c r="N51" s="93">
        <v>50</v>
      </c>
      <c r="O51" s="93"/>
      <c r="P51" s="93">
        <v>10</v>
      </c>
      <c r="Q51" s="93">
        <v>10</v>
      </c>
      <c r="R51" s="93">
        <v>5</v>
      </c>
      <c r="S51" s="93">
        <v>5</v>
      </c>
      <c r="T51" s="93"/>
      <c r="U51" s="93"/>
      <c r="V51" s="93">
        <v>5</v>
      </c>
      <c r="W51" s="93"/>
      <c r="X51" s="93">
        <v>5</v>
      </c>
      <c r="Y51" s="93">
        <v>5</v>
      </c>
      <c r="Z51" s="93"/>
      <c r="AA51" s="93"/>
      <c r="AB51" s="93">
        <v>15</v>
      </c>
      <c r="AC51" s="93"/>
      <c r="AD51" s="93"/>
      <c r="AE51" s="93">
        <v>5</v>
      </c>
      <c r="AF51" s="93"/>
      <c r="AG51" s="93">
        <v>5</v>
      </c>
      <c r="AH51" s="93">
        <v>5</v>
      </c>
      <c r="AI51" s="93"/>
      <c r="AJ51" s="93">
        <v>5</v>
      </c>
      <c r="AK51" s="93">
        <v>5</v>
      </c>
      <c r="AL51" s="93">
        <v>15</v>
      </c>
      <c r="AM51" s="93">
        <v>5</v>
      </c>
      <c r="AN51" s="93">
        <v>5</v>
      </c>
      <c r="AO51" s="93"/>
      <c r="AP51" s="93"/>
      <c r="AQ51" s="92">
        <v>45332</v>
      </c>
      <c r="AR51" s="93"/>
      <c r="AS51" s="95">
        <v>0</v>
      </c>
      <c r="AT51" s="93"/>
    </row>
    <row r="52" spans="1:46" ht="15.75" x14ac:dyDescent="0.25">
      <c r="A52" s="91" t="s">
        <v>113</v>
      </c>
      <c r="B52" s="92">
        <v>45336</v>
      </c>
      <c r="C52" s="93">
        <v>160</v>
      </c>
      <c r="D52" s="94">
        <v>400</v>
      </c>
      <c r="E52" s="93"/>
      <c r="F52" s="93"/>
      <c r="G52" s="93">
        <v>5</v>
      </c>
      <c r="H52" s="93"/>
      <c r="I52" s="93"/>
      <c r="J52" s="93"/>
      <c r="K52" s="93"/>
      <c r="L52" s="93"/>
      <c r="M52" s="93"/>
      <c r="N52" s="93">
        <v>45</v>
      </c>
      <c r="O52" s="93"/>
      <c r="P52" s="93">
        <v>10</v>
      </c>
      <c r="Q52" s="93">
        <v>10</v>
      </c>
      <c r="R52" s="93">
        <v>5</v>
      </c>
      <c r="S52" s="93">
        <v>10</v>
      </c>
      <c r="T52" s="93">
        <v>10</v>
      </c>
      <c r="U52" s="93">
        <v>5</v>
      </c>
      <c r="V52" s="93">
        <v>5</v>
      </c>
      <c r="W52" s="93"/>
      <c r="X52" s="93"/>
      <c r="Y52" s="93"/>
      <c r="Z52" s="93"/>
      <c r="AA52" s="93">
        <v>5</v>
      </c>
      <c r="AB52" s="93">
        <v>5</v>
      </c>
      <c r="AC52" s="93">
        <v>5</v>
      </c>
      <c r="AD52" s="93"/>
      <c r="AE52" s="93">
        <v>5</v>
      </c>
      <c r="AF52" s="93"/>
      <c r="AG52" s="93"/>
      <c r="AH52" s="93">
        <v>5</v>
      </c>
      <c r="AI52" s="93"/>
      <c r="AJ52" s="93"/>
      <c r="AK52" s="93">
        <v>10</v>
      </c>
      <c r="AL52" s="93">
        <v>15</v>
      </c>
      <c r="AM52" s="93"/>
      <c r="AN52" s="93">
        <v>5</v>
      </c>
      <c r="AO52" s="93"/>
      <c r="AP52" s="93"/>
      <c r="AQ52" s="92">
        <v>45336</v>
      </c>
      <c r="AR52" s="93"/>
      <c r="AS52" s="95">
        <v>400</v>
      </c>
      <c r="AT52" s="93"/>
    </row>
    <row r="53" spans="1:46" ht="15.75" x14ac:dyDescent="0.25">
      <c r="A53" s="91" t="s">
        <v>113</v>
      </c>
      <c r="B53" s="92">
        <v>45336</v>
      </c>
      <c r="C53" s="93">
        <v>155</v>
      </c>
      <c r="D53" s="94">
        <v>387.5</v>
      </c>
      <c r="E53" s="93"/>
      <c r="F53" s="93"/>
      <c r="G53" s="93">
        <v>5</v>
      </c>
      <c r="H53" s="93"/>
      <c r="I53" s="93"/>
      <c r="J53" s="93"/>
      <c r="K53" s="93"/>
      <c r="L53" s="93"/>
      <c r="M53" s="93"/>
      <c r="N53" s="93">
        <v>45</v>
      </c>
      <c r="O53" s="93"/>
      <c r="P53" s="93">
        <v>10</v>
      </c>
      <c r="Q53" s="93">
        <v>10</v>
      </c>
      <c r="R53" s="93">
        <v>5</v>
      </c>
      <c r="S53" s="93">
        <v>10</v>
      </c>
      <c r="T53" s="93">
        <v>10</v>
      </c>
      <c r="U53" s="93">
        <v>5</v>
      </c>
      <c r="V53" s="93">
        <v>5</v>
      </c>
      <c r="W53" s="93"/>
      <c r="X53" s="93"/>
      <c r="Y53" s="93"/>
      <c r="Z53" s="93"/>
      <c r="AA53" s="93">
        <v>5</v>
      </c>
      <c r="AB53" s="93">
        <v>5</v>
      </c>
      <c r="AC53" s="93"/>
      <c r="AD53" s="93"/>
      <c r="AE53" s="93">
        <v>5</v>
      </c>
      <c r="AF53" s="93"/>
      <c r="AG53" s="93"/>
      <c r="AH53" s="93">
        <v>5</v>
      </c>
      <c r="AI53" s="93"/>
      <c r="AJ53" s="93"/>
      <c r="AK53" s="93">
        <v>10</v>
      </c>
      <c r="AL53" s="93">
        <v>15</v>
      </c>
      <c r="AM53" s="93"/>
      <c r="AN53" s="93">
        <v>5</v>
      </c>
      <c r="AO53" s="93"/>
      <c r="AP53" s="93"/>
      <c r="AQ53" s="92">
        <v>45336</v>
      </c>
      <c r="AR53" s="93"/>
      <c r="AS53" s="95">
        <v>387.5</v>
      </c>
      <c r="AT53" s="93"/>
    </row>
    <row r="54" spans="1:46" ht="15.75" x14ac:dyDescent="0.25">
      <c r="A54" s="91" t="s">
        <v>113</v>
      </c>
      <c r="B54" s="92">
        <v>45340</v>
      </c>
      <c r="C54" s="93">
        <v>155</v>
      </c>
      <c r="D54" s="94">
        <v>287.5</v>
      </c>
      <c r="E54" s="93">
        <v>5</v>
      </c>
      <c r="F54" s="93"/>
      <c r="G54" s="93">
        <v>5</v>
      </c>
      <c r="H54" s="93"/>
      <c r="I54" s="93"/>
      <c r="J54" s="93"/>
      <c r="K54" s="93"/>
      <c r="L54" s="93"/>
      <c r="M54" s="93"/>
      <c r="N54" s="93">
        <v>55</v>
      </c>
      <c r="O54" s="93"/>
      <c r="P54" s="93">
        <v>10</v>
      </c>
      <c r="Q54" s="93">
        <v>10</v>
      </c>
      <c r="R54" s="93"/>
      <c r="S54" s="93">
        <v>10</v>
      </c>
      <c r="T54" s="93"/>
      <c r="U54" s="93">
        <v>5</v>
      </c>
      <c r="V54" s="93"/>
      <c r="W54" s="93"/>
      <c r="X54" s="93"/>
      <c r="Y54" s="93">
        <v>5</v>
      </c>
      <c r="Z54" s="93"/>
      <c r="AA54" s="93">
        <v>5</v>
      </c>
      <c r="AB54" s="93">
        <v>10</v>
      </c>
      <c r="AC54" s="93"/>
      <c r="AD54" s="93">
        <v>5</v>
      </c>
      <c r="AE54" s="93">
        <v>5</v>
      </c>
      <c r="AF54" s="93"/>
      <c r="AG54" s="93"/>
      <c r="AH54" s="93"/>
      <c r="AI54" s="93"/>
      <c r="AJ54" s="93"/>
      <c r="AK54" s="93"/>
      <c r="AL54" s="93">
        <v>15</v>
      </c>
      <c r="AM54" s="93">
        <v>5</v>
      </c>
      <c r="AN54" s="93">
        <v>5</v>
      </c>
      <c r="AO54" s="93"/>
      <c r="AP54" s="93"/>
      <c r="AQ54" s="92">
        <v>45340</v>
      </c>
      <c r="AR54" s="93"/>
      <c r="AS54" s="95">
        <v>287.5</v>
      </c>
      <c r="AT54" s="93"/>
    </row>
    <row r="55" spans="1:46" ht="15.75" x14ac:dyDescent="0.25">
      <c r="A55" s="91" t="s">
        <v>113</v>
      </c>
      <c r="B55" s="92">
        <v>45341</v>
      </c>
      <c r="C55" s="93">
        <v>120</v>
      </c>
      <c r="D55" s="94">
        <v>237.5</v>
      </c>
      <c r="E55" s="93"/>
      <c r="F55" s="93"/>
      <c r="G55" s="93"/>
      <c r="H55" s="93"/>
      <c r="I55" s="93"/>
      <c r="J55" s="93"/>
      <c r="K55" s="93"/>
      <c r="L55" s="93"/>
      <c r="M55" s="93"/>
      <c r="N55" s="93">
        <v>40</v>
      </c>
      <c r="O55" s="93"/>
      <c r="P55" s="93"/>
      <c r="Q55" s="93">
        <v>15</v>
      </c>
      <c r="R55" s="93">
        <v>5</v>
      </c>
      <c r="S55" s="93">
        <v>10</v>
      </c>
      <c r="T55" s="93"/>
      <c r="U55" s="93"/>
      <c r="V55" s="93">
        <v>5</v>
      </c>
      <c r="W55" s="93"/>
      <c r="X55" s="93"/>
      <c r="Y55" s="93">
        <v>5</v>
      </c>
      <c r="Z55" s="93"/>
      <c r="AA55" s="93"/>
      <c r="AB55" s="93">
        <v>10</v>
      </c>
      <c r="AC55" s="93">
        <v>5</v>
      </c>
      <c r="AD55" s="93"/>
      <c r="AE55" s="93"/>
      <c r="AF55" s="93"/>
      <c r="AG55" s="93"/>
      <c r="AH55" s="93"/>
      <c r="AI55" s="93"/>
      <c r="AJ55" s="93">
        <v>5</v>
      </c>
      <c r="AK55" s="93">
        <v>5</v>
      </c>
      <c r="AL55" s="93">
        <v>15</v>
      </c>
      <c r="AM55" s="93"/>
      <c r="AN55" s="93"/>
      <c r="AO55" s="93"/>
      <c r="AP55" s="93"/>
      <c r="AQ55" s="92">
        <v>45341</v>
      </c>
      <c r="AR55" s="93"/>
      <c r="AS55" s="95">
        <v>237.5</v>
      </c>
      <c r="AT55" s="93"/>
    </row>
    <row r="56" spans="1:46" ht="15.75" x14ac:dyDescent="0.25">
      <c r="A56" s="91" t="s">
        <v>113</v>
      </c>
      <c r="B56" s="92">
        <v>45348</v>
      </c>
      <c r="C56" s="93">
        <v>150</v>
      </c>
      <c r="D56" s="94">
        <v>375</v>
      </c>
      <c r="E56" s="93"/>
      <c r="F56" s="93"/>
      <c r="G56" s="93"/>
      <c r="H56" s="93"/>
      <c r="I56" s="93"/>
      <c r="J56" s="93"/>
      <c r="K56" s="93"/>
      <c r="L56" s="93"/>
      <c r="M56" s="93"/>
      <c r="N56" s="93">
        <v>45</v>
      </c>
      <c r="O56" s="93"/>
      <c r="P56" s="93"/>
      <c r="Q56" s="93">
        <v>10</v>
      </c>
      <c r="R56" s="93"/>
      <c r="S56" s="93">
        <v>5</v>
      </c>
      <c r="T56" s="93">
        <v>10</v>
      </c>
      <c r="U56" s="93"/>
      <c r="V56" s="93"/>
      <c r="W56" s="93"/>
      <c r="X56" s="93">
        <v>5</v>
      </c>
      <c r="Y56" s="93">
        <v>5</v>
      </c>
      <c r="Z56" s="93"/>
      <c r="AA56" s="93">
        <v>5</v>
      </c>
      <c r="AB56" s="93">
        <v>10</v>
      </c>
      <c r="AC56" s="93"/>
      <c r="AD56" s="93"/>
      <c r="AE56" s="93">
        <v>5</v>
      </c>
      <c r="AF56" s="93">
        <v>5</v>
      </c>
      <c r="AG56" s="93">
        <v>5</v>
      </c>
      <c r="AH56" s="93">
        <v>5</v>
      </c>
      <c r="AI56" s="93"/>
      <c r="AJ56" s="93"/>
      <c r="AK56" s="93">
        <v>10</v>
      </c>
      <c r="AL56" s="93">
        <v>15</v>
      </c>
      <c r="AM56" s="93">
        <v>5</v>
      </c>
      <c r="AN56" s="93">
        <v>5</v>
      </c>
      <c r="AO56" s="93"/>
      <c r="AP56" s="93"/>
      <c r="AQ56" s="92">
        <v>45348</v>
      </c>
      <c r="AR56" s="93"/>
      <c r="AS56" s="95">
        <v>0</v>
      </c>
      <c r="AT56" s="93"/>
    </row>
    <row r="57" spans="1:46" ht="15.75" x14ac:dyDescent="0.25">
      <c r="A57" s="91" t="s">
        <v>326</v>
      </c>
      <c r="B57" s="92">
        <v>45328</v>
      </c>
      <c r="C57" s="93">
        <v>195</v>
      </c>
      <c r="D57" s="94">
        <v>487.5</v>
      </c>
      <c r="E57" s="93">
        <v>5</v>
      </c>
      <c r="F57" s="93"/>
      <c r="G57" s="93">
        <v>5</v>
      </c>
      <c r="H57" s="93">
        <v>5</v>
      </c>
      <c r="I57" s="93"/>
      <c r="J57" s="93"/>
      <c r="K57" s="93"/>
      <c r="L57" s="93"/>
      <c r="M57" s="93"/>
      <c r="N57" s="93">
        <v>65</v>
      </c>
      <c r="O57" s="93"/>
      <c r="P57" s="93">
        <v>10</v>
      </c>
      <c r="Q57" s="93">
        <v>10</v>
      </c>
      <c r="R57" s="93">
        <v>5</v>
      </c>
      <c r="S57" s="93">
        <v>10</v>
      </c>
      <c r="T57" s="93">
        <v>10</v>
      </c>
      <c r="U57" s="93"/>
      <c r="V57" s="93"/>
      <c r="W57" s="93">
        <v>5</v>
      </c>
      <c r="X57" s="93"/>
      <c r="Y57" s="93"/>
      <c r="Z57" s="93"/>
      <c r="AA57" s="93">
        <v>5</v>
      </c>
      <c r="AB57" s="93">
        <v>15</v>
      </c>
      <c r="AC57" s="93">
        <v>5</v>
      </c>
      <c r="AD57" s="93"/>
      <c r="AE57" s="93">
        <v>5</v>
      </c>
      <c r="AF57" s="93"/>
      <c r="AG57" s="93"/>
      <c r="AH57" s="93">
        <v>5</v>
      </c>
      <c r="AI57" s="93"/>
      <c r="AJ57" s="93">
        <v>5</v>
      </c>
      <c r="AK57" s="93">
        <v>10</v>
      </c>
      <c r="AL57" s="93">
        <v>15</v>
      </c>
      <c r="AM57" s="93"/>
      <c r="AN57" s="93"/>
      <c r="AO57" s="93"/>
      <c r="AP57" s="93"/>
      <c r="AQ57" s="92">
        <v>45328</v>
      </c>
      <c r="AR57" s="93"/>
      <c r="AS57" s="95">
        <v>0</v>
      </c>
      <c r="AT57" s="93"/>
    </row>
    <row r="58" spans="1:46" ht="15.75" x14ac:dyDescent="0.25">
      <c r="A58" s="91" t="s">
        <v>327</v>
      </c>
      <c r="B58" s="92">
        <v>45328</v>
      </c>
      <c r="C58" s="93">
        <v>200</v>
      </c>
      <c r="D58" s="94">
        <v>500</v>
      </c>
      <c r="E58" s="93"/>
      <c r="F58" s="93"/>
      <c r="G58" s="93"/>
      <c r="H58" s="93">
        <v>5</v>
      </c>
      <c r="I58" s="93"/>
      <c r="J58" s="93"/>
      <c r="K58" s="93"/>
      <c r="L58" s="93"/>
      <c r="M58" s="93"/>
      <c r="N58" s="93">
        <v>65</v>
      </c>
      <c r="O58" s="93"/>
      <c r="P58" s="93">
        <v>10</v>
      </c>
      <c r="Q58" s="93">
        <v>10</v>
      </c>
      <c r="R58" s="93">
        <v>10</v>
      </c>
      <c r="S58" s="93">
        <v>10</v>
      </c>
      <c r="T58" s="93">
        <v>10</v>
      </c>
      <c r="U58" s="93">
        <v>5</v>
      </c>
      <c r="V58" s="93"/>
      <c r="W58" s="93"/>
      <c r="X58" s="93"/>
      <c r="Y58" s="93"/>
      <c r="Z58" s="93"/>
      <c r="AA58" s="93">
        <v>5</v>
      </c>
      <c r="AB58" s="93">
        <v>15</v>
      </c>
      <c r="AC58" s="93">
        <v>5</v>
      </c>
      <c r="AD58" s="93">
        <v>5</v>
      </c>
      <c r="AE58" s="93">
        <v>10</v>
      </c>
      <c r="AF58" s="93"/>
      <c r="AG58" s="93"/>
      <c r="AH58" s="93">
        <v>5</v>
      </c>
      <c r="AI58" s="93"/>
      <c r="AJ58" s="93">
        <v>5</v>
      </c>
      <c r="AK58" s="93">
        <v>10</v>
      </c>
      <c r="AL58" s="93">
        <v>15</v>
      </c>
      <c r="AM58" s="93"/>
      <c r="AN58" s="93"/>
      <c r="AO58" s="93"/>
      <c r="AP58" s="93"/>
      <c r="AQ58" s="92">
        <v>45328</v>
      </c>
      <c r="AR58" s="93"/>
      <c r="AS58" s="95">
        <v>0</v>
      </c>
      <c r="AT58" s="93"/>
    </row>
    <row r="59" spans="1:46" ht="15.75" x14ac:dyDescent="0.25">
      <c r="A59" s="91" t="s">
        <v>54</v>
      </c>
      <c r="B59" s="92">
        <v>45340</v>
      </c>
      <c r="C59" s="93">
        <v>155</v>
      </c>
      <c r="D59" s="94">
        <v>287.5</v>
      </c>
      <c r="E59" s="93"/>
      <c r="F59" s="93">
        <v>5</v>
      </c>
      <c r="G59" s="93">
        <v>5</v>
      </c>
      <c r="H59" s="93"/>
      <c r="I59" s="93"/>
      <c r="J59" s="93"/>
      <c r="K59" s="93"/>
      <c r="L59" s="93"/>
      <c r="M59" s="93"/>
      <c r="N59" s="93">
        <v>55</v>
      </c>
      <c r="O59" s="93"/>
      <c r="P59" s="93">
        <v>10</v>
      </c>
      <c r="Q59" s="93">
        <v>10</v>
      </c>
      <c r="R59" s="93"/>
      <c r="S59" s="93">
        <v>10</v>
      </c>
      <c r="T59" s="93"/>
      <c r="U59" s="93">
        <v>5</v>
      </c>
      <c r="V59" s="93"/>
      <c r="W59" s="93"/>
      <c r="X59" s="93"/>
      <c r="Y59" s="93">
        <v>5</v>
      </c>
      <c r="Z59" s="93"/>
      <c r="AA59" s="93">
        <v>5</v>
      </c>
      <c r="AB59" s="93">
        <v>10</v>
      </c>
      <c r="AC59" s="93"/>
      <c r="AD59" s="93">
        <v>5</v>
      </c>
      <c r="AE59" s="93">
        <v>5</v>
      </c>
      <c r="AF59" s="93"/>
      <c r="AG59" s="93"/>
      <c r="AH59" s="93"/>
      <c r="AI59" s="93"/>
      <c r="AJ59" s="93"/>
      <c r="AK59" s="93"/>
      <c r="AL59" s="93">
        <v>15</v>
      </c>
      <c r="AM59" s="93">
        <v>5</v>
      </c>
      <c r="AN59" s="93">
        <v>5</v>
      </c>
      <c r="AO59" s="93"/>
      <c r="AP59" s="93"/>
      <c r="AQ59" s="92">
        <v>45340</v>
      </c>
      <c r="AR59" s="93"/>
      <c r="AS59" s="95">
        <v>287.5</v>
      </c>
      <c r="AT59" s="93"/>
    </row>
    <row r="60" spans="1:46" ht="15.75" x14ac:dyDescent="0.25">
      <c r="A60" s="91" t="s">
        <v>54</v>
      </c>
      <c r="B60" s="92">
        <v>45340</v>
      </c>
      <c r="C60" s="93">
        <v>155</v>
      </c>
      <c r="D60" s="94">
        <v>387.5</v>
      </c>
      <c r="E60" s="93"/>
      <c r="F60" s="93">
        <v>5</v>
      </c>
      <c r="G60" s="93">
        <v>5</v>
      </c>
      <c r="H60" s="93"/>
      <c r="I60" s="93"/>
      <c r="J60" s="93"/>
      <c r="K60" s="93"/>
      <c r="L60" s="93"/>
      <c r="M60" s="93"/>
      <c r="N60" s="93">
        <v>55</v>
      </c>
      <c r="O60" s="93"/>
      <c r="P60" s="93">
        <v>10</v>
      </c>
      <c r="Q60" s="93">
        <v>10</v>
      </c>
      <c r="R60" s="93"/>
      <c r="S60" s="93">
        <v>10</v>
      </c>
      <c r="T60" s="93"/>
      <c r="U60" s="93">
        <v>5</v>
      </c>
      <c r="V60" s="93"/>
      <c r="W60" s="93"/>
      <c r="X60" s="93"/>
      <c r="Y60" s="93">
        <v>5</v>
      </c>
      <c r="Z60" s="93"/>
      <c r="AA60" s="93">
        <v>5</v>
      </c>
      <c r="AB60" s="93">
        <v>10</v>
      </c>
      <c r="AC60" s="93"/>
      <c r="AD60" s="93">
        <v>5</v>
      </c>
      <c r="AE60" s="93">
        <v>5</v>
      </c>
      <c r="AF60" s="93"/>
      <c r="AG60" s="93"/>
      <c r="AH60" s="93"/>
      <c r="AI60" s="93"/>
      <c r="AJ60" s="93"/>
      <c r="AK60" s="93"/>
      <c r="AL60" s="93">
        <v>15</v>
      </c>
      <c r="AM60" s="93">
        <v>5</v>
      </c>
      <c r="AN60" s="93">
        <v>5</v>
      </c>
      <c r="AO60" s="93"/>
      <c r="AP60" s="93"/>
      <c r="AQ60" s="92">
        <v>45341</v>
      </c>
      <c r="AR60" s="93"/>
      <c r="AS60" s="95">
        <v>0</v>
      </c>
      <c r="AT60" s="93"/>
    </row>
    <row r="61" spans="1:46" ht="15.75" x14ac:dyDescent="0.25">
      <c r="A61" s="91" t="s">
        <v>54</v>
      </c>
      <c r="B61" s="92">
        <v>45341</v>
      </c>
      <c r="C61" s="93">
        <v>90</v>
      </c>
      <c r="D61" s="94">
        <v>212.5</v>
      </c>
      <c r="E61" s="93"/>
      <c r="F61" s="93"/>
      <c r="G61" s="93"/>
      <c r="H61" s="93"/>
      <c r="I61" s="93"/>
      <c r="J61" s="93"/>
      <c r="K61" s="93"/>
      <c r="L61" s="93"/>
      <c r="M61" s="93"/>
      <c r="N61" s="93">
        <v>20</v>
      </c>
      <c r="O61" s="93"/>
      <c r="P61" s="93"/>
      <c r="Q61" s="93"/>
      <c r="R61" s="93"/>
      <c r="S61" s="93">
        <v>10</v>
      </c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>
        <v>10</v>
      </c>
      <c r="AE61" s="93">
        <v>10</v>
      </c>
      <c r="AF61" s="93"/>
      <c r="AG61" s="93">
        <v>10</v>
      </c>
      <c r="AH61" s="93">
        <v>10</v>
      </c>
      <c r="AI61" s="93">
        <v>10</v>
      </c>
      <c r="AJ61" s="93"/>
      <c r="AK61" s="93"/>
      <c r="AL61" s="93">
        <v>10</v>
      </c>
      <c r="AM61" s="93"/>
      <c r="AN61" s="93"/>
      <c r="AO61" s="93"/>
      <c r="AP61" s="93"/>
      <c r="AQ61" s="92">
        <v>45341</v>
      </c>
      <c r="AR61" s="93"/>
      <c r="AS61" s="95">
        <v>212.5</v>
      </c>
      <c r="AT61" s="93"/>
    </row>
    <row r="62" spans="1:46" ht="15.75" x14ac:dyDescent="0.25">
      <c r="A62" s="91" t="s">
        <v>54</v>
      </c>
      <c r="B62" s="92">
        <v>45355</v>
      </c>
      <c r="C62" s="93">
        <v>70</v>
      </c>
      <c r="D62" s="94">
        <v>175</v>
      </c>
      <c r="E62" s="93"/>
      <c r="F62" s="93"/>
      <c r="G62" s="93"/>
      <c r="H62" s="93"/>
      <c r="I62" s="93"/>
      <c r="J62" s="93"/>
      <c r="K62" s="93"/>
      <c r="L62" s="93"/>
      <c r="M62" s="93"/>
      <c r="N62" s="93">
        <v>15</v>
      </c>
      <c r="O62" s="93"/>
      <c r="P62" s="93"/>
      <c r="Q62" s="93"/>
      <c r="R62" s="93"/>
      <c r="S62" s="93"/>
      <c r="T62" s="93">
        <v>10</v>
      </c>
      <c r="U62" s="93"/>
      <c r="V62" s="93"/>
      <c r="W62" s="93"/>
      <c r="X62" s="93"/>
      <c r="Y62" s="93"/>
      <c r="Z62" s="93"/>
      <c r="AA62" s="93"/>
      <c r="AB62" s="93">
        <v>10</v>
      </c>
      <c r="AC62" s="93">
        <v>5</v>
      </c>
      <c r="AD62" s="93"/>
      <c r="AE62" s="93"/>
      <c r="AF62" s="93"/>
      <c r="AG62" s="93"/>
      <c r="AH62" s="93">
        <v>10</v>
      </c>
      <c r="AI62" s="93">
        <v>10</v>
      </c>
      <c r="AJ62" s="93"/>
      <c r="AK62" s="93"/>
      <c r="AL62" s="93">
        <v>10</v>
      </c>
      <c r="AM62" s="93"/>
      <c r="AN62" s="93"/>
      <c r="AO62" s="93"/>
      <c r="AP62" s="93"/>
      <c r="AQ62" s="92">
        <v>45355</v>
      </c>
      <c r="AR62" s="93"/>
      <c r="AS62" s="95">
        <v>0</v>
      </c>
      <c r="AT62" s="93"/>
    </row>
    <row r="63" spans="1:46" ht="15.75" x14ac:dyDescent="0.25">
      <c r="A63" s="91" t="s">
        <v>54</v>
      </c>
      <c r="B63" s="92">
        <v>45357</v>
      </c>
      <c r="C63" s="93">
        <v>110</v>
      </c>
      <c r="D63" s="94">
        <v>275</v>
      </c>
      <c r="E63" s="93"/>
      <c r="F63" s="93"/>
      <c r="G63" s="93"/>
      <c r="H63" s="93"/>
      <c r="I63" s="93"/>
      <c r="J63" s="93"/>
      <c r="K63" s="93"/>
      <c r="L63" s="93"/>
      <c r="M63" s="93"/>
      <c r="N63" s="93">
        <v>15</v>
      </c>
      <c r="O63" s="93"/>
      <c r="P63" s="93">
        <v>10</v>
      </c>
      <c r="Q63" s="93">
        <v>10</v>
      </c>
      <c r="R63" s="93"/>
      <c r="S63" s="93">
        <v>10</v>
      </c>
      <c r="T63" s="93"/>
      <c r="U63" s="93"/>
      <c r="V63" s="93"/>
      <c r="W63" s="93"/>
      <c r="X63" s="93"/>
      <c r="Y63" s="93"/>
      <c r="Z63" s="93"/>
      <c r="AA63" s="93"/>
      <c r="AB63" s="93">
        <v>10</v>
      </c>
      <c r="AC63" s="93">
        <v>5</v>
      </c>
      <c r="AD63" s="93">
        <v>10</v>
      </c>
      <c r="AE63" s="93">
        <v>10</v>
      </c>
      <c r="AF63" s="93"/>
      <c r="AG63" s="93">
        <v>10</v>
      </c>
      <c r="AH63" s="93">
        <v>10</v>
      </c>
      <c r="AI63" s="93"/>
      <c r="AJ63" s="93"/>
      <c r="AK63" s="93"/>
      <c r="AL63" s="93">
        <v>10</v>
      </c>
      <c r="AM63" s="93"/>
      <c r="AN63" s="93"/>
      <c r="AO63" s="93"/>
      <c r="AP63" s="93"/>
      <c r="AQ63" s="92">
        <v>45357</v>
      </c>
      <c r="AR63" s="93"/>
      <c r="AS63" s="95">
        <v>0</v>
      </c>
      <c r="AT63" s="93"/>
    </row>
    <row r="64" spans="1:46" ht="15.75" x14ac:dyDescent="0.25">
      <c r="A64" s="91" t="s">
        <v>420</v>
      </c>
      <c r="B64" s="92">
        <v>45345</v>
      </c>
      <c r="C64" s="93">
        <v>50</v>
      </c>
      <c r="D64" s="94">
        <v>125</v>
      </c>
      <c r="E64" s="93"/>
      <c r="F64" s="93"/>
      <c r="G64" s="93"/>
      <c r="H64" s="93"/>
      <c r="I64" s="93"/>
      <c r="J64" s="93"/>
      <c r="K64" s="93"/>
      <c r="L64" s="93"/>
      <c r="M64" s="93"/>
      <c r="N64" s="93">
        <v>30</v>
      </c>
      <c r="O64" s="93"/>
      <c r="P64" s="93"/>
      <c r="Q64" s="93"/>
      <c r="R64" s="93"/>
      <c r="S64" s="93">
        <v>5</v>
      </c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>
        <v>10</v>
      </c>
      <c r="AM64" s="93">
        <v>5</v>
      </c>
      <c r="AN64" s="93"/>
      <c r="AO64" s="93"/>
      <c r="AP64" s="93"/>
      <c r="AQ64" s="92">
        <v>45358</v>
      </c>
      <c r="AR64" s="93"/>
      <c r="AS64" s="95">
        <v>0</v>
      </c>
      <c r="AT64" s="93"/>
    </row>
    <row r="65" spans="1:46" ht="15.75" x14ac:dyDescent="0.25">
      <c r="A65" s="91" t="s">
        <v>172</v>
      </c>
      <c r="B65" s="92">
        <v>45359</v>
      </c>
      <c r="C65" s="93">
        <v>110</v>
      </c>
      <c r="D65" s="174">
        <v>275</v>
      </c>
      <c r="E65" s="120"/>
      <c r="F65" s="120"/>
      <c r="G65" s="120"/>
      <c r="H65" s="120"/>
      <c r="I65" s="120"/>
      <c r="J65" s="120"/>
      <c r="K65" s="120"/>
      <c r="L65" s="120"/>
      <c r="M65" s="120"/>
      <c r="N65" s="120">
        <v>35</v>
      </c>
      <c r="O65" s="120"/>
      <c r="P65" s="120"/>
      <c r="Q65" s="120">
        <v>10</v>
      </c>
      <c r="R65" s="120"/>
      <c r="S65" s="120">
        <v>20</v>
      </c>
      <c r="T65" s="120"/>
      <c r="U65" s="120"/>
      <c r="V65" s="120"/>
      <c r="W65" s="120"/>
      <c r="X65" s="120"/>
      <c r="Y65" s="120"/>
      <c r="Z65" s="120"/>
      <c r="AA65" s="120"/>
      <c r="AB65" s="120">
        <v>10</v>
      </c>
      <c r="AC65" s="120">
        <v>5</v>
      </c>
      <c r="AD65" s="120"/>
      <c r="AE65" s="120"/>
      <c r="AF65" s="120"/>
      <c r="AG65" s="120">
        <v>20</v>
      </c>
      <c r="AH65" s="120"/>
      <c r="AI65" s="120"/>
      <c r="AJ65" s="120"/>
      <c r="AK65" s="120">
        <v>10</v>
      </c>
      <c r="AL65" s="93"/>
      <c r="AM65" s="93"/>
      <c r="AN65" s="93"/>
      <c r="AO65" s="170"/>
      <c r="AP65" s="171"/>
      <c r="AQ65" s="93">
        <v>45359</v>
      </c>
      <c r="AR65" s="172"/>
      <c r="AS65" s="173">
        <v>0</v>
      </c>
      <c r="AT65" s="93"/>
    </row>
    <row r="66" spans="1:46" ht="15.75" x14ac:dyDescent="0.25">
      <c r="A66" s="91" t="s">
        <v>427</v>
      </c>
      <c r="B66" s="92">
        <v>45361</v>
      </c>
      <c r="C66" s="93">
        <v>160</v>
      </c>
      <c r="D66" s="94">
        <v>400</v>
      </c>
      <c r="E66" s="93"/>
      <c r="F66" s="93"/>
      <c r="G66" s="93">
        <v>5</v>
      </c>
      <c r="H66" s="93">
        <v>5</v>
      </c>
      <c r="I66" s="93"/>
      <c r="J66" s="93"/>
      <c r="K66" s="93"/>
      <c r="L66" s="93"/>
      <c r="M66" s="93"/>
      <c r="N66" s="93">
        <v>30</v>
      </c>
      <c r="O66" s="93"/>
      <c r="P66" s="93"/>
      <c r="Q66" s="93"/>
      <c r="R66" s="93"/>
      <c r="S66" s="93">
        <v>10</v>
      </c>
      <c r="T66" s="93">
        <v>5</v>
      </c>
      <c r="U66" s="93"/>
      <c r="V66" s="93"/>
      <c r="W66" s="93"/>
      <c r="X66" s="93"/>
      <c r="Y66" s="93">
        <v>10</v>
      </c>
      <c r="Z66" s="93"/>
      <c r="AA66" s="93">
        <v>10</v>
      </c>
      <c r="AB66" s="93">
        <v>10</v>
      </c>
      <c r="AC66" s="93"/>
      <c r="AD66" s="93">
        <v>10</v>
      </c>
      <c r="AE66" s="93">
        <v>10</v>
      </c>
      <c r="AF66" s="93">
        <v>5</v>
      </c>
      <c r="AG66" s="93">
        <v>10</v>
      </c>
      <c r="AH66" s="93">
        <v>5</v>
      </c>
      <c r="AI66" s="93"/>
      <c r="AJ66" s="93"/>
      <c r="AK66" s="93">
        <v>15</v>
      </c>
      <c r="AL66" s="93">
        <v>20</v>
      </c>
      <c r="AM66" s="93"/>
      <c r="AN66" s="93"/>
      <c r="AO66" s="93"/>
      <c r="AP66" s="93"/>
      <c r="AQ66" s="92">
        <v>45361</v>
      </c>
      <c r="AR66" s="93"/>
      <c r="AS66" s="95">
        <v>400</v>
      </c>
      <c r="AT66" s="93"/>
    </row>
    <row r="67" spans="1:46" ht="15.75" x14ac:dyDescent="0.25">
      <c r="A67" s="91" t="s">
        <v>237</v>
      </c>
      <c r="B67" s="92">
        <v>45361</v>
      </c>
      <c r="C67" s="93">
        <v>95</v>
      </c>
      <c r="D67" s="94">
        <v>237.5</v>
      </c>
      <c r="E67" s="93"/>
      <c r="F67" s="93"/>
      <c r="G67" s="93">
        <v>5</v>
      </c>
      <c r="H67" s="93">
        <v>5</v>
      </c>
      <c r="I67" s="93"/>
      <c r="J67" s="93"/>
      <c r="K67" s="93"/>
      <c r="L67" s="93"/>
      <c r="M67" s="93"/>
      <c r="N67" s="93">
        <v>20</v>
      </c>
      <c r="O67" s="93"/>
      <c r="P67" s="93"/>
      <c r="Q67" s="93"/>
      <c r="R67" s="93"/>
      <c r="S67" s="93">
        <v>5</v>
      </c>
      <c r="T67" s="93">
        <v>5</v>
      </c>
      <c r="U67" s="93"/>
      <c r="V67" s="93"/>
      <c r="W67" s="93"/>
      <c r="X67" s="93"/>
      <c r="Y67" s="93">
        <v>5</v>
      </c>
      <c r="Z67" s="93"/>
      <c r="AA67" s="93">
        <v>5</v>
      </c>
      <c r="AB67" s="93">
        <v>10</v>
      </c>
      <c r="AC67" s="93"/>
      <c r="AD67" s="93">
        <v>5</v>
      </c>
      <c r="AE67" s="93">
        <v>5</v>
      </c>
      <c r="AF67" s="93">
        <v>5</v>
      </c>
      <c r="AG67" s="93">
        <v>10</v>
      </c>
      <c r="AH67" s="93">
        <v>5</v>
      </c>
      <c r="AI67" s="93"/>
      <c r="AJ67" s="93"/>
      <c r="AK67" s="93">
        <v>5</v>
      </c>
      <c r="AL67" s="93"/>
      <c r="AM67" s="93"/>
      <c r="AN67" s="93"/>
      <c r="AO67" s="93"/>
      <c r="AP67" s="93"/>
      <c r="AQ67" s="92">
        <v>45361</v>
      </c>
      <c r="AR67" s="93"/>
      <c r="AS67" s="95">
        <v>237.5</v>
      </c>
      <c r="AT67" s="93"/>
    </row>
    <row r="68" spans="1:46" ht="15.75" x14ac:dyDescent="0.25">
      <c r="A68" s="91" t="s">
        <v>54</v>
      </c>
      <c r="B68" s="92">
        <v>45361</v>
      </c>
      <c r="C68" s="93">
        <v>90</v>
      </c>
      <c r="D68" s="94">
        <v>225</v>
      </c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>
        <v>10</v>
      </c>
      <c r="Q68" s="93">
        <v>10</v>
      </c>
      <c r="R68" s="93"/>
      <c r="S68" s="93"/>
      <c r="T68" s="93">
        <v>20</v>
      </c>
      <c r="U68" s="93"/>
      <c r="V68" s="93"/>
      <c r="W68" s="93"/>
      <c r="X68" s="93"/>
      <c r="Y68" s="93"/>
      <c r="Z68" s="93"/>
      <c r="AA68" s="93"/>
      <c r="AB68" s="93">
        <v>10</v>
      </c>
      <c r="AC68" s="93"/>
      <c r="AD68" s="93">
        <v>10</v>
      </c>
      <c r="AE68" s="93"/>
      <c r="AF68" s="93"/>
      <c r="AG68" s="93">
        <v>10</v>
      </c>
      <c r="AH68" s="93">
        <v>10</v>
      </c>
      <c r="AI68" s="93"/>
      <c r="AJ68" s="93"/>
      <c r="AK68" s="93"/>
      <c r="AL68" s="93">
        <v>10</v>
      </c>
      <c r="AM68" s="93"/>
      <c r="AN68" s="93"/>
      <c r="AO68" s="93"/>
      <c r="AP68" s="93"/>
      <c r="AQ68" s="92">
        <v>45361</v>
      </c>
      <c r="AR68" s="93"/>
      <c r="AS68" s="95">
        <v>0</v>
      </c>
      <c r="AT68" s="93"/>
    </row>
    <row r="69" spans="1:46" ht="15.75" x14ac:dyDescent="0.25">
      <c r="A69" s="91" t="s">
        <v>113</v>
      </c>
      <c r="B69" s="92">
        <v>45361</v>
      </c>
      <c r="C69" s="93">
        <v>215</v>
      </c>
      <c r="D69" s="94">
        <v>537.5</v>
      </c>
      <c r="E69" s="93">
        <v>5</v>
      </c>
      <c r="F69" s="93"/>
      <c r="G69" s="93">
        <v>5</v>
      </c>
      <c r="H69" s="93"/>
      <c r="I69" s="93"/>
      <c r="J69" s="93"/>
      <c r="K69" s="93"/>
      <c r="L69" s="93"/>
      <c r="M69" s="93"/>
      <c r="N69" s="93">
        <v>50</v>
      </c>
      <c r="O69" s="93"/>
      <c r="P69" s="93">
        <v>10</v>
      </c>
      <c r="Q69" s="93">
        <v>10</v>
      </c>
      <c r="R69" s="93">
        <v>10</v>
      </c>
      <c r="S69" s="93">
        <v>10</v>
      </c>
      <c r="T69" s="93">
        <v>10</v>
      </c>
      <c r="U69" s="93">
        <v>5</v>
      </c>
      <c r="V69" s="93"/>
      <c r="W69" s="93"/>
      <c r="X69" s="93">
        <v>5</v>
      </c>
      <c r="Y69" s="93">
        <v>5</v>
      </c>
      <c r="Z69" s="93"/>
      <c r="AA69" s="93"/>
      <c r="AB69" s="93">
        <v>10</v>
      </c>
      <c r="AC69" s="93"/>
      <c r="AD69" s="93">
        <v>5</v>
      </c>
      <c r="AE69" s="93"/>
      <c r="AF69" s="93">
        <v>5</v>
      </c>
      <c r="AG69" s="93">
        <v>10</v>
      </c>
      <c r="AH69" s="93">
        <v>5</v>
      </c>
      <c r="AI69" s="93"/>
      <c r="AJ69" s="93">
        <v>10</v>
      </c>
      <c r="AK69" s="93">
        <v>10</v>
      </c>
      <c r="AL69" s="93">
        <v>15</v>
      </c>
      <c r="AM69" s="93"/>
      <c r="AN69" s="93"/>
      <c r="AO69" s="93"/>
      <c r="AP69" s="93"/>
      <c r="AQ69" s="92">
        <v>45361</v>
      </c>
      <c r="AR69" s="93"/>
      <c r="AS69" s="95">
        <v>537.5</v>
      </c>
      <c r="AT69" s="93"/>
    </row>
    <row r="70" spans="1:46" ht="15.75" x14ac:dyDescent="0.25">
      <c r="A70" s="91" t="s">
        <v>237</v>
      </c>
      <c r="B70" s="92">
        <v>45362</v>
      </c>
      <c r="C70" s="93">
        <v>95</v>
      </c>
      <c r="D70" s="94">
        <v>237.5</v>
      </c>
      <c r="E70" s="93"/>
      <c r="F70" s="93"/>
      <c r="G70" s="93">
        <v>5</v>
      </c>
      <c r="H70" s="93">
        <v>5</v>
      </c>
      <c r="I70" s="93"/>
      <c r="J70" s="93"/>
      <c r="K70" s="93"/>
      <c r="L70" s="93"/>
      <c r="M70" s="93"/>
      <c r="N70" s="93">
        <v>20</v>
      </c>
      <c r="O70" s="93"/>
      <c r="P70" s="93"/>
      <c r="Q70" s="93"/>
      <c r="R70" s="93"/>
      <c r="S70" s="93">
        <v>5</v>
      </c>
      <c r="T70" s="93">
        <v>5</v>
      </c>
      <c r="U70" s="93"/>
      <c r="V70" s="93"/>
      <c r="W70" s="93"/>
      <c r="X70" s="93"/>
      <c r="Y70" s="93">
        <v>5</v>
      </c>
      <c r="Z70" s="93"/>
      <c r="AA70" s="93">
        <v>5</v>
      </c>
      <c r="AB70" s="93">
        <v>10</v>
      </c>
      <c r="AC70" s="93"/>
      <c r="AD70" s="93">
        <v>5</v>
      </c>
      <c r="AE70" s="93">
        <v>5</v>
      </c>
      <c r="AF70" s="93">
        <v>5</v>
      </c>
      <c r="AG70" s="93">
        <v>10</v>
      </c>
      <c r="AH70" s="93">
        <v>5</v>
      </c>
      <c r="AI70" s="93"/>
      <c r="AJ70" s="93"/>
      <c r="AK70" s="93">
        <v>5</v>
      </c>
      <c r="AL70" s="93"/>
      <c r="AM70" s="93"/>
      <c r="AN70" s="93"/>
      <c r="AO70" s="93"/>
      <c r="AP70" s="93"/>
      <c r="AQ70" s="92">
        <v>45362</v>
      </c>
      <c r="AR70" s="93"/>
      <c r="AS70" s="95">
        <v>0</v>
      </c>
      <c r="AT70" s="93"/>
    </row>
    <row r="71" spans="1:46" ht="15.75" x14ac:dyDescent="0.25">
      <c r="A71" s="91" t="s">
        <v>61</v>
      </c>
      <c r="B71" s="92">
        <v>45362</v>
      </c>
      <c r="C71" s="93">
        <v>160</v>
      </c>
      <c r="D71" s="94">
        <v>400</v>
      </c>
      <c r="E71" s="93"/>
      <c r="F71" s="93"/>
      <c r="G71" s="93">
        <v>5</v>
      </c>
      <c r="H71" s="93">
        <v>5</v>
      </c>
      <c r="I71" s="93"/>
      <c r="J71" s="93"/>
      <c r="K71" s="93"/>
      <c r="L71" s="93"/>
      <c r="M71" s="93"/>
      <c r="N71" s="93">
        <v>30</v>
      </c>
      <c r="O71" s="93"/>
      <c r="P71" s="93"/>
      <c r="Q71" s="93"/>
      <c r="R71" s="93"/>
      <c r="S71" s="93">
        <v>10</v>
      </c>
      <c r="T71" s="93">
        <v>5</v>
      </c>
      <c r="U71" s="93"/>
      <c r="V71" s="93"/>
      <c r="W71" s="93"/>
      <c r="X71" s="93"/>
      <c r="Y71" s="93">
        <v>10</v>
      </c>
      <c r="Z71" s="93"/>
      <c r="AA71" s="93">
        <v>10</v>
      </c>
      <c r="AB71" s="93">
        <v>10</v>
      </c>
      <c r="AC71" s="93"/>
      <c r="AD71" s="93">
        <v>10</v>
      </c>
      <c r="AE71" s="93">
        <v>10</v>
      </c>
      <c r="AF71" s="93">
        <v>5</v>
      </c>
      <c r="AG71" s="93">
        <v>10</v>
      </c>
      <c r="AH71" s="93">
        <v>5</v>
      </c>
      <c r="AI71" s="93"/>
      <c r="AJ71" s="93"/>
      <c r="AK71" s="93">
        <v>15</v>
      </c>
      <c r="AL71" s="93">
        <v>20</v>
      </c>
      <c r="AM71" s="93"/>
      <c r="AN71" s="93"/>
      <c r="AO71" s="93"/>
      <c r="AP71" s="93"/>
      <c r="AQ71" s="92">
        <v>45362</v>
      </c>
      <c r="AR71" s="93"/>
      <c r="AS71" s="95">
        <v>0</v>
      </c>
      <c r="AT71" s="93"/>
    </row>
    <row r="72" spans="1:46" ht="15.75" x14ac:dyDescent="0.25">
      <c r="A72" s="91" t="s">
        <v>59</v>
      </c>
      <c r="B72" s="92">
        <v>45362</v>
      </c>
      <c r="C72" s="93">
        <v>78</v>
      </c>
      <c r="D72" s="94">
        <v>195</v>
      </c>
      <c r="E72" s="93"/>
      <c r="F72" s="93"/>
      <c r="G72" s="93"/>
      <c r="H72" s="93"/>
      <c r="I72" s="93"/>
      <c r="J72" s="93"/>
      <c r="K72" s="93"/>
      <c r="L72" s="93"/>
      <c r="M72" s="93"/>
      <c r="N72" s="93">
        <v>15</v>
      </c>
      <c r="O72" s="93"/>
      <c r="P72" s="93"/>
      <c r="Q72" s="93"/>
      <c r="R72" s="93">
        <v>5</v>
      </c>
      <c r="S72" s="93">
        <v>5</v>
      </c>
      <c r="T72" s="93">
        <v>5</v>
      </c>
      <c r="U72" s="93"/>
      <c r="V72" s="93">
        <v>5</v>
      </c>
      <c r="W72" s="93"/>
      <c r="X72" s="93"/>
      <c r="Y72" s="93"/>
      <c r="Z72" s="93"/>
      <c r="AA72" s="93"/>
      <c r="AB72" s="93"/>
      <c r="AC72" s="93"/>
      <c r="AD72" s="93">
        <v>10</v>
      </c>
      <c r="AE72" s="93"/>
      <c r="AF72" s="93">
        <v>5</v>
      </c>
      <c r="AG72" s="93">
        <v>5</v>
      </c>
      <c r="AH72" s="93"/>
      <c r="AI72" s="93"/>
      <c r="AJ72" s="93">
        <v>5</v>
      </c>
      <c r="AK72" s="93"/>
      <c r="AL72" s="93">
        <v>10</v>
      </c>
      <c r="AM72" s="93"/>
      <c r="AN72" s="93"/>
      <c r="AO72" s="93"/>
      <c r="AP72" s="93"/>
      <c r="AQ72" s="92">
        <v>45362</v>
      </c>
      <c r="AR72" s="93"/>
      <c r="AS72" s="95">
        <v>195</v>
      </c>
      <c r="AT72" s="93"/>
    </row>
    <row r="73" spans="1:46" ht="15.75" x14ac:dyDescent="0.25">
      <c r="A73" s="91" t="s">
        <v>58</v>
      </c>
      <c r="B73" s="92">
        <v>45363</v>
      </c>
      <c r="C73" s="93">
        <v>111</v>
      </c>
      <c r="D73" s="94">
        <v>277.5</v>
      </c>
      <c r="E73" s="93"/>
      <c r="F73" s="93"/>
      <c r="G73" s="93"/>
      <c r="H73" s="93"/>
      <c r="I73" s="93"/>
      <c r="J73" s="93"/>
      <c r="K73" s="93"/>
      <c r="L73" s="93"/>
      <c r="M73" s="93"/>
      <c r="N73" s="93">
        <v>30</v>
      </c>
      <c r="O73" s="93"/>
      <c r="P73" s="93"/>
      <c r="Q73" s="93">
        <v>5</v>
      </c>
      <c r="R73" s="93">
        <v>5</v>
      </c>
      <c r="S73" s="93">
        <v>5</v>
      </c>
      <c r="T73" s="93">
        <v>5</v>
      </c>
      <c r="U73" s="93"/>
      <c r="V73" s="93"/>
      <c r="W73" s="93"/>
      <c r="X73" s="93"/>
      <c r="Y73" s="93"/>
      <c r="Z73" s="93"/>
      <c r="AA73" s="93"/>
      <c r="AB73" s="93">
        <v>10</v>
      </c>
      <c r="AC73" s="93">
        <v>5</v>
      </c>
      <c r="AD73" s="93"/>
      <c r="AE73" s="93">
        <v>10</v>
      </c>
      <c r="AF73" s="93"/>
      <c r="AG73" s="93">
        <v>10</v>
      </c>
      <c r="AH73" s="93">
        <v>10</v>
      </c>
      <c r="AI73" s="93"/>
      <c r="AJ73" s="93"/>
      <c r="AK73" s="93">
        <v>10</v>
      </c>
      <c r="AL73" s="93"/>
      <c r="AM73" s="93"/>
      <c r="AN73" s="93"/>
      <c r="AO73" s="93"/>
      <c r="AP73" s="93"/>
      <c r="AQ73" s="92">
        <v>45363</v>
      </c>
      <c r="AR73" s="93"/>
      <c r="AS73" s="95">
        <v>277.5</v>
      </c>
      <c r="AT73" s="93"/>
    </row>
    <row r="74" spans="1:46" ht="15.75" x14ac:dyDescent="0.25">
      <c r="A74" s="91" t="s">
        <v>381</v>
      </c>
      <c r="B74" s="92">
        <v>45363</v>
      </c>
      <c r="C74" s="93">
        <v>95</v>
      </c>
      <c r="D74" s="94">
        <v>237.5</v>
      </c>
      <c r="E74" s="93"/>
      <c r="F74" s="93"/>
      <c r="G74" s="93"/>
      <c r="H74" s="93"/>
      <c r="I74" s="93"/>
      <c r="J74" s="93"/>
      <c r="K74" s="93"/>
      <c r="L74" s="93"/>
      <c r="M74" s="93"/>
      <c r="N74" s="93">
        <v>20</v>
      </c>
      <c r="O74" s="93"/>
      <c r="P74" s="93"/>
      <c r="Q74" s="93">
        <v>10</v>
      </c>
      <c r="R74" s="93"/>
      <c r="S74" s="93"/>
      <c r="T74" s="93">
        <v>20</v>
      </c>
      <c r="U74" s="93"/>
      <c r="V74" s="93"/>
      <c r="W74" s="93"/>
      <c r="X74" s="93"/>
      <c r="Y74" s="93"/>
      <c r="Z74" s="93"/>
      <c r="AA74" s="93"/>
      <c r="AB74" s="93">
        <v>15</v>
      </c>
      <c r="AC74" s="93"/>
      <c r="AD74" s="93">
        <v>10</v>
      </c>
      <c r="AE74" s="93">
        <v>10</v>
      </c>
      <c r="AF74" s="93"/>
      <c r="AG74" s="93"/>
      <c r="AH74" s="93"/>
      <c r="AI74" s="93"/>
      <c r="AJ74" s="93"/>
      <c r="AK74" s="93">
        <v>10</v>
      </c>
      <c r="AL74" s="93"/>
      <c r="AM74" s="93"/>
      <c r="AN74" s="93"/>
      <c r="AO74" s="93"/>
      <c r="AP74" s="93"/>
      <c r="AQ74" s="92">
        <v>45363</v>
      </c>
      <c r="AR74" s="93"/>
      <c r="AS74" s="95">
        <v>237.5</v>
      </c>
      <c r="AT74" s="93"/>
    </row>
    <row r="75" spans="1:46" ht="15.75" x14ac:dyDescent="0.25">
      <c r="A75" s="91" t="s">
        <v>437</v>
      </c>
      <c r="B75" s="92">
        <v>45363</v>
      </c>
      <c r="C75" s="93">
        <v>32</v>
      </c>
      <c r="D75" s="94">
        <v>80</v>
      </c>
      <c r="E75" s="93"/>
      <c r="F75" s="93"/>
      <c r="G75" s="93"/>
      <c r="H75" s="93"/>
      <c r="I75" s="93"/>
      <c r="J75" s="93">
        <v>10</v>
      </c>
      <c r="K75" s="93"/>
      <c r="L75" s="93"/>
      <c r="M75" s="93"/>
      <c r="N75" s="93">
        <v>10</v>
      </c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>
        <v>10</v>
      </c>
      <c r="AM75" s="93">
        <v>10</v>
      </c>
      <c r="AN75" s="93"/>
      <c r="AO75" s="93"/>
      <c r="AP75" s="93"/>
      <c r="AQ75" s="92">
        <v>45364</v>
      </c>
      <c r="AR75" s="93"/>
      <c r="AS75" s="95">
        <v>80</v>
      </c>
      <c r="AT75" s="93"/>
    </row>
    <row r="76" spans="1:46" ht="15.75" x14ac:dyDescent="0.25">
      <c r="A76" s="91" t="s">
        <v>437</v>
      </c>
      <c r="B76" s="92">
        <v>45363</v>
      </c>
      <c r="C76" s="93"/>
      <c r="D76" s="94"/>
      <c r="E76" s="93"/>
      <c r="F76" s="93"/>
      <c r="G76" s="93"/>
      <c r="H76" s="93"/>
      <c r="I76" s="93"/>
      <c r="J76" s="93">
        <v>10</v>
      </c>
      <c r="K76" s="93"/>
      <c r="L76" s="93"/>
      <c r="M76" s="93"/>
      <c r="N76" s="93">
        <v>10</v>
      </c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 s="93"/>
      <c r="AK76" s="93"/>
      <c r="AL76" s="93"/>
      <c r="AM76" s="93"/>
      <c r="AN76" s="93"/>
      <c r="AO76" s="93"/>
      <c r="AP76" s="93"/>
      <c r="AQ76" s="92">
        <v>45364</v>
      </c>
      <c r="AR76" s="93"/>
      <c r="AS76" s="95">
        <v>0</v>
      </c>
      <c r="AT76" s="93"/>
    </row>
    <row r="77" spans="1:46" ht="15.75" x14ac:dyDescent="0.25">
      <c r="A77" s="91" t="s">
        <v>437</v>
      </c>
      <c r="B77" s="92">
        <v>45363</v>
      </c>
      <c r="C77" s="93">
        <v>42</v>
      </c>
      <c r="D77" s="94">
        <v>105</v>
      </c>
      <c r="E77" s="93"/>
      <c r="F77" s="93"/>
      <c r="G77" s="93"/>
      <c r="H77" s="93"/>
      <c r="I77" s="93"/>
      <c r="J77" s="93">
        <v>10</v>
      </c>
      <c r="K77" s="93"/>
      <c r="L77" s="93"/>
      <c r="M77" s="93"/>
      <c r="N77" s="93">
        <v>10</v>
      </c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>
        <v>10</v>
      </c>
      <c r="AM77" s="93">
        <v>10</v>
      </c>
      <c r="AN77" s="93"/>
      <c r="AO77" s="93"/>
      <c r="AP77" s="93"/>
      <c r="AQ77" s="92"/>
      <c r="AR77" s="93"/>
      <c r="AS77" s="95"/>
      <c r="AT77" s="93"/>
    </row>
    <row r="78" spans="1:46" ht="15.75" x14ac:dyDescent="0.25">
      <c r="A78" s="91" t="s">
        <v>437</v>
      </c>
      <c r="B78" s="92">
        <v>45363</v>
      </c>
      <c r="C78" s="93">
        <v>32</v>
      </c>
      <c r="D78" s="94">
        <v>80</v>
      </c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  <c r="AM78" s="93"/>
      <c r="AN78" s="93"/>
      <c r="AO78" s="93"/>
      <c r="AP78" s="93"/>
      <c r="AQ78" s="92"/>
      <c r="AR78" s="93"/>
      <c r="AS78" s="95"/>
      <c r="AT78" s="93"/>
    </row>
    <row r="79" spans="1:46" ht="15.75" x14ac:dyDescent="0.25">
      <c r="A79" s="91" t="s">
        <v>437</v>
      </c>
      <c r="B79" s="92">
        <v>45363</v>
      </c>
      <c r="C79" s="93">
        <v>24</v>
      </c>
      <c r="D79" s="94">
        <v>60</v>
      </c>
      <c r="E79" s="93"/>
      <c r="F79" s="93"/>
      <c r="G79" s="93"/>
      <c r="H79" s="93"/>
      <c r="I79" s="93"/>
      <c r="J79" s="93">
        <v>20</v>
      </c>
      <c r="K79" s="93"/>
      <c r="L79" s="93"/>
      <c r="M79" s="93"/>
      <c r="N79" s="93">
        <v>10</v>
      </c>
      <c r="O79" s="93"/>
      <c r="P79" s="93"/>
      <c r="Q79" s="93">
        <v>10</v>
      </c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2">
        <v>45364</v>
      </c>
      <c r="AR79" s="93"/>
      <c r="AS79" s="95">
        <v>60</v>
      </c>
      <c r="AT79" s="93"/>
    </row>
    <row r="80" spans="1:46" ht="15.75" x14ac:dyDescent="0.25">
      <c r="A80" s="91" t="s">
        <v>437</v>
      </c>
      <c r="B80" s="92">
        <v>45363</v>
      </c>
      <c r="C80" s="93">
        <v>34</v>
      </c>
      <c r="D80" s="94">
        <v>85</v>
      </c>
      <c r="E80" s="93"/>
      <c r="F80" s="93"/>
      <c r="G80" s="93"/>
      <c r="H80" s="93"/>
      <c r="I80" s="93"/>
      <c r="J80" s="93">
        <v>20</v>
      </c>
      <c r="K80" s="93"/>
      <c r="L80" s="93"/>
      <c r="M80" s="93"/>
      <c r="N80" s="93">
        <v>10</v>
      </c>
      <c r="O80" s="93">
        <v>10</v>
      </c>
      <c r="P80" s="93"/>
      <c r="Q80" s="93">
        <v>10</v>
      </c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3"/>
      <c r="AK80" s="93"/>
      <c r="AL80" s="93"/>
      <c r="AM80" s="93"/>
      <c r="AN80" s="93"/>
      <c r="AO80" s="93"/>
      <c r="AP80" s="93"/>
      <c r="AQ80" s="92">
        <v>45364</v>
      </c>
      <c r="AR80" s="93"/>
      <c r="AS80" s="95">
        <v>85</v>
      </c>
      <c r="AT80" s="93"/>
    </row>
    <row r="81" spans="1:46" ht="15.75" x14ac:dyDescent="0.25">
      <c r="A81" s="91" t="s">
        <v>437</v>
      </c>
      <c r="B81" s="92">
        <v>45363</v>
      </c>
      <c r="C81" s="93">
        <v>40</v>
      </c>
      <c r="D81" s="94">
        <v>100</v>
      </c>
      <c r="E81" s="93"/>
      <c r="F81" s="93"/>
      <c r="G81" s="93"/>
      <c r="H81" s="93"/>
      <c r="I81" s="93"/>
      <c r="J81" s="93">
        <v>20</v>
      </c>
      <c r="K81" s="93">
        <v>30</v>
      </c>
      <c r="L81" s="93"/>
      <c r="M81" s="93"/>
      <c r="N81" s="93">
        <v>10</v>
      </c>
      <c r="O81" s="93">
        <v>20</v>
      </c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2">
        <v>45364</v>
      </c>
      <c r="AR81" s="93"/>
      <c r="AS81" s="95">
        <v>100</v>
      </c>
      <c r="AT81" s="93"/>
    </row>
    <row r="82" spans="1:46" ht="15.75" x14ac:dyDescent="0.25">
      <c r="A82" s="91" t="s">
        <v>437</v>
      </c>
      <c r="B82" s="92">
        <v>45363</v>
      </c>
      <c r="C82" s="93">
        <v>70</v>
      </c>
      <c r="D82" s="94">
        <v>175</v>
      </c>
      <c r="E82" s="93"/>
      <c r="F82" s="93"/>
      <c r="G82" s="93"/>
      <c r="H82" s="93"/>
      <c r="I82" s="93"/>
      <c r="J82" s="93">
        <v>20</v>
      </c>
      <c r="K82" s="93">
        <v>30</v>
      </c>
      <c r="L82" s="93"/>
      <c r="M82" s="93"/>
      <c r="N82" s="93">
        <v>10</v>
      </c>
      <c r="O82" s="93">
        <v>20</v>
      </c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 s="93"/>
      <c r="AK82" s="93"/>
      <c r="AL82" s="93"/>
      <c r="AM82" s="93">
        <v>10</v>
      </c>
      <c r="AN82" s="93">
        <v>20</v>
      </c>
      <c r="AO82" s="93"/>
      <c r="AP82" s="93"/>
      <c r="AQ82" s="92">
        <v>45364</v>
      </c>
      <c r="AR82" s="93"/>
      <c r="AS82" s="95">
        <v>0</v>
      </c>
      <c r="AT82" s="93"/>
    </row>
    <row r="83" spans="1:46" ht="15.75" x14ac:dyDescent="0.25">
      <c r="A83" s="91" t="s">
        <v>61</v>
      </c>
      <c r="B83" s="92">
        <v>45366</v>
      </c>
      <c r="C83" s="93">
        <v>170</v>
      </c>
      <c r="D83" s="94">
        <v>425</v>
      </c>
      <c r="E83" s="93"/>
      <c r="F83" s="93"/>
      <c r="G83" s="93"/>
      <c r="H83" s="93"/>
      <c r="I83" s="93"/>
      <c r="J83" s="93"/>
      <c r="K83" s="93"/>
      <c r="L83" s="93"/>
      <c r="M83" s="93"/>
      <c r="N83" s="93">
        <v>15</v>
      </c>
      <c r="O83" s="93"/>
      <c r="P83" s="93">
        <v>5</v>
      </c>
      <c r="Q83" s="93">
        <v>5</v>
      </c>
      <c r="R83" s="93">
        <v>5</v>
      </c>
      <c r="S83" s="93">
        <v>10</v>
      </c>
      <c r="T83" s="93">
        <v>5</v>
      </c>
      <c r="U83" s="93">
        <v>5</v>
      </c>
      <c r="V83" s="93">
        <v>5</v>
      </c>
      <c r="W83" s="93"/>
      <c r="X83" s="93">
        <v>5</v>
      </c>
      <c r="Y83" s="93">
        <v>5</v>
      </c>
      <c r="Z83" s="93">
        <v>10</v>
      </c>
      <c r="AA83" s="93">
        <v>10</v>
      </c>
      <c r="AB83" s="93">
        <v>15</v>
      </c>
      <c r="AC83" s="93"/>
      <c r="AD83" s="93"/>
      <c r="AE83" s="93"/>
      <c r="AF83" s="93">
        <v>15</v>
      </c>
      <c r="AG83" s="93"/>
      <c r="AH83" s="93">
        <v>5</v>
      </c>
      <c r="AI83" s="93">
        <v>5</v>
      </c>
      <c r="AJ83" s="93">
        <v>5</v>
      </c>
      <c r="AK83" s="93">
        <v>10</v>
      </c>
      <c r="AL83" s="93">
        <v>15</v>
      </c>
      <c r="AM83" s="93">
        <v>10</v>
      </c>
      <c r="AN83" s="93">
        <v>5</v>
      </c>
      <c r="AO83" s="93"/>
      <c r="AP83" s="93"/>
      <c r="AQ83" s="92">
        <v>45366</v>
      </c>
      <c r="AR83" s="93"/>
      <c r="AS83" s="95">
        <v>425</v>
      </c>
      <c r="AT83" s="93"/>
    </row>
    <row r="84" spans="1:46" ht="15.75" x14ac:dyDescent="0.25">
      <c r="A84" s="91" t="s">
        <v>437</v>
      </c>
      <c r="B84" s="92">
        <v>45366</v>
      </c>
      <c r="C84" s="93">
        <v>642</v>
      </c>
      <c r="D84" s="94">
        <v>1500</v>
      </c>
      <c r="E84" s="93">
        <v>1</v>
      </c>
      <c r="F84" s="93">
        <v>2</v>
      </c>
      <c r="G84" s="93">
        <v>3</v>
      </c>
      <c r="H84" s="93">
        <v>4</v>
      </c>
      <c r="I84" s="93">
        <v>5</v>
      </c>
      <c r="J84" s="93">
        <v>6</v>
      </c>
      <c r="K84" s="93">
        <v>7</v>
      </c>
      <c r="L84" s="93">
        <v>8</v>
      </c>
      <c r="M84" s="93">
        <v>9</v>
      </c>
      <c r="N84" s="93">
        <v>10</v>
      </c>
      <c r="O84" s="93">
        <v>11</v>
      </c>
      <c r="P84" s="93">
        <v>12</v>
      </c>
      <c r="Q84" s="93">
        <v>13</v>
      </c>
      <c r="R84" s="93">
        <v>14</v>
      </c>
      <c r="S84" s="93">
        <v>15</v>
      </c>
      <c r="T84" s="93">
        <v>16</v>
      </c>
      <c r="U84" s="93">
        <v>17</v>
      </c>
      <c r="V84" s="93">
        <v>18</v>
      </c>
      <c r="W84" s="93">
        <v>19</v>
      </c>
      <c r="X84" s="93">
        <v>20</v>
      </c>
      <c r="Y84" s="93">
        <v>21</v>
      </c>
      <c r="Z84" s="93">
        <v>22</v>
      </c>
      <c r="AA84" s="93">
        <v>23</v>
      </c>
      <c r="AB84" s="93">
        <v>24</v>
      </c>
      <c r="AC84" s="93">
        <v>25</v>
      </c>
      <c r="AD84" s="93">
        <v>26</v>
      </c>
      <c r="AE84" s="93">
        <v>27</v>
      </c>
      <c r="AF84" s="93">
        <v>28</v>
      </c>
      <c r="AG84" s="93">
        <v>29</v>
      </c>
      <c r="AH84" s="93">
        <v>30</v>
      </c>
      <c r="AI84" s="93">
        <v>31</v>
      </c>
      <c r="AJ84" s="93">
        <v>32</v>
      </c>
      <c r="AK84" s="93">
        <v>33</v>
      </c>
      <c r="AL84" s="93">
        <v>34</v>
      </c>
      <c r="AM84" s="93">
        <v>35</v>
      </c>
      <c r="AN84" s="93">
        <v>36</v>
      </c>
      <c r="AO84" s="93"/>
      <c r="AP84" s="93"/>
      <c r="AQ84" s="92">
        <v>45367</v>
      </c>
      <c r="AR84" s="93"/>
      <c r="AS84" s="95">
        <v>1500</v>
      </c>
      <c r="AT84" s="93"/>
    </row>
    <row r="85" spans="1:46" ht="15.75" x14ac:dyDescent="0.25">
      <c r="A85" s="91" t="s">
        <v>397</v>
      </c>
      <c r="B85" s="92">
        <v>45367</v>
      </c>
      <c r="C85" s="93">
        <v>55</v>
      </c>
      <c r="D85" s="94">
        <v>137.5</v>
      </c>
      <c r="E85" s="93"/>
      <c r="F85" s="93"/>
      <c r="G85" s="93"/>
      <c r="H85" s="93"/>
      <c r="I85" s="93"/>
      <c r="J85" s="93"/>
      <c r="K85" s="93"/>
      <c r="L85" s="93"/>
      <c r="M85" s="93"/>
      <c r="N85" s="93">
        <v>15</v>
      </c>
      <c r="O85" s="93"/>
      <c r="P85" s="93">
        <v>5</v>
      </c>
      <c r="Q85" s="93">
        <v>5</v>
      </c>
      <c r="R85" s="93"/>
      <c r="S85" s="93"/>
      <c r="T85" s="93">
        <v>10</v>
      </c>
      <c r="U85" s="93"/>
      <c r="V85" s="93"/>
      <c r="W85" s="93"/>
      <c r="X85" s="93"/>
      <c r="Y85" s="93"/>
      <c r="Z85" s="93"/>
      <c r="AA85" s="93"/>
      <c r="AB85" s="93">
        <v>5</v>
      </c>
      <c r="AC85" s="93"/>
      <c r="AD85" s="93"/>
      <c r="AE85" s="93"/>
      <c r="AF85" s="93"/>
      <c r="AG85" s="93"/>
      <c r="AH85" s="93"/>
      <c r="AI85" s="93"/>
      <c r="AJ85" s="93"/>
      <c r="AK85" s="93"/>
      <c r="AL85" s="93">
        <v>15</v>
      </c>
      <c r="AM85" s="93"/>
      <c r="AN85" s="93"/>
      <c r="AO85" s="93"/>
      <c r="AP85" s="93"/>
      <c r="AQ85" s="92">
        <v>45367</v>
      </c>
      <c r="AR85" s="93"/>
      <c r="AS85" s="95">
        <v>137.5</v>
      </c>
      <c r="AT85" s="93"/>
    </row>
    <row r="86" spans="1:46" ht="15.75" x14ac:dyDescent="0.25">
      <c r="A86" s="91" t="s">
        <v>397</v>
      </c>
      <c r="B86" s="92">
        <v>45367</v>
      </c>
      <c r="C86" s="93">
        <v>55</v>
      </c>
      <c r="D86" s="94">
        <v>137.5</v>
      </c>
      <c r="E86" s="93"/>
      <c r="F86" s="93"/>
      <c r="G86" s="93"/>
      <c r="H86" s="93"/>
      <c r="I86" s="93"/>
      <c r="J86" s="93"/>
      <c r="K86" s="93"/>
      <c r="L86" s="93"/>
      <c r="M86" s="93"/>
      <c r="N86" s="93">
        <v>15</v>
      </c>
      <c r="O86" s="93"/>
      <c r="P86" s="93">
        <v>5</v>
      </c>
      <c r="Q86" s="93">
        <v>5</v>
      </c>
      <c r="R86" s="93"/>
      <c r="S86" s="93"/>
      <c r="T86" s="93">
        <v>10</v>
      </c>
      <c r="U86" s="93"/>
      <c r="V86" s="93"/>
      <c r="W86" s="93"/>
      <c r="X86" s="93"/>
      <c r="Y86" s="93"/>
      <c r="Z86" s="93"/>
      <c r="AA86" s="93"/>
      <c r="AB86" s="93">
        <v>5</v>
      </c>
      <c r="AC86" s="93"/>
      <c r="AD86" s="93"/>
      <c r="AE86" s="93"/>
      <c r="AF86" s="93"/>
      <c r="AG86" s="93"/>
      <c r="AH86" s="93"/>
      <c r="AI86" s="93"/>
      <c r="AJ86" s="93"/>
      <c r="AK86" s="93"/>
      <c r="AL86" s="93">
        <v>15</v>
      </c>
      <c r="AM86" s="93"/>
      <c r="AN86" s="93"/>
      <c r="AO86" s="93"/>
      <c r="AP86" s="93"/>
      <c r="AQ86" s="92">
        <v>45367</v>
      </c>
      <c r="AR86" s="93"/>
      <c r="AS86" s="95">
        <v>137.5</v>
      </c>
      <c r="AT86" s="93"/>
    </row>
    <row r="87" spans="1:46" ht="15.75" x14ac:dyDescent="0.25">
      <c r="A87" s="91" t="s">
        <v>220</v>
      </c>
      <c r="B87" s="92">
        <v>45365</v>
      </c>
      <c r="C87" s="93">
        <v>85</v>
      </c>
      <c r="D87" s="94">
        <v>212.5</v>
      </c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>
        <v>20</v>
      </c>
      <c r="AC87" s="93"/>
      <c r="AD87" s="93"/>
      <c r="AE87" s="93"/>
      <c r="AF87" s="93"/>
      <c r="AG87" s="93">
        <v>20</v>
      </c>
      <c r="AH87" s="93">
        <v>10</v>
      </c>
      <c r="AI87" s="93">
        <v>15</v>
      </c>
      <c r="AJ87" s="93"/>
      <c r="AK87" s="93"/>
      <c r="AL87" s="93">
        <v>20</v>
      </c>
      <c r="AM87" s="93"/>
      <c r="AN87" s="93"/>
      <c r="AO87" s="93"/>
      <c r="AP87" s="93"/>
      <c r="AQ87" s="92">
        <v>45371</v>
      </c>
      <c r="AR87" s="93"/>
      <c r="AS87" s="95">
        <v>212.5</v>
      </c>
      <c r="AT87" s="93"/>
    </row>
    <row r="88" spans="1:46" ht="15.75" x14ac:dyDescent="0.25">
      <c r="A88" s="91" t="s">
        <v>237</v>
      </c>
      <c r="B88" s="92">
        <v>45372</v>
      </c>
      <c r="C88" s="93">
        <v>80</v>
      </c>
      <c r="D88" s="94">
        <v>200</v>
      </c>
      <c r="E88" s="93"/>
      <c r="F88" s="93"/>
      <c r="G88" s="93"/>
      <c r="H88" s="93"/>
      <c r="I88" s="93"/>
      <c r="J88" s="93"/>
      <c r="K88" s="93"/>
      <c r="L88" s="93"/>
      <c r="M88" s="93"/>
      <c r="N88" s="93">
        <v>20</v>
      </c>
      <c r="O88" s="93"/>
      <c r="P88" s="93">
        <v>5</v>
      </c>
      <c r="Q88" s="93">
        <v>5</v>
      </c>
      <c r="R88" s="93"/>
      <c r="S88" s="93">
        <v>5</v>
      </c>
      <c r="T88" s="93">
        <v>5</v>
      </c>
      <c r="U88" s="93"/>
      <c r="V88" s="93"/>
      <c r="W88" s="93"/>
      <c r="X88" s="93"/>
      <c r="Y88" s="93">
        <v>5</v>
      </c>
      <c r="Z88" s="93"/>
      <c r="AA88" s="93"/>
      <c r="AB88" s="93">
        <v>5</v>
      </c>
      <c r="AC88" s="93"/>
      <c r="AD88" s="93">
        <v>5</v>
      </c>
      <c r="AE88" s="93">
        <v>5</v>
      </c>
      <c r="AF88" s="93"/>
      <c r="AG88" s="93">
        <v>5</v>
      </c>
      <c r="AH88" s="93">
        <v>5</v>
      </c>
      <c r="AI88" s="93"/>
      <c r="AJ88" s="93"/>
      <c r="AK88" s="93">
        <v>5</v>
      </c>
      <c r="AL88" s="93">
        <v>5</v>
      </c>
      <c r="AM88" s="93"/>
      <c r="AN88" s="93"/>
      <c r="AO88" s="93"/>
      <c r="AP88" s="93"/>
      <c r="AQ88" s="92">
        <v>45372</v>
      </c>
      <c r="AR88" s="93"/>
      <c r="AS88" s="95">
        <v>200</v>
      </c>
      <c r="AT88" s="93"/>
    </row>
    <row r="89" spans="1:46" ht="15.75" x14ac:dyDescent="0.25">
      <c r="A89" s="91" t="s">
        <v>407</v>
      </c>
      <c r="B89" s="92">
        <v>45372</v>
      </c>
      <c r="C89" s="93">
        <v>122</v>
      </c>
      <c r="D89" s="94">
        <v>305</v>
      </c>
      <c r="E89" s="93"/>
      <c r="F89" s="93"/>
      <c r="G89" s="93"/>
      <c r="H89" s="93"/>
      <c r="I89" s="93"/>
      <c r="J89" s="93">
        <v>40</v>
      </c>
      <c r="K89" s="93">
        <v>30</v>
      </c>
      <c r="L89" s="93">
        <v>20</v>
      </c>
      <c r="M89" s="93">
        <v>20</v>
      </c>
      <c r="N89" s="93">
        <v>30</v>
      </c>
      <c r="O89" s="93"/>
      <c r="P89" s="93"/>
      <c r="Q89" s="93">
        <v>5</v>
      </c>
      <c r="R89" s="93"/>
      <c r="S89" s="93">
        <v>5</v>
      </c>
      <c r="T89" s="93">
        <v>5</v>
      </c>
      <c r="U89" s="93"/>
      <c r="V89" s="93"/>
      <c r="W89" s="93"/>
      <c r="X89" s="93"/>
      <c r="Y89" s="93">
        <v>5</v>
      </c>
      <c r="Z89" s="93"/>
      <c r="AA89" s="93"/>
      <c r="AB89" s="93">
        <v>15</v>
      </c>
      <c r="AC89" s="93"/>
      <c r="AD89" s="93">
        <v>5</v>
      </c>
      <c r="AE89" s="93">
        <v>5</v>
      </c>
      <c r="AF89" s="93"/>
      <c r="AG89" s="93">
        <v>10</v>
      </c>
      <c r="AH89" s="93"/>
      <c r="AI89" s="93"/>
      <c r="AJ89" s="93"/>
      <c r="AK89" s="93"/>
      <c r="AL89" s="93">
        <v>15</v>
      </c>
      <c r="AM89" s="93"/>
      <c r="AN89" s="93"/>
      <c r="AO89" s="93"/>
      <c r="AP89" s="93"/>
      <c r="AQ89" s="92">
        <v>45372</v>
      </c>
      <c r="AR89" s="93"/>
      <c r="AS89" s="95">
        <v>305</v>
      </c>
      <c r="AT89" s="93"/>
    </row>
    <row r="90" spans="1:46" ht="15.75" x14ac:dyDescent="0.25">
      <c r="A90" s="91" t="s">
        <v>88</v>
      </c>
      <c r="B90" s="92">
        <v>45372</v>
      </c>
      <c r="C90" s="93">
        <v>100</v>
      </c>
      <c r="D90" s="94">
        <v>250</v>
      </c>
      <c r="E90" s="93"/>
      <c r="F90" s="93">
        <v>10</v>
      </c>
      <c r="G90" s="93"/>
      <c r="H90" s="93"/>
      <c r="I90" s="93"/>
      <c r="J90" s="93"/>
      <c r="K90" s="93"/>
      <c r="L90" s="93"/>
      <c r="M90" s="93"/>
      <c r="N90" s="93">
        <v>15</v>
      </c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>
        <v>15</v>
      </c>
      <c r="AC90" s="93">
        <v>10</v>
      </c>
      <c r="AD90" s="93">
        <v>10</v>
      </c>
      <c r="AE90" s="93">
        <v>10</v>
      </c>
      <c r="AF90" s="93"/>
      <c r="AG90" s="93">
        <v>10</v>
      </c>
      <c r="AH90" s="93"/>
      <c r="AI90" s="93"/>
      <c r="AJ90" s="93"/>
      <c r="AK90" s="93">
        <v>5</v>
      </c>
      <c r="AL90" s="93">
        <v>15</v>
      </c>
      <c r="AM90" s="93"/>
      <c r="AN90" s="93"/>
      <c r="AO90" s="93"/>
      <c r="AP90" s="93"/>
      <c r="AQ90" s="92">
        <v>45372</v>
      </c>
      <c r="AR90" s="93"/>
      <c r="AS90" s="95">
        <v>250</v>
      </c>
      <c r="AT90" s="93"/>
    </row>
    <row r="91" spans="1:46" ht="15.75" x14ac:dyDescent="0.25">
      <c r="A91" s="91" t="s">
        <v>407</v>
      </c>
      <c r="B91" s="92">
        <v>45373</v>
      </c>
      <c r="C91" s="93">
        <v>51</v>
      </c>
      <c r="D91" s="94">
        <v>127.5</v>
      </c>
      <c r="E91" s="93">
        <v>5</v>
      </c>
      <c r="F91" s="93"/>
      <c r="G91" s="93"/>
      <c r="H91" s="93"/>
      <c r="I91" s="93"/>
      <c r="J91" s="93"/>
      <c r="K91" s="93">
        <v>30</v>
      </c>
      <c r="L91" s="93"/>
      <c r="M91" s="93"/>
      <c r="N91" s="93"/>
      <c r="O91" s="93"/>
      <c r="P91" s="93">
        <v>5</v>
      </c>
      <c r="Q91" s="93">
        <v>5</v>
      </c>
      <c r="R91" s="93"/>
      <c r="S91" s="93">
        <v>5</v>
      </c>
      <c r="T91" s="93">
        <v>5</v>
      </c>
      <c r="U91" s="93"/>
      <c r="V91" s="93"/>
      <c r="W91" s="93"/>
      <c r="X91" s="93"/>
      <c r="Y91" s="93">
        <v>5</v>
      </c>
      <c r="Z91" s="93"/>
      <c r="AA91" s="93"/>
      <c r="AB91" s="93"/>
      <c r="AC91" s="93">
        <v>5</v>
      </c>
      <c r="AD91" s="93"/>
      <c r="AE91" s="93"/>
      <c r="AF91" s="93"/>
      <c r="AG91" s="93">
        <v>5</v>
      </c>
      <c r="AH91" s="93"/>
      <c r="AI91" s="93"/>
      <c r="AJ91" s="93"/>
      <c r="AK91" s="93"/>
      <c r="AL91" s="93"/>
      <c r="AM91" s="93">
        <v>5</v>
      </c>
      <c r="AN91" s="93"/>
      <c r="AO91" s="93"/>
      <c r="AP91" s="93"/>
      <c r="AQ91" s="92">
        <v>45373</v>
      </c>
      <c r="AR91" s="93"/>
      <c r="AS91" s="95">
        <v>127.5</v>
      </c>
      <c r="AT91" s="93"/>
    </row>
    <row r="92" spans="1:46" ht="15.75" x14ac:dyDescent="0.25">
      <c r="A92" s="91" t="s">
        <v>94</v>
      </c>
      <c r="B92" s="92">
        <v>45373</v>
      </c>
      <c r="C92" s="93">
        <v>43</v>
      </c>
      <c r="D92" s="94">
        <v>25</v>
      </c>
      <c r="E92" s="93"/>
      <c r="F92" s="93"/>
      <c r="G92" s="93"/>
      <c r="H92" s="93"/>
      <c r="I92" s="93"/>
      <c r="J92" s="93"/>
      <c r="K92" s="93"/>
      <c r="L92" s="93"/>
      <c r="M92" s="93"/>
      <c r="N92" s="93">
        <v>5</v>
      </c>
      <c r="O92" s="93">
        <v>5</v>
      </c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  <c r="AM92" s="93"/>
      <c r="AN92" s="93"/>
      <c r="AO92" s="93"/>
      <c r="AP92" s="93"/>
      <c r="AQ92" s="92">
        <v>45373</v>
      </c>
      <c r="AR92" s="93"/>
      <c r="AS92" s="95">
        <v>25</v>
      </c>
      <c r="AT92" s="93"/>
    </row>
    <row r="93" spans="1:46" ht="15.75" x14ac:dyDescent="0.25">
      <c r="A93" s="91" t="s">
        <v>57</v>
      </c>
      <c r="B93" s="92">
        <v>45373</v>
      </c>
      <c r="C93" s="93">
        <v>75</v>
      </c>
      <c r="D93" s="94">
        <v>187.5</v>
      </c>
      <c r="E93" s="93"/>
      <c r="F93" s="93"/>
      <c r="G93" s="93"/>
      <c r="H93" s="93"/>
      <c r="I93" s="93"/>
      <c r="J93" s="93"/>
      <c r="K93" s="93"/>
      <c r="L93" s="93"/>
      <c r="M93" s="93"/>
      <c r="N93" s="93">
        <v>30</v>
      </c>
      <c r="O93" s="93"/>
      <c r="P93" s="93"/>
      <c r="Q93" s="93">
        <v>5</v>
      </c>
      <c r="R93" s="93"/>
      <c r="S93" s="93">
        <v>10</v>
      </c>
      <c r="T93" s="93"/>
      <c r="U93" s="93"/>
      <c r="V93" s="93"/>
      <c r="W93" s="93"/>
      <c r="X93" s="93"/>
      <c r="Y93" s="93"/>
      <c r="Z93" s="93"/>
      <c r="AA93" s="93"/>
      <c r="AB93" s="93">
        <v>10</v>
      </c>
      <c r="AC93" s="93"/>
      <c r="AD93" s="93"/>
      <c r="AE93" s="93"/>
      <c r="AF93" s="93">
        <v>10</v>
      </c>
      <c r="AG93" s="93">
        <v>10</v>
      </c>
      <c r="AH93" s="93"/>
      <c r="AI93" s="93"/>
      <c r="AJ93" s="93"/>
      <c r="AK93" s="93"/>
      <c r="AL93" s="93"/>
      <c r="AM93" s="93"/>
      <c r="AN93" s="93"/>
      <c r="AO93" s="93"/>
      <c r="AP93" s="93"/>
      <c r="AQ93" s="92">
        <v>45373</v>
      </c>
      <c r="AR93" s="93"/>
      <c r="AS93" s="95">
        <v>187.5</v>
      </c>
      <c r="AT93" s="93"/>
    </row>
    <row r="94" spans="1:46" ht="15.75" x14ac:dyDescent="0.25">
      <c r="A94" s="91" t="s">
        <v>113</v>
      </c>
      <c r="B94" s="92">
        <v>45373</v>
      </c>
      <c r="C94" s="93">
        <v>175</v>
      </c>
      <c r="D94" s="94">
        <v>437.5</v>
      </c>
      <c r="E94" s="93"/>
      <c r="F94" s="93"/>
      <c r="G94" s="93"/>
      <c r="H94" s="93"/>
      <c r="I94" s="93"/>
      <c r="J94" s="93"/>
      <c r="K94" s="93"/>
      <c r="L94" s="93"/>
      <c r="M94" s="93"/>
      <c r="N94" s="93">
        <v>30</v>
      </c>
      <c r="O94" s="93">
        <v>20</v>
      </c>
      <c r="P94" s="93">
        <v>10</v>
      </c>
      <c r="Q94" s="93">
        <v>10</v>
      </c>
      <c r="R94" s="93">
        <v>10</v>
      </c>
      <c r="S94" s="93">
        <v>10</v>
      </c>
      <c r="T94" s="93"/>
      <c r="U94" s="93"/>
      <c r="V94" s="93"/>
      <c r="W94" s="93"/>
      <c r="X94" s="93">
        <v>5</v>
      </c>
      <c r="Y94" s="93">
        <v>5</v>
      </c>
      <c r="Z94" s="93"/>
      <c r="AA94" s="93">
        <v>5</v>
      </c>
      <c r="AB94" s="93">
        <v>10</v>
      </c>
      <c r="AC94" s="93">
        <v>5</v>
      </c>
      <c r="AD94" s="93">
        <v>5</v>
      </c>
      <c r="AE94" s="93"/>
      <c r="AF94" s="93"/>
      <c r="AG94" s="93">
        <v>10</v>
      </c>
      <c r="AH94" s="93">
        <v>5</v>
      </c>
      <c r="AI94" s="93"/>
      <c r="AJ94" s="93">
        <v>5</v>
      </c>
      <c r="AK94" s="93"/>
      <c r="AL94" s="93">
        <v>15</v>
      </c>
      <c r="AM94" s="93">
        <v>10</v>
      </c>
      <c r="AN94" s="93">
        <v>5</v>
      </c>
      <c r="AO94" s="93"/>
      <c r="AP94" s="93"/>
      <c r="AQ94" s="92">
        <v>45373</v>
      </c>
      <c r="AR94" s="93"/>
      <c r="AS94" s="95">
        <v>437.5</v>
      </c>
      <c r="AT94" s="93"/>
    </row>
    <row r="95" spans="1:46" ht="15.75" x14ac:dyDescent="0.25">
      <c r="A95" s="91" t="s">
        <v>427</v>
      </c>
      <c r="B95" s="92">
        <v>45373</v>
      </c>
      <c r="C95" s="93">
        <v>110</v>
      </c>
      <c r="D95" s="94">
        <v>275</v>
      </c>
      <c r="E95" s="93"/>
      <c r="F95" s="93"/>
      <c r="G95" s="93"/>
      <c r="H95" s="93"/>
      <c r="I95" s="93"/>
      <c r="J95" s="93"/>
      <c r="K95" s="93"/>
      <c r="L95" s="93"/>
      <c r="M95" s="93"/>
      <c r="N95" s="93">
        <v>20</v>
      </c>
      <c r="O95" s="93"/>
      <c r="P95" s="93"/>
      <c r="Q95" s="93"/>
      <c r="R95" s="93"/>
      <c r="S95" s="93">
        <v>5</v>
      </c>
      <c r="T95" s="93">
        <v>5</v>
      </c>
      <c r="U95" s="93"/>
      <c r="V95" s="93"/>
      <c r="W95" s="93"/>
      <c r="X95" s="93"/>
      <c r="Y95" s="93">
        <v>10</v>
      </c>
      <c r="Z95" s="93"/>
      <c r="AA95" s="93"/>
      <c r="AB95" s="93">
        <v>10</v>
      </c>
      <c r="AC95" s="93"/>
      <c r="AD95" s="93">
        <v>10</v>
      </c>
      <c r="AE95" s="93">
        <v>10</v>
      </c>
      <c r="AF95" s="93"/>
      <c r="AG95" s="93">
        <v>10</v>
      </c>
      <c r="AH95" s="93">
        <v>10</v>
      </c>
      <c r="AI95" s="93"/>
      <c r="AJ95" s="93"/>
      <c r="AK95" s="93">
        <v>10</v>
      </c>
      <c r="AL95" s="93">
        <v>10</v>
      </c>
      <c r="AM95" s="93"/>
      <c r="AN95" s="93"/>
      <c r="AO95" s="93"/>
      <c r="AP95" s="93"/>
      <c r="AQ95" s="92">
        <v>45373</v>
      </c>
      <c r="AR95" s="93"/>
      <c r="AS95" s="95">
        <v>275</v>
      </c>
      <c r="AT95" s="93" t="s">
        <v>462</v>
      </c>
    </row>
    <row r="96" spans="1:46" ht="15.75" x14ac:dyDescent="0.25">
      <c r="A96" s="91" t="s">
        <v>88</v>
      </c>
      <c r="B96" s="92">
        <v>45373</v>
      </c>
      <c r="C96" s="93">
        <v>2</v>
      </c>
      <c r="D96" s="94">
        <v>5</v>
      </c>
      <c r="E96" s="93"/>
      <c r="F96" s="93">
        <v>2</v>
      </c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93"/>
      <c r="AG96" s="93"/>
      <c r="AH96" s="93"/>
      <c r="AI96" s="93"/>
      <c r="AJ96" s="93"/>
      <c r="AK96" s="93"/>
      <c r="AL96" s="93"/>
      <c r="AM96" s="93"/>
      <c r="AN96" s="93"/>
      <c r="AO96" s="93"/>
      <c r="AP96" s="93"/>
      <c r="AQ96" s="92">
        <v>45373</v>
      </c>
      <c r="AR96" s="93"/>
      <c r="AS96" s="95">
        <v>5</v>
      </c>
      <c r="AT96" s="93"/>
    </row>
    <row r="97" spans="1:46" ht="15.75" x14ac:dyDescent="0.25">
      <c r="A97" s="91" t="s">
        <v>237</v>
      </c>
      <c r="B97" s="92">
        <v>45373</v>
      </c>
      <c r="C97" s="93">
        <v>65</v>
      </c>
      <c r="D97" s="94">
        <v>162.5</v>
      </c>
      <c r="E97" s="93"/>
      <c r="F97" s="93"/>
      <c r="G97" s="93"/>
      <c r="H97" s="93"/>
      <c r="I97" s="93"/>
      <c r="J97" s="93"/>
      <c r="K97" s="93"/>
      <c r="L97" s="93"/>
      <c r="M97" s="93"/>
      <c r="N97" s="93">
        <v>15</v>
      </c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>
        <v>5</v>
      </c>
      <c r="AA97" s="93"/>
      <c r="AB97" s="93">
        <v>10</v>
      </c>
      <c r="AC97" s="93"/>
      <c r="AD97" s="93">
        <v>5</v>
      </c>
      <c r="AE97" s="93">
        <v>10</v>
      </c>
      <c r="AF97" s="93">
        <v>5</v>
      </c>
      <c r="AG97" s="93">
        <v>10</v>
      </c>
      <c r="AH97" s="93"/>
      <c r="AI97" s="93"/>
      <c r="AJ97" s="93"/>
      <c r="AK97" s="93"/>
      <c r="AL97" s="93">
        <v>5</v>
      </c>
      <c r="AM97" s="93"/>
      <c r="AN97" s="93"/>
      <c r="AO97" s="93"/>
      <c r="AP97" s="93"/>
      <c r="AQ97" s="92">
        <v>45373</v>
      </c>
      <c r="AR97" s="93"/>
      <c r="AS97" s="95">
        <v>162.5</v>
      </c>
      <c r="AT97" s="93"/>
    </row>
    <row r="98" spans="1:46" ht="15.75" x14ac:dyDescent="0.25">
      <c r="A98" s="91" t="s">
        <v>237</v>
      </c>
      <c r="B98" s="92">
        <v>45373</v>
      </c>
      <c r="C98" s="93">
        <v>65</v>
      </c>
      <c r="D98" s="94">
        <v>162.5</v>
      </c>
      <c r="E98" s="93"/>
      <c r="F98" s="93"/>
      <c r="G98" s="93"/>
      <c r="H98" s="93"/>
      <c r="I98" s="93"/>
      <c r="J98" s="93"/>
      <c r="K98" s="93"/>
      <c r="L98" s="93"/>
      <c r="M98" s="93"/>
      <c r="N98" s="93">
        <v>15</v>
      </c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>
        <v>5</v>
      </c>
      <c r="AA98" s="93"/>
      <c r="AB98" s="93">
        <v>10</v>
      </c>
      <c r="AC98" s="93"/>
      <c r="AD98" s="93">
        <v>5</v>
      </c>
      <c r="AE98" s="93">
        <v>10</v>
      </c>
      <c r="AF98" s="93">
        <v>5</v>
      </c>
      <c r="AG98" s="93">
        <v>10</v>
      </c>
      <c r="AH98" s="93"/>
      <c r="AI98" s="93"/>
      <c r="AJ98" s="93"/>
      <c r="AK98" s="93"/>
      <c r="AL98" s="93">
        <v>5</v>
      </c>
      <c r="AM98" s="93"/>
      <c r="AN98" s="93"/>
      <c r="AO98" s="93"/>
      <c r="AP98" s="93"/>
      <c r="AQ98" s="92">
        <v>45373</v>
      </c>
      <c r="AR98" s="93"/>
      <c r="AS98" s="95">
        <v>162.5</v>
      </c>
      <c r="AT98" s="93"/>
    </row>
    <row r="99" spans="1:46" ht="15.75" x14ac:dyDescent="0.25">
      <c r="A99" s="91" t="s">
        <v>237</v>
      </c>
      <c r="B99" s="92">
        <v>45373</v>
      </c>
      <c r="C99" s="93">
        <v>65</v>
      </c>
      <c r="D99" s="94">
        <v>162.5</v>
      </c>
      <c r="E99" s="93"/>
      <c r="F99" s="93"/>
      <c r="G99" s="93"/>
      <c r="H99" s="93"/>
      <c r="I99" s="93"/>
      <c r="J99" s="93"/>
      <c r="K99" s="93"/>
      <c r="L99" s="93"/>
      <c r="M99" s="93"/>
      <c r="N99" s="93">
        <v>15</v>
      </c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>
        <v>5</v>
      </c>
      <c r="AA99" s="93"/>
      <c r="AB99" s="93">
        <v>10</v>
      </c>
      <c r="AC99" s="93"/>
      <c r="AD99" s="93">
        <v>5</v>
      </c>
      <c r="AE99" s="93">
        <v>10</v>
      </c>
      <c r="AF99" s="93">
        <v>5</v>
      </c>
      <c r="AG99" s="93">
        <v>10</v>
      </c>
      <c r="AH99" s="93"/>
      <c r="AI99" s="93"/>
      <c r="AJ99" s="93"/>
      <c r="AK99" s="93"/>
      <c r="AL99" s="93">
        <v>5</v>
      </c>
      <c r="AM99" s="93"/>
      <c r="AN99" s="93"/>
      <c r="AO99" s="93"/>
      <c r="AP99" s="93"/>
      <c r="AQ99" s="92">
        <v>45373</v>
      </c>
      <c r="AR99" s="93"/>
      <c r="AS99" s="95">
        <v>162.5</v>
      </c>
      <c r="AT99" s="93"/>
    </row>
    <row r="100" spans="1:46" ht="15.75" x14ac:dyDescent="0.25">
      <c r="A100" s="91" t="s">
        <v>427</v>
      </c>
      <c r="B100" s="92">
        <v>45374</v>
      </c>
      <c r="C100" s="93">
        <v>65</v>
      </c>
      <c r="D100" s="94">
        <v>162.5</v>
      </c>
      <c r="E100" s="93"/>
      <c r="F100" s="93"/>
      <c r="G100" s="93"/>
      <c r="H100" s="93"/>
      <c r="I100" s="93"/>
      <c r="J100" s="93"/>
      <c r="K100" s="93"/>
      <c r="L100" s="93"/>
      <c r="M100" s="93"/>
      <c r="N100" s="93">
        <v>20</v>
      </c>
      <c r="O100" s="93"/>
      <c r="P100" s="93"/>
      <c r="Q100" s="93"/>
      <c r="R100" s="93"/>
      <c r="S100" s="93">
        <v>5</v>
      </c>
      <c r="T100" s="93"/>
      <c r="U100" s="93"/>
      <c r="V100" s="93"/>
      <c r="W100" s="93"/>
      <c r="X100" s="93"/>
      <c r="Y100" s="93"/>
      <c r="Z100" s="93">
        <v>10</v>
      </c>
      <c r="AA100" s="93"/>
      <c r="AB100" s="93">
        <v>10</v>
      </c>
      <c r="AC100" s="93"/>
      <c r="AD100" s="93">
        <v>5</v>
      </c>
      <c r="AE100" s="93">
        <v>5</v>
      </c>
      <c r="AF100" s="93"/>
      <c r="AG100" s="93">
        <v>5</v>
      </c>
      <c r="AH100" s="93"/>
      <c r="AI100" s="93"/>
      <c r="AJ100" s="93"/>
      <c r="AK100" s="93"/>
      <c r="AL100" s="93">
        <v>5</v>
      </c>
      <c r="AM100" s="93"/>
      <c r="AN100" s="93"/>
      <c r="AO100" s="93"/>
      <c r="AP100" s="93"/>
      <c r="AQ100" s="92">
        <v>45374</v>
      </c>
      <c r="AR100" s="93"/>
      <c r="AS100" s="95">
        <v>162.5</v>
      </c>
      <c r="AT100" s="93"/>
    </row>
    <row r="101" spans="1:46" ht="15.75" x14ac:dyDescent="0.25">
      <c r="A101" s="91" t="s">
        <v>381</v>
      </c>
      <c r="B101" s="92">
        <v>45371</v>
      </c>
      <c r="C101" s="93">
        <v>95</v>
      </c>
      <c r="D101" s="94">
        <v>237.5</v>
      </c>
      <c r="E101" s="93"/>
      <c r="F101" s="93"/>
      <c r="G101" s="93"/>
      <c r="H101" s="93"/>
      <c r="I101" s="93"/>
      <c r="J101" s="93"/>
      <c r="K101" s="93"/>
      <c r="L101" s="93"/>
      <c r="M101" s="93"/>
      <c r="N101" s="93">
        <v>10</v>
      </c>
      <c r="O101" s="93">
        <v>10</v>
      </c>
      <c r="P101" s="93"/>
      <c r="Q101" s="93"/>
      <c r="R101" s="93"/>
      <c r="S101" s="93"/>
      <c r="T101" s="93">
        <v>20</v>
      </c>
      <c r="U101" s="93"/>
      <c r="V101" s="93"/>
      <c r="W101" s="93"/>
      <c r="X101" s="93"/>
      <c r="Y101" s="93"/>
      <c r="Z101" s="93"/>
      <c r="AA101" s="93"/>
      <c r="AB101" s="93">
        <v>15</v>
      </c>
      <c r="AC101" s="93"/>
      <c r="AD101" s="93">
        <v>15</v>
      </c>
      <c r="AE101" s="93">
        <v>15</v>
      </c>
      <c r="AF101" s="93"/>
      <c r="AG101" s="93">
        <v>5</v>
      </c>
      <c r="AH101" s="93">
        <v>5</v>
      </c>
      <c r="AI101" s="93"/>
      <c r="AJ101" s="93"/>
      <c r="AK101" s="93"/>
      <c r="AL101" s="93"/>
      <c r="AM101" s="93"/>
      <c r="AN101" s="93"/>
      <c r="AO101" s="93"/>
      <c r="AP101" s="93"/>
      <c r="AQ101" s="92">
        <v>45374</v>
      </c>
      <c r="AR101" s="93"/>
      <c r="AS101" s="95">
        <v>237.5</v>
      </c>
      <c r="AT101" s="93"/>
    </row>
    <row r="102" spans="1:46" ht="15.75" x14ac:dyDescent="0.25">
      <c r="A102" s="91" t="s">
        <v>407</v>
      </c>
      <c r="B102" s="92">
        <v>45374</v>
      </c>
      <c r="C102" s="93">
        <v>92</v>
      </c>
      <c r="D102" s="94">
        <v>230</v>
      </c>
      <c r="E102" s="93"/>
      <c r="F102" s="93"/>
      <c r="G102" s="93"/>
      <c r="H102" s="93"/>
      <c r="I102" s="93"/>
      <c r="J102" s="93">
        <v>60</v>
      </c>
      <c r="K102" s="93"/>
      <c r="L102" s="93"/>
      <c r="M102" s="93"/>
      <c r="N102" s="93">
        <v>25</v>
      </c>
      <c r="O102" s="93"/>
      <c r="P102" s="93"/>
      <c r="Q102" s="93">
        <v>5</v>
      </c>
      <c r="R102" s="93"/>
      <c r="S102" s="93">
        <v>5</v>
      </c>
      <c r="T102" s="93"/>
      <c r="U102" s="93">
        <v>5</v>
      </c>
      <c r="V102" s="93"/>
      <c r="W102" s="93"/>
      <c r="X102" s="93"/>
      <c r="Y102" s="93"/>
      <c r="Z102" s="93"/>
      <c r="AA102" s="93">
        <v>5</v>
      </c>
      <c r="AB102" s="93">
        <v>10</v>
      </c>
      <c r="AC102" s="93"/>
      <c r="AD102" s="93">
        <v>5</v>
      </c>
      <c r="AE102" s="93">
        <v>5</v>
      </c>
      <c r="AF102" s="93"/>
      <c r="AG102" s="93"/>
      <c r="AH102" s="93"/>
      <c r="AI102" s="93"/>
      <c r="AJ102" s="93"/>
      <c r="AK102" s="93"/>
      <c r="AL102" s="93">
        <v>15</v>
      </c>
      <c r="AM102" s="93"/>
      <c r="AN102" s="93"/>
      <c r="AO102" s="93"/>
      <c r="AP102" s="93"/>
      <c r="AQ102" s="92">
        <v>45374</v>
      </c>
      <c r="AR102" s="93"/>
      <c r="AS102" s="95">
        <v>230</v>
      </c>
      <c r="AT102" s="93"/>
    </row>
    <row r="103" spans="1:46" ht="15.75" x14ac:dyDescent="0.25">
      <c r="A103" s="91" t="s">
        <v>237</v>
      </c>
      <c r="B103" s="92">
        <v>45375</v>
      </c>
      <c r="C103" s="93">
        <v>80</v>
      </c>
      <c r="D103" s="94">
        <v>220</v>
      </c>
      <c r="E103" s="93"/>
      <c r="F103" s="93"/>
      <c r="G103" s="93"/>
      <c r="H103" s="93"/>
      <c r="I103" s="93"/>
      <c r="J103" s="93"/>
      <c r="K103" s="93"/>
      <c r="L103" s="93"/>
      <c r="M103" s="93"/>
      <c r="N103" s="93">
        <v>15</v>
      </c>
      <c r="O103" s="93"/>
      <c r="P103" s="93">
        <v>5</v>
      </c>
      <c r="Q103" s="93">
        <v>5</v>
      </c>
      <c r="R103" s="93"/>
      <c r="S103" s="93">
        <v>5</v>
      </c>
      <c r="T103" s="93">
        <v>5</v>
      </c>
      <c r="U103" s="93"/>
      <c r="V103" s="93"/>
      <c r="W103" s="93"/>
      <c r="X103" s="93"/>
      <c r="Y103" s="93">
        <v>5</v>
      </c>
      <c r="Z103" s="93">
        <v>5</v>
      </c>
      <c r="AA103" s="93"/>
      <c r="AB103" s="93">
        <v>5</v>
      </c>
      <c r="AC103" s="93"/>
      <c r="AD103" s="93">
        <v>5</v>
      </c>
      <c r="AE103" s="93">
        <v>5</v>
      </c>
      <c r="AF103" s="93"/>
      <c r="AG103" s="93">
        <v>5</v>
      </c>
      <c r="AH103" s="93">
        <v>5</v>
      </c>
      <c r="AI103" s="93"/>
      <c r="AJ103" s="93"/>
      <c r="AK103" s="93">
        <v>5</v>
      </c>
      <c r="AL103" s="93">
        <v>5</v>
      </c>
      <c r="AM103" s="93"/>
      <c r="AN103" s="93"/>
      <c r="AO103" s="93"/>
      <c r="AP103" s="93"/>
      <c r="AQ103" s="170">
        <v>45375</v>
      </c>
      <c r="AR103" s="93"/>
      <c r="AS103" s="95">
        <v>220</v>
      </c>
      <c r="AT103" s="93"/>
    </row>
    <row r="104" spans="1:46" ht="15.75" x14ac:dyDescent="0.25">
      <c r="A104" s="91" t="s">
        <v>237</v>
      </c>
      <c r="B104" s="92">
        <v>45375</v>
      </c>
      <c r="C104" s="93">
        <v>80</v>
      </c>
      <c r="D104" s="94">
        <v>220</v>
      </c>
      <c r="E104" s="93"/>
      <c r="F104" s="93"/>
      <c r="G104" s="93"/>
      <c r="H104" s="93"/>
      <c r="I104" s="93"/>
      <c r="J104" s="93"/>
      <c r="K104" s="93"/>
      <c r="L104" s="93"/>
      <c r="M104" s="93"/>
      <c r="N104" s="93">
        <v>15</v>
      </c>
      <c r="O104" s="93"/>
      <c r="P104" s="93">
        <v>5</v>
      </c>
      <c r="Q104" s="93">
        <v>5</v>
      </c>
      <c r="R104" s="93"/>
      <c r="S104" s="93">
        <v>5</v>
      </c>
      <c r="T104" s="93">
        <v>5</v>
      </c>
      <c r="U104" s="93"/>
      <c r="V104" s="93"/>
      <c r="W104" s="93"/>
      <c r="X104" s="93"/>
      <c r="Y104" s="93">
        <v>5</v>
      </c>
      <c r="Z104" s="93">
        <v>5</v>
      </c>
      <c r="AA104" s="93"/>
      <c r="AB104" s="93">
        <v>5</v>
      </c>
      <c r="AC104" s="93"/>
      <c r="AD104" s="93">
        <v>5</v>
      </c>
      <c r="AE104" s="93">
        <v>5</v>
      </c>
      <c r="AF104" s="93"/>
      <c r="AG104" s="93">
        <v>5</v>
      </c>
      <c r="AH104" s="93">
        <v>5</v>
      </c>
      <c r="AI104" s="93"/>
      <c r="AJ104" s="93"/>
      <c r="AK104" s="93">
        <v>5</v>
      </c>
      <c r="AL104" s="93">
        <v>5</v>
      </c>
      <c r="AM104" s="93"/>
      <c r="AN104" s="93"/>
      <c r="AO104" s="93"/>
      <c r="AP104" s="93"/>
      <c r="AQ104" s="170">
        <v>45375</v>
      </c>
      <c r="AR104" s="93"/>
      <c r="AS104" s="95">
        <v>220</v>
      </c>
      <c r="AT104" s="93"/>
    </row>
    <row r="105" spans="1:46" ht="15.75" x14ac:dyDescent="0.25">
      <c r="A105" s="91" t="s">
        <v>237</v>
      </c>
      <c r="B105" s="92">
        <v>45375</v>
      </c>
      <c r="C105" s="93">
        <v>80</v>
      </c>
      <c r="D105" s="94">
        <v>220</v>
      </c>
      <c r="E105" s="93"/>
      <c r="F105" s="93"/>
      <c r="G105" s="93"/>
      <c r="H105" s="93"/>
      <c r="I105" s="93"/>
      <c r="J105" s="93"/>
      <c r="K105" s="93"/>
      <c r="L105" s="93"/>
      <c r="M105" s="93"/>
      <c r="N105" s="93">
        <v>15</v>
      </c>
      <c r="O105" s="93"/>
      <c r="P105" s="93">
        <v>5</v>
      </c>
      <c r="Q105" s="93">
        <v>5</v>
      </c>
      <c r="R105" s="93"/>
      <c r="S105" s="93">
        <v>5</v>
      </c>
      <c r="T105" s="93">
        <v>5</v>
      </c>
      <c r="U105" s="93"/>
      <c r="V105" s="93"/>
      <c r="W105" s="93"/>
      <c r="X105" s="93"/>
      <c r="Y105" s="93">
        <v>5</v>
      </c>
      <c r="Z105" s="93">
        <v>5</v>
      </c>
      <c r="AA105" s="93"/>
      <c r="AB105" s="93">
        <v>5</v>
      </c>
      <c r="AC105" s="93"/>
      <c r="AD105" s="93">
        <v>5</v>
      </c>
      <c r="AE105" s="93">
        <v>5</v>
      </c>
      <c r="AF105" s="93"/>
      <c r="AG105" s="93">
        <v>5</v>
      </c>
      <c r="AH105" s="93">
        <v>5</v>
      </c>
      <c r="AI105" s="93"/>
      <c r="AJ105" s="93"/>
      <c r="AK105" s="93">
        <v>5</v>
      </c>
      <c r="AL105" s="93">
        <v>5</v>
      </c>
      <c r="AM105" s="93"/>
      <c r="AN105" s="93"/>
      <c r="AO105" s="93"/>
      <c r="AP105" s="93"/>
      <c r="AQ105" s="170">
        <v>45375</v>
      </c>
      <c r="AR105" s="93"/>
      <c r="AS105" s="95">
        <v>220</v>
      </c>
      <c r="AT105" s="93"/>
    </row>
    <row r="106" spans="1:46" ht="15.75" x14ac:dyDescent="0.25">
      <c r="A106" s="91" t="s">
        <v>237</v>
      </c>
      <c r="B106" s="92">
        <v>45375</v>
      </c>
      <c r="C106" s="93">
        <v>80</v>
      </c>
      <c r="D106" s="94">
        <v>220</v>
      </c>
      <c r="E106" s="93"/>
      <c r="F106" s="93"/>
      <c r="G106" s="93"/>
      <c r="H106" s="93"/>
      <c r="I106" s="93"/>
      <c r="J106" s="93"/>
      <c r="K106" s="93"/>
      <c r="L106" s="93"/>
      <c r="M106" s="93"/>
      <c r="N106" s="93">
        <v>15</v>
      </c>
      <c r="O106" s="93"/>
      <c r="P106" s="93">
        <v>5</v>
      </c>
      <c r="Q106" s="93">
        <v>5</v>
      </c>
      <c r="R106" s="93"/>
      <c r="S106" s="93">
        <v>5</v>
      </c>
      <c r="T106" s="93">
        <v>5</v>
      </c>
      <c r="U106" s="93"/>
      <c r="V106" s="93"/>
      <c r="W106" s="93"/>
      <c r="X106" s="93"/>
      <c r="Y106" s="93">
        <v>5</v>
      </c>
      <c r="Z106" s="93">
        <v>5</v>
      </c>
      <c r="AA106" s="93"/>
      <c r="AB106" s="93">
        <v>5</v>
      </c>
      <c r="AC106" s="93"/>
      <c r="AD106" s="93">
        <v>5</v>
      </c>
      <c r="AE106" s="93">
        <v>5</v>
      </c>
      <c r="AF106" s="93"/>
      <c r="AG106" s="93">
        <v>5</v>
      </c>
      <c r="AH106" s="93">
        <v>5</v>
      </c>
      <c r="AI106" s="93"/>
      <c r="AJ106" s="93"/>
      <c r="AK106" s="93">
        <v>5</v>
      </c>
      <c r="AL106" s="93">
        <v>5</v>
      </c>
      <c r="AM106" s="93"/>
      <c r="AN106" s="93"/>
      <c r="AO106" s="93"/>
      <c r="AP106" s="93"/>
      <c r="AQ106" s="170">
        <v>45375</v>
      </c>
      <c r="AR106" s="93"/>
      <c r="AS106" s="95">
        <v>220</v>
      </c>
      <c r="AT106" s="93"/>
    </row>
    <row r="107" spans="1:46" ht="15.75" x14ac:dyDescent="0.25">
      <c r="A107" s="91" t="s">
        <v>237</v>
      </c>
      <c r="B107" s="92">
        <v>45375</v>
      </c>
      <c r="C107" s="93">
        <v>80</v>
      </c>
      <c r="D107" s="94">
        <v>220</v>
      </c>
      <c r="E107" s="93"/>
      <c r="F107" s="93"/>
      <c r="G107" s="93"/>
      <c r="H107" s="93"/>
      <c r="I107" s="93"/>
      <c r="J107" s="93"/>
      <c r="K107" s="93"/>
      <c r="L107" s="93"/>
      <c r="M107" s="93"/>
      <c r="N107" s="93">
        <v>15</v>
      </c>
      <c r="O107" s="93"/>
      <c r="P107" s="93">
        <v>5</v>
      </c>
      <c r="Q107" s="93">
        <v>5</v>
      </c>
      <c r="R107" s="93"/>
      <c r="S107" s="93">
        <v>5</v>
      </c>
      <c r="T107" s="93">
        <v>5</v>
      </c>
      <c r="U107" s="93"/>
      <c r="V107" s="93"/>
      <c r="W107" s="93"/>
      <c r="X107" s="93"/>
      <c r="Y107" s="93">
        <v>5</v>
      </c>
      <c r="Z107" s="93">
        <v>5</v>
      </c>
      <c r="AA107" s="93"/>
      <c r="AB107" s="93">
        <v>5</v>
      </c>
      <c r="AC107" s="93"/>
      <c r="AD107" s="93">
        <v>5</v>
      </c>
      <c r="AE107" s="93">
        <v>5</v>
      </c>
      <c r="AF107" s="93"/>
      <c r="AG107" s="93">
        <v>5</v>
      </c>
      <c r="AH107" s="93">
        <v>5</v>
      </c>
      <c r="AI107" s="93"/>
      <c r="AJ107" s="93"/>
      <c r="AK107" s="93">
        <v>5</v>
      </c>
      <c r="AL107" s="93">
        <v>5</v>
      </c>
      <c r="AM107" s="93"/>
      <c r="AN107" s="93"/>
      <c r="AO107" s="93"/>
      <c r="AP107" s="93"/>
      <c r="AQ107" s="170">
        <v>45375</v>
      </c>
      <c r="AR107" s="93"/>
      <c r="AS107" s="95">
        <v>220</v>
      </c>
      <c r="AT107" s="93"/>
    </row>
    <row r="108" spans="1:46" ht="15.75" x14ac:dyDescent="0.25">
      <c r="A108" s="91" t="s">
        <v>407</v>
      </c>
      <c r="B108" s="92">
        <v>45377</v>
      </c>
      <c r="C108" s="93">
        <v>116</v>
      </c>
      <c r="D108" s="94">
        <v>290</v>
      </c>
      <c r="E108" s="93"/>
      <c r="F108" s="93"/>
      <c r="G108" s="93"/>
      <c r="H108" s="93"/>
      <c r="I108" s="93"/>
      <c r="J108" s="93">
        <v>50</v>
      </c>
      <c r="K108" s="93">
        <v>25</v>
      </c>
      <c r="L108" s="93">
        <v>25</v>
      </c>
      <c r="M108" s="93">
        <v>30</v>
      </c>
      <c r="N108" s="93">
        <v>20</v>
      </c>
      <c r="O108" s="93"/>
      <c r="P108" s="93"/>
      <c r="Q108" s="93">
        <v>5</v>
      </c>
      <c r="R108" s="93">
        <v>5</v>
      </c>
      <c r="S108" s="93">
        <v>5</v>
      </c>
      <c r="T108" s="93">
        <v>5</v>
      </c>
      <c r="U108" s="93"/>
      <c r="V108" s="93"/>
      <c r="W108" s="93"/>
      <c r="X108" s="93"/>
      <c r="Y108" s="93"/>
      <c r="Z108" s="93"/>
      <c r="AA108" s="93"/>
      <c r="AB108" s="93"/>
      <c r="AC108" s="93">
        <v>5</v>
      </c>
      <c r="AD108" s="93">
        <v>5</v>
      </c>
      <c r="AE108" s="93">
        <v>5</v>
      </c>
      <c r="AF108" s="93"/>
      <c r="AG108" s="93">
        <v>10</v>
      </c>
      <c r="AH108" s="93">
        <v>5</v>
      </c>
      <c r="AI108" s="93"/>
      <c r="AJ108" s="93"/>
      <c r="AK108" s="93">
        <v>5</v>
      </c>
      <c r="AL108" s="93">
        <v>15</v>
      </c>
      <c r="AM108" s="93"/>
      <c r="AN108" s="93"/>
      <c r="AO108" s="93"/>
      <c r="AP108" s="93"/>
      <c r="AQ108" s="170">
        <v>45377.832881944443</v>
      </c>
      <c r="AR108" s="93"/>
      <c r="AS108" s="95">
        <v>290</v>
      </c>
      <c r="AT108" s="93"/>
    </row>
    <row r="109" spans="1:46" ht="15.75" x14ac:dyDescent="0.25">
      <c r="A109" s="91" t="s">
        <v>88</v>
      </c>
      <c r="B109" s="92">
        <v>45376</v>
      </c>
      <c r="C109" s="93">
        <v>35</v>
      </c>
      <c r="D109" s="94">
        <v>87.5</v>
      </c>
      <c r="E109" s="93"/>
      <c r="F109" s="93"/>
      <c r="G109" s="93"/>
      <c r="H109" s="93"/>
      <c r="I109" s="93"/>
      <c r="J109" s="93"/>
      <c r="K109" s="93"/>
      <c r="L109" s="93"/>
      <c r="M109" s="93"/>
      <c r="N109" s="93">
        <v>10</v>
      </c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>
        <v>5</v>
      </c>
      <c r="AD109" s="93">
        <v>5</v>
      </c>
      <c r="AE109" s="93">
        <v>5</v>
      </c>
      <c r="AF109" s="93"/>
      <c r="AG109" s="93">
        <v>10</v>
      </c>
      <c r="AH109" s="93"/>
      <c r="AI109" s="93"/>
      <c r="AJ109" s="93"/>
      <c r="AK109" s="93"/>
      <c r="AL109" s="93"/>
      <c r="AM109" s="93"/>
      <c r="AN109" s="93"/>
      <c r="AO109" s="93"/>
      <c r="AP109" s="93"/>
      <c r="AQ109" s="170">
        <v>45376.82439814815</v>
      </c>
      <c r="AR109" s="93"/>
      <c r="AS109" s="95">
        <v>87.5</v>
      </c>
      <c r="AT109" s="93"/>
    </row>
    <row r="110" spans="1:46" ht="15.75" x14ac:dyDescent="0.25">
      <c r="A110" s="91" t="s">
        <v>58</v>
      </c>
      <c r="B110" s="92">
        <v>45377</v>
      </c>
      <c r="C110" s="93">
        <v>85</v>
      </c>
      <c r="D110" s="94">
        <v>212.5</v>
      </c>
      <c r="E110" s="93"/>
      <c r="F110" s="93"/>
      <c r="G110" s="93"/>
      <c r="H110" s="93"/>
      <c r="I110" s="93"/>
      <c r="J110" s="93"/>
      <c r="K110" s="93"/>
      <c r="L110" s="93"/>
      <c r="M110" s="93"/>
      <c r="N110" s="93">
        <v>25</v>
      </c>
      <c r="O110" s="93"/>
      <c r="P110" s="93"/>
      <c r="Q110" s="93"/>
      <c r="R110" s="93"/>
      <c r="S110" s="93"/>
      <c r="T110" s="93">
        <v>5</v>
      </c>
      <c r="U110" s="93"/>
      <c r="V110" s="93"/>
      <c r="W110" s="93"/>
      <c r="X110" s="93"/>
      <c r="Y110" s="93"/>
      <c r="Z110" s="93"/>
      <c r="AA110" s="93"/>
      <c r="AB110" s="93">
        <v>10</v>
      </c>
      <c r="AC110" s="93">
        <v>5</v>
      </c>
      <c r="AD110" s="93">
        <v>10</v>
      </c>
      <c r="AE110" s="93">
        <v>10</v>
      </c>
      <c r="AF110" s="93"/>
      <c r="AG110" s="93">
        <v>10</v>
      </c>
      <c r="AH110" s="93">
        <v>10</v>
      </c>
      <c r="AI110" s="93"/>
      <c r="AJ110" s="93"/>
      <c r="AK110" s="93"/>
      <c r="AL110" s="93"/>
      <c r="AM110" s="93"/>
      <c r="AN110" s="93"/>
      <c r="AO110" s="93"/>
      <c r="AP110" s="93"/>
      <c r="AQ110" s="170">
        <v>45377.823807870373</v>
      </c>
      <c r="AR110" s="93"/>
      <c r="AS110" s="95">
        <v>212.5</v>
      </c>
      <c r="AT110" s="93"/>
    </row>
    <row r="111" spans="1:46" ht="15.75" x14ac:dyDescent="0.25">
      <c r="A111" s="91" t="s">
        <v>381</v>
      </c>
      <c r="B111" s="92">
        <v>45378</v>
      </c>
      <c r="C111" s="93">
        <v>100</v>
      </c>
      <c r="D111" s="94">
        <v>250</v>
      </c>
      <c r="E111" s="93"/>
      <c r="F111" s="93"/>
      <c r="G111" s="93"/>
      <c r="H111" s="93"/>
      <c r="I111" s="93"/>
      <c r="J111" s="93"/>
      <c r="K111" s="93"/>
      <c r="L111" s="93"/>
      <c r="M111" s="93"/>
      <c r="N111" s="93">
        <v>15</v>
      </c>
      <c r="O111" s="93"/>
      <c r="P111" s="93"/>
      <c r="Q111" s="93">
        <v>10</v>
      </c>
      <c r="R111" s="93"/>
      <c r="S111" s="93"/>
      <c r="T111" s="93">
        <v>10</v>
      </c>
      <c r="U111" s="93"/>
      <c r="V111" s="93"/>
      <c r="W111" s="93"/>
      <c r="X111" s="93"/>
      <c r="Y111" s="93"/>
      <c r="Z111" s="93"/>
      <c r="AA111" s="93"/>
      <c r="AB111" s="93">
        <v>15</v>
      </c>
      <c r="AC111" s="93"/>
      <c r="AD111" s="93">
        <v>15</v>
      </c>
      <c r="AE111" s="93">
        <v>15</v>
      </c>
      <c r="AF111" s="93"/>
      <c r="AG111" s="93"/>
      <c r="AH111" s="93">
        <v>10</v>
      </c>
      <c r="AI111" s="93">
        <v>10</v>
      </c>
      <c r="AJ111" s="93"/>
      <c r="AK111" s="93"/>
      <c r="AL111" s="93"/>
      <c r="AM111" s="93"/>
      <c r="AN111" s="93"/>
      <c r="AO111" s="93"/>
      <c r="AP111" s="93"/>
      <c r="AQ111" s="170">
        <v>45382.697129629632</v>
      </c>
      <c r="AR111" s="93"/>
      <c r="AS111" s="95">
        <v>250</v>
      </c>
      <c r="AT111" s="93"/>
    </row>
    <row r="112" spans="1:46" ht="15.75" x14ac:dyDescent="0.25">
      <c r="A112" s="91" t="s">
        <v>229</v>
      </c>
      <c r="B112" s="92">
        <v>45379</v>
      </c>
      <c r="C112" s="93">
        <v>50</v>
      </c>
      <c r="D112" s="94">
        <v>125</v>
      </c>
      <c r="E112" s="93"/>
      <c r="F112" s="93"/>
      <c r="G112" s="93"/>
      <c r="H112" s="93"/>
      <c r="I112" s="93"/>
      <c r="J112" s="93"/>
      <c r="K112" s="93"/>
      <c r="L112" s="93"/>
      <c r="M112" s="93"/>
      <c r="N112" s="93">
        <v>10</v>
      </c>
      <c r="O112" s="93"/>
      <c r="P112" s="93"/>
      <c r="Q112" s="93">
        <v>5</v>
      </c>
      <c r="R112" s="93">
        <v>5</v>
      </c>
      <c r="S112" s="93">
        <v>5</v>
      </c>
      <c r="T112" s="93">
        <v>5</v>
      </c>
      <c r="U112" s="93">
        <v>5</v>
      </c>
      <c r="V112" s="93"/>
      <c r="W112" s="93"/>
      <c r="X112" s="93"/>
      <c r="Y112" s="93"/>
      <c r="Z112" s="93"/>
      <c r="AA112" s="93"/>
      <c r="AB112" s="93">
        <v>5</v>
      </c>
      <c r="AC112" s="93"/>
      <c r="AD112" s="93"/>
      <c r="AE112" s="93"/>
      <c r="AF112" s="93"/>
      <c r="AG112" s="93">
        <v>5</v>
      </c>
      <c r="AH112" s="93"/>
      <c r="AI112" s="93"/>
      <c r="AJ112" s="93"/>
      <c r="AK112" s="93"/>
      <c r="AL112" s="93">
        <v>5</v>
      </c>
      <c r="AM112" s="93"/>
      <c r="AN112" s="93"/>
      <c r="AO112" s="93"/>
      <c r="AP112" s="93"/>
      <c r="AQ112" s="170">
        <v>45379.842615740738</v>
      </c>
      <c r="AR112" s="93"/>
      <c r="AS112" s="95">
        <v>125</v>
      </c>
      <c r="AT112" s="93"/>
    </row>
    <row r="113" spans="1:46" ht="15.75" x14ac:dyDescent="0.25">
      <c r="A113" s="91" t="s">
        <v>427</v>
      </c>
      <c r="B113" s="92">
        <v>45380</v>
      </c>
      <c r="C113" s="93">
        <v>155</v>
      </c>
      <c r="D113" s="94">
        <v>387.5</v>
      </c>
      <c r="E113" s="93"/>
      <c r="F113" s="93"/>
      <c r="G113" s="93"/>
      <c r="H113" s="93"/>
      <c r="I113" s="93"/>
      <c r="J113" s="93"/>
      <c r="K113" s="93"/>
      <c r="L113" s="93"/>
      <c r="M113" s="93"/>
      <c r="N113" s="93">
        <v>25</v>
      </c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>
        <v>15</v>
      </c>
      <c r="Z113" s="93">
        <v>15</v>
      </c>
      <c r="AA113" s="93"/>
      <c r="AB113" s="93">
        <v>15</v>
      </c>
      <c r="AC113" s="93"/>
      <c r="AD113" s="93">
        <v>15</v>
      </c>
      <c r="AE113" s="93">
        <v>15</v>
      </c>
      <c r="AF113" s="93"/>
      <c r="AG113" s="93">
        <v>15</v>
      </c>
      <c r="AH113" s="93">
        <v>15</v>
      </c>
      <c r="AI113" s="93"/>
      <c r="AJ113" s="93"/>
      <c r="AK113" s="93"/>
      <c r="AL113" s="93">
        <v>25</v>
      </c>
      <c r="AM113" s="93"/>
      <c r="AN113" s="93"/>
      <c r="AO113" s="93"/>
      <c r="AP113" s="93"/>
      <c r="AQ113" s="170">
        <v>45382.713692129626</v>
      </c>
      <c r="AR113" s="93"/>
      <c r="AS113" s="95">
        <v>387.5</v>
      </c>
      <c r="AT113" s="93"/>
    </row>
    <row r="114" spans="1:46" ht="15.75" x14ac:dyDescent="0.25">
      <c r="A114" s="91" t="s">
        <v>54</v>
      </c>
      <c r="B114" s="92">
        <v>45380</v>
      </c>
      <c r="C114" s="93">
        <v>115</v>
      </c>
      <c r="D114" s="94">
        <v>287.5</v>
      </c>
      <c r="E114" s="93"/>
      <c r="F114" s="93"/>
      <c r="G114" s="93"/>
      <c r="H114" s="93"/>
      <c r="I114" s="93"/>
      <c r="J114" s="93"/>
      <c r="K114" s="93"/>
      <c r="L114" s="93"/>
      <c r="M114" s="93"/>
      <c r="N114" s="93">
        <v>25</v>
      </c>
      <c r="O114" s="93"/>
      <c r="P114" s="93">
        <v>10</v>
      </c>
      <c r="Q114" s="93">
        <v>10</v>
      </c>
      <c r="R114" s="93"/>
      <c r="S114" s="93">
        <v>10</v>
      </c>
      <c r="T114" s="93"/>
      <c r="U114" s="93"/>
      <c r="V114" s="93"/>
      <c r="W114" s="93"/>
      <c r="X114" s="93"/>
      <c r="Y114" s="93"/>
      <c r="Z114" s="93"/>
      <c r="AA114" s="93"/>
      <c r="AB114" s="93">
        <v>10</v>
      </c>
      <c r="AC114" s="93"/>
      <c r="AD114" s="93">
        <v>10</v>
      </c>
      <c r="AE114" s="93">
        <v>10</v>
      </c>
      <c r="AF114" s="93"/>
      <c r="AG114" s="93">
        <v>10</v>
      </c>
      <c r="AH114" s="93"/>
      <c r="AI114" s="93">
        <v>10</v>
      </c>
      <c r="AJ114" s="93"/>
      <c r="AK114" s="93"/>
      <c r="AL114" s="93">
        <v>10</v>
      </c>
      <c r="AM114" s="93"/>
      <c r="AN114" s="93"/>
      <c r="AO114" s="93"/>
      <c r="AP114" s="93"/>
      <c r="AQ114" s="170">
        <v>45382.722488425927</v>
      </c>
      <c r="AR114" s="93"/>
      <c r="AS114" s="95">
        <v>287.5</v>
      </c>
      <c r="AT114" s="93"/>
    </row>
    <row r="115" spans="1:46" ht="15.75" x14ac:dyDescent="0.25">
      <c r="A115" s="91" t="s">
        <v>54</v>
      </c>
      <c r="B115" s="92">
        <v>45382</v>
      </c>
      <c r="C115" s="93">
        <v>135</v>
      </c>
      <c r="D115" s="94">
        <v>337.5</v>
      </c>
      <c r="E115" s="93"/>
      <c r="F115" s="93"/>
      <c r="G115" s="93"/>
      <c r="H115" s="93">
        <v>5</v>
      </c>
      <c r="I115" s="93"/>
      <c r="J115" s="93"/>
      <c r="K115" s="93"/>
      <c r="L115" s="93"/>
      <c r="M115" s="93"/>
      <c r="N115" s="93">
        <v>30</v>
      </c>
      <c r="O115" s="93">
        <v>15</v>
      </c>
      <c r="P115" s="93">
        <v>10</v>
      </c>
      <c r="Q115" s="93">
        <v>10</v>
      </c>
      <c r="R115" s="93">
        <v>5</v>
      </c>
      <c r="S115" s="93"/>
      <c r="T115" s="93"/>
      <c r="U115" s="93"/>
      <c r="V115" s="93"/>
      <c r="W115" s="93"/>
      <c r="X115" s="93">
        <v>5</v>
      </c>
      <c r="Y115" s="93">
        <v>5</v>
      </c>
      <c r="Z115" s="93"/>
      <c r="AA115" s="93">
        <v>5</v>
      </c>
      <c r="AB115" s="93">
        <v>10</v>
      </c>
      <c r="AC115" s="93"/>
      <c r="AD115" s="93"/>
      <c r="AE115" s="93"/>
      <c r="AF115" s="93">
        <v>5</v>
      </c>
      <c r="AG115" s="93">
        <v>5</v>
      </c>
      <c r="AH115" s="93">
        <v>5</v>
      </c>
      <c r="AI115" s="93"/>
      <c r="AJ115" s="93">
        <v>5</v>
      </c>
      <c r="AK115" s="93">
        <v>5</v>
      </c>
      <c r="AL115" s="93">
        <v>10</v>
      </c>
      <c r="AM115" s="93"/>
      <c r="AN115" s="93"/>
      <c r="AO115" s="93"/>
      <c r="AP115" s="93"/>
      <c r="AQ115" s="170">
        <v>45383.379803240743</v>
      </c>
      <c r="AR115" s="93"/>
      <c r="AS115" s="95">
        <v>337.5</v>
      </c>
      <c r="AT115" s="93"/>
    </row>
    <row r="116" spans="1:46" ht="15.75" x14ac:dyDescent="0.25">
      <c r="A116" s="91" t="s">
        <v>93</v>
      </c>
      <c r="B116" s="92">
        <v>45381</v>
      </c>
      <c r="C116" s="93">
        <v>110</v>
      </c>
      <c r="D116" s="94">
        <v>275</v>
      </c>
      <c r="E116" s="93"/>
      <c r="F116" s="93">
        <v>10</v>
      </c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>
        <v>10</v>
      </c>
      <c r="V116" s="93"/>
      <c r="W116" s="93"/>
      <c r="X116" s="93"/>
      <c r="Y116" s="93"/>
      <c r="Z116" s="93"/>
      <c r="AA116" s="93"/>
      <c r="AB116" s="93">
        <v>20</v>
      </c>
      <c r="AC116" s="93">
        <v>10</v>
      </c>
      <c r="AD116" s="93">
        <v>20</v>
      </c>
      <c r="AE116" s="93">
        <v>20</v>
      </c>
      <c r="AF116" s="93"/>
      <c r="AG116" s="93"/>
      <c r="AH116" s="93"/>
      <c r="AI116" s="93"/>
      <c r="AJ116" s="93"/>
      <c r="AK116" s="93"/>
      <c r="AL116" s="93">
        <v>20</v>
      </c>
      <c r="AM116" s="93"/>
      <c r="AN116" s="93"/>
      <c r="AO116" s="93"/>
      <c r="AP116" s="93"/>
      <c r="AQ116" s="170">
        <v>45383.695486111108</v>
      </c>
      <c r="AR116" s="93"/>
      <c r="AS116" s="95">
        <v>275</v>
      </c>
      <c r="AT116" s="93"/>
    </row>
    <row r="117" spans="1:46" ht="15.75" x14ac:dyDescent="0.25">
      <c r="A117" s="91" t="s">
        <v>93</v>
      </c>
      <c r="B117" s="92">
        <v>45380</v>
      </c>
      <c r="C117" s="93">
        <v>110</v>
      </c>
      <c r="D117" s="94">
        <v>275</v>
      </c>
      <c r="E117" s="93"/>
      <c r="F117" s="93">
        <v>10</v>
      </c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>
        <v>10</v>
      </c>
      <c r="V117" s="93"/>
      <c r="W117" s="93"/>
      <c r="X117" s="93"/>
      <c r="Y117" s="93"/>
      <c r="Z117" s="93"/>
      <c r="AA117" s="93"/>
      <c r="AB117" s="93">
        <v>20</v>
      </c>
      <c r="AC117" s="93">
        <v>10</v>
      </c>
      <c r="AD117" s="93">
        <v>20</v>
      </c>
      <c r="AE117" s="93">
        <v>20</v>
      </c>
      <c r="AF117" s="93"/>
      <c r="AG117" s="93"/>
      <c r="AH117" s="93"/>
      <c r="AI117" s="93"/>
      <c r="AJ117" s="93"/>
      <c r="AK117" s="93"/>
      <c r="AL117" s="93">
        <v>20</v>
      </c>
      <c r="AM117" s="93"/>
      <c r="AN117" s="93"/>
      <c r="AO117" s="93"/>
      <c r="AP117" s="93"/>
      <c r="AQ117" s="170">
        <v>45382.708194444444</v>
      </c>
      <c r="AR117" s="93"/>
      <c r="AS117" s="95">
        <v>275</v>
      </c>
      <c r="AT117" s="93"/>
    </row>
    <row r="118" spans="1:46" ht="15.75" x14ac:dyDescent="0.25">
      <c r="A118" s="91" t="s">
        <v>397</v>
      </c>
      <c r="B118" s="92">
        <v>45383</v>
      </c>
      <c r="C118" s="93">
        <v>80</v>
      </c>
      <c r="D118" s="94">
        <v>200</v>
      </c>
      <c r="E118" s="93"/>
      <c r="F118" s="93"/>
      <c r="G118" s="93"/>
      <c r="H118" s="93"/>
      <c r="I118" s="93"/>
      <c r="J118" s="93"/>
      <c r="K118" s="93"/>
      <c r="L118" s="93"/>
      <c r="M118" s="93"/>
      <c r="N118" s="93">
        <v>10</v>
      </c>
      <c r="O118" s="93"/>
      <c r="P118" s="93">
        <v>5</v>
      </c>
      <c r="Q118" s="93">
        <v>5</v>
      </c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>
        <v>10</v>
      </c>
      <c r="AC118" s="93"/>
      <c r="AD118" s="93"/>
      <c r="AE118" s="93"/>
      <c r="AF118" s="93"/>
      <c r="AG118" s="93">
        <v>30</v>
      </c>
      <c r="AH118" s="93"/>
      <c r="AI118" s="93"/>
      <c r="AJ118" s="93"/>
      <c r="AK118" s="93"/>
      <c r="AL118" s="93">
        <v>20</v>
      </c>
      <c r="AM118" s="93"/>
      <c r="AN118" s="93"/>
      <c r="AO118" s="93"/>
      <c r="AP118" s="93"/>
      <c r="AQ118" s="170">
        <v>45383.765625</v>
      </c>
      <c r="AR118" s="93"/>
      <c r="AS118" s="95">
        <v>200</v>
      </c>
      <c r="AT118" s="93"/>
    </row>
    <row r="119" spans="1:46" ht="15.75" x14ac:dyDescent="0.25">
      <c r="A119" s="91" t="s">
        <v>220</v>
      </c>
      <c r="B119" s="92">
        <v>45383</v>
      </c>
      <c r="C119" s="93">
        <v>290</v>
      </c>
      <c r="D119" s="94">
        <v>580</v>
      </c>
      <c r="E119" s="93"/>
      <c r="F119" s="93"/>
      <c r="G119" s="93"/>
      <c r="H119" s="93"/>
      <c r="I119" s="93"/>
      <c r="J119" s="93"/>
      <c r="K119" s="93"/>
      <c r="L119" s="93"/>
      <c r="M119" s="93"/>
      <c r="N119" s="93">
        <v>50</v>
      </c>
      <c r="O119" s="93"/>
      <c r="P119" s="93"/>
      <c r="Q119" s="93">
        <v>5</v>
      </c>
      <c r="R119" s="93"/>
      <c r="S119" s="93"/>
      <c r="T119" s="93"/>
      <c r="U119" s="93"/>
      <c r="V119" s="93"/>
      <c r="W119" s="93"/>
      <c r="X119" s="93"/>
      <c r="Y119" s="93"/>
      <c r="Z119" s="93">
        <v>10</v>
      </c>
      <c r="AA119" s="93">
        <v>10</v>
      </c>
      <c r="AB119" s="93">
        <v>50</v>
      </c>
      <c r="AC119" s="93">
        <v>10</v>
      </c>
      <c r="AD119" s="93"/>
      <c r="AE119" s="93"/>
      <c r="AF119" s="93">
        <v>5</v>
      </c>
      <c r="AG119" s="93">
        <v>30</v>
      </c>
      <c r="AH119" s="93">
        <v>35</v>
      </c>
      <c r="AI119" s="93">
        <v>30</v>
      </c>
      <c r="AJ119" s="93"/>
      <c r="AK119" s="93"/>
      <c r="AL119" s="93">
        <v>45</v>
      </c>
      <c r="AM119" s="93">
        <v>10</v>
      </c>
      <c r="AN119" s="93"/>
      <c r="AO119" s="93"/>
      <c r="AP119" s="93"/>
      <c r="AQ119" s="170">
        <v>45383.779756944445</v>
      </c>
      <c r="AR119" s="93"/>
      <c r="AS119" s="95">
        <v>580</v>
      </c>
      <c r="AT119" s="93"/>
    </row>
    <row r="120" spans="1:46" ht="15.75" x14ac:dyDescent="0.25">
      <c r="A120" s="91" t="s">
        <v>220</v>
      </c>
      <c r="B120" s="92">
        <v>45384</v>
      </c>
      <c r="C120" s="93">
        <v>280</v>
      </c>
      <c r="D120" s="94">
        <v>560</v>
      </c>
      <c r="E120" s="93"/>
      <c r="F120" s="93"/>
      <c r="G120" s="93"/>
      <c r="H120" s="93"/>
      <c r="I120" s="93"/>
      <c r="J120" s="93"/>
      <c r="K120" s="93"/>
      <c r="L120" s="93"/>
      <c r="M120" s="93"/>
      <c r="N120" s="93">
        <v>45</v>
      </c>
      <c r="O120" s="93"/>
      <c r="P120" s="93"/>
      <c r="Q120" s="93">
        <v>5</v>
      </c>
      <c r="R120" s="93"/>
      <c r="S120" s="93"/>
      <c r="T120" s="93">
        <v>5</v>
      </c>
      <c r="U120" s="93"/>
      <c r="V120" s="93"/>
      <c r="W120" s="93"/>
      <c r="X120" s="93"/>
      <c r="Y120" s="93"/>
      <c r="Z120" s="93">
        <v>5</v>
      </c>
      <c r="AA120" s="93">
        <v>10</v>
      </c>
      <c r="AB120" s="93">
        <v>50</v>
      </c>
      <c r="AC120" s="93">
        <v>10</v>
      </c>
      <c r="AD120" s="93">
        <v>5</v>
      </c>
      <c r="AE120" s="93"/>
      <c r="AF120" s="93">
        <v>5</v>
      </c>
      <c r="AG120" s="93">
        <v>40</v>
      </c>
      <c r="AH120" s="93">
        <v>30</v>
      </c>
      <c r="AI120" s="93">
        <v>30</v>
      </c>
      <c r="AJ120" s="93"/>
      <c r="AK120" s="93"/>
      <c r="AL120" s="93">
        <v>40</v>
      </c>
      <c r="AM120" s="93"/>
      <c r="AN120" s="93"/>
      <c r="AO120" s="93"/>
      <c r="AP120" s="93"/>
      <c r="AQ120" s="170">
        <v>45384.726319444446</v>
      </c>
      <c r="AR120" s="93"/>
      <c r="AS120" s="95">
        <v>560</v>
      </c>
      <c r="AT120" s="93"/>
    </row>
    <row r="121" spans="1:46" ht="15.75" x14ac:dyDescent="0.25">
      <c r="A121" s="91" t="s">
        <v>229</v>
      </c>
      <c r="B121" s="92">
        <v>45384</v>
      </c>
      <c r="C121" s="93">
        <v>70</v>
      </c>
      <c r="D121" s="94">
        <v>175</v>
      </c>
      <c r="E121" s="93"/>
      <c r="F121" s="93"/>
      <c r="G121" s="93"/>
      <c r="H121" s="93"/>
      <c r="I121" s="93"/>
      <c r="J121" s="93"/>
      <c r="K121" s="93"/>
      <c r="L121" s="93"/>
      <c r="M121" s="93"/>
      <c r="N121" s="93">
        <v>10</v>
      </c>
      <c r="O121" s="93"/>
      <c r="P121" s="93"/>
      <c r="Q121" s="93">
        <v>5</v>
      </c>
      <c r="R121" s="93">
        <v>5</v>
      </c>
      <c r="S121" s="93">
        <v>5</v>
      </c>
      <c r="T121" s="93">
        <v>5</v>
      </c>
      <c r="U121" s="93">
        <v>5</v>
      </c>
      <c r="V121" s="93"/>
      <c r="W121" s="93"/>
      <c r="X121" s="93"/>
      <c r="Y121" s="93">
        <v>10</v>
      </c>
      <c r="Z121" s="93"/>
      <c r="AA121" s="93"/>
      <c r="AB121" s="93">
        <v>5</v>
      </c>
      <c r="AC121" s="93"/>
      <c r="AD121" s="93">
        <v>5</v>
      </c>
      <c r="AE121" s="93">
        <v>5</v>
      </c>
      <c r="AF121" s="93"/>
      <c r="AG121" s="93">
        <v>5</v>
      </c>
      <c r="AH121" s="93"/>
      <c r="AI121" s="93"/>
      <c r="AJ121" s="93"/>
      <c r="AK121" s="93"/>
      <c r="AL121" s="93">
        <v>5</v>
      </c>
      <c r="AM121" s="93"/>
      <c r="AN121" s="93"/>
      <c r="AO121" s="93"/>
      <c r="AP121" s="93"/>
      <c r="AQ121" s="170">
        <v>45384.874189814815</v>
      </c>
      <c r="AR121" s="93"/>
      <c r="AS121" s="95">
        <v>175</v>
      </c>
      <c r="AT121" s="93"/>
    </row>
    <row r="122" spans="1:46" ht="15.75" x14ac:dyDescent="0.25">
      <c r="A122" s="91" t="s">
        <v>88</v>
      </c>
      <c r="B122" s="92">
        <v>45385</v>
      </c>
      <c r="C122" s="93">
        <v>100</v>
      </c>
      <c r="D122" s="94">
        <v>250</v>
      </c>
      <c r="E122" s="93"/>
      <c r="F122" s="93">
        <v>10</v>
      </c>
      <c r="G122" s="93"/>
      <c r="H122" s="93"/>
      <c r="I122" s="93"/>
      <c r="J122" s="93"/>
      <c r="K122" s="93"/>
      <c r="L122" s="93"/>
      <c r="M122" s="93"/>
      <c r="N122" s="93">
        <v>15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>
        <v>15</v>
      </c>
      <c r="AC122" s="93">
        <v>5</v>
      </c>
      <c r="AD122" s="93">
        <v>10</v>
      </c>
      <c r="AE122" s="93">
        <v>10</v>
      </c>
      <c r="AF122" s="93"/>
      <c r="AG122" s="93">
        <v>10</v>
      </c>
      <c r="AH122" s="93"/>
      <c r="AI122" s="93"/>
      <c r="AJ122" s="93"/>
      <c r="AK122" s="93">
        <v>10</v>
      </c>
      <c r="AL122" s="93">
        <v>15</v>
      </c>
      <c r="AM122" s="93"/>
      <c r="AN122" s="93"/>
      <c r="AO122" s="93"/>
      <c r="AP122" s="93"/>
      <c r="AQ122" s="170">
        <v>45385.876331018517</v>
      </c>
      <c r="AR122" s="93"/>
      <c r="AS122" s="95">
        <v>250</v>
      </c>
      <c r="AT122" s="93"/>
    </row>
    <row r="123" spans="1:46" ht="15.75" x14ac:dyDescent="0.25">
      <c r="A123" s="91" t="s">
        <v>58</v>
      </c>
      <c r="B123" s="92">
        <v>45386</v>
      </c>
      <c r="C123" s="93">
        <v>90</v>
      </c>
      <c r="D123" s="94">
        <v>225</v>
      </c>
      <c r="E123" s="93"/>
      <c r="F123" s="93"/>
      <c r="G123" s="93"/>
      <c r="H123" s="93"/>
      <c r="I123" s="93"/>
      <c r="J123" s="93"/>
      <c r="K123" s="93"/>
      <c r="L123" s="93"/>
      <c r="M123" s="93"/>
      <c r="N123" s="93">
        <v>30</v>
      </c>
      <c r="O123" s="93"/>
      <c r="P123" s="93"/>
      <c r="Q123" s="93"/>
      <c r="R123" s="93"/>
      <c r="S123" s="93">
        <v>5</v>
      </c>
      <c r="T123" s="93">
        <v>5</v>
      </c>
      <c r="U123" s="93"/>
      <c r="V123" s="93"/>
      <c r="W123" s="93"/>
      <c r="X123" s="93"/>
      <c r="Y123" s="93"/>
      <c r="Z123" s="93"/>
      <c r="AA123" s="93"/>
      <c r="AB123" s="93">
        <v>10</v>
      </c>
      <c r="AC123" s="93">
        <v>5</v>
      </c>
      <c r="AD123" s="93">
        <v>10</v>
      </c>
      <c r="AE123" s="93">
        <v>10</v>
      </c>
      <c r="AF123" s="93"/>
      <c r="AG123" s="93">
        <v>10</v>
      </c>
      <c r="AH123" s="93">
        <v>5</v>
      </c>
      <c r="AI123" s="93"/>
      <c r="AJ123" s="93"/>
      <c r="AK123" s="93"/>
      <c r="AL123" s="93"/>
      <c r="AM123" s="93"/>
      <c r="AN123" s="93"/>
      <c r="AO123" s="93"/>
      <c r="AP123" s="93"/>
      <c r="AQ123" s="170">
        <v>45386.802557870367</v>
      </c>
      <c r="AR123" s="93"/>
      <c r="AS123" s="95">
        <v>225</v>
      </c>
      <c r="AT123" s="93"/>
    </row>
    <row r="124" spans="1:46" ht="15.75" x14ac:dyDescent="0.25">
      <c r="A124" s="91" t="s">
        <v>220</v>
      </c>
      <c r="B124" s="92">
        <v>45387</v>
      </c>
      <c r="C124" s="93">
        <v>125</v>
      </c>
      <c r="D124" s="94">
        <v>250</v>
      </c>
      <c r="E124" s="93"/>
      <c r="F124" s="93"/>
      <c r="G124" s="93"/>
      <c r="H124" s="93"/>
      <c r="I124" s="93"/>
      <c r="J124" s="93"/>
      <c r="K124" s="93"/>
      <c r="L124" s="93"/>
      <c r="M124" s="93"/>
      <c r="N124" s="93">
        <v>5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>
        <v>10</v>
      </c>
      <c r="Z124" s="93">
        <v>15</v>
      </c>
      <c r="AA124" s="93">
        <v>15</v>
      </c>
      <c r="AB124" s="93">
        <v>25</v>
      </c>
      <c r="AC124" s="93"/>
      <c r="AD124" s="93"/>
      <c r="AE124" s="93"/>
      <c r="AF124" s="93">
        <v>10</v>
      </c>
      <c r="AG124" s="93">
        <v>25</v>
      </c>
      <c r="AH124" s="93"/>
      <c r="AI124" s="93"/>
      <c r="AJ124" s="93"/>
      <c r="AK124" s="93"/>
      <c r="AL124" s="93">
        <v>20</v>
      </c>
      <c r="AM124" s="93"/>
      <c r="AN124" s="93"/>
      <c r="AO124" s="333">
        <v>45387.675069444442</v>
      </c>
      <c r="AP124" s="93" t="s">
        <v>203</v>
      </c>
      <c r="AQ124" s="170">
        <v>45387.67491898148</v>
      </c>
      <c r="AR124" s="334">
        <v>230</v>
      </c>
      <c r="AS124" s="95">
        <v>20</v>
      </c>
      <c r="AT124" s="93"/>
    </row>
    <row r="125" spans="1:46" ht="15.75" x14ac:dyDescent="0.25">
      <c r="A125" s="91" t="s">
        <v>407</v>
      </c>
      <c r="B125" s="92">
        <v>45387</v>
      </c>
      <c r="C125" s="93">
        <v>130</v>
      </c>
      <c r="D125" s="94">
        <v>325</v>
      </c>
      <c r="E125" s="93"/>
      <c r="F125" s="93"/>
      <c r="G125" s="93"/>
      <c r="H125" s="93"/>
      <c r="I125" s="93"/>
      <c r="J125" s="93"/>
      <c r="K125" s="93"/>
      <c r="L125" s="93"/>
      <c r="M125" s="93"/>
      <c r="N125" s="93">
        <v>20</v>
      </c>
      <c r="O125" s="93"/>
      <c r="P125" s="93"/>
      <c r="Q125" s="93">
        <v>15</v>
      </c>
      <c r="R125" s="93"/>
      <c r="S125" s="93"/>
      <c r="T125" s="93">
        <v>10</v>
      </c>
      <c r="U125" s="93"/>
      <c r="V125" s="93"/>
      <c r="W125" s="93"/>
      <c r="X125" s="93"/>
      <c r="Y125" s="93"/>
      <c r="Z125" s="93"/>
      <c r="AA125" s="93"/>
      <c r="AB125" s="93">
        <v>10</v>
      </c>
      <c r="AC125" s="93"/>
      <c r="AD125" s="93">
        <v>10</v>
      </c>
      <c r="AE125" s="93">
        <v>10</v>
      </c>
      <c r="AF125" s="93">
        <v>10</v>
      </c>
      <c r="AG125" s="93"/>
      <c r="AH125" s="93">
        <v>10</v>
      </c>
      <c r="AI125" s="93">
        <v>15</v>
      </c>
      <c r="AJ125" s="93"/>
      <c r="AK125" s="93"/>
      <c r="AL125" s="93">
        <v>20</v>
      </c>
      <c r="AM125" s="93"/>
      <c r="AN125" s="93"/>
      <c r="AO125" s="93"/>
      <c r="AP125" s="93"/>
      <c r="AQ125" s="170">
        <v>45387.897777777776</v>
      </c>
      <c r="AR125" s="93"/>
      <c r="AS125" s="95">
        <v>325</v>
      </c>
      <c r="AT125" s="93"/>
    </row>
    <row r="126" spans="1:46" ht="15.75" x14ac:dyDescent="0.25">
      <c r="A126" s="91" t="s">
        <v>381</v>
      </c>
      <c r="B126" s="92">
        <v>45383</v>
      </c>
      <c r="C126" s="93">
        <v>140</v>
      </c>
      <c r="D126" s="94">
        <v>350</v>
      </c>
      <c r="E126" s="93"/>
      <c r="F126" s="93"/>
      <c r="G126" s="93"/>
      <c r="H126" s="93"/>
      <c r="I126" s="93"/>
      <c r="J126" s="93"/>
      <c r="K126" s="93"/>
      <c r="L126" s="93"/>
      <c r="M126" s="93"/>
      <c r="N126" s="93">
        <v>20</v>
      </c>
      <c r="O126" s="93">
        <v>20</v>
      </c>
      <c r="P126" s="93"/>
      <c r="Q126" s="93">
        <v>15</v>
      </c>
      <c r="R126" s="93"/>
      <c r="S126" s="93"/>
      <c r="T126" s="93">
        <v>10</v>
      </c>
      <c r="U126" s="93"/>
      <c r="V126" s="93"/>
      <c r="W126" s="93"/>
      <c r="X126" s="93"/>
      <c r="Y126" s="93"/>
      <c r="Z126" s="93"/>
      <c r="AA126" s="93"/>
      <c r="AB126" s="93">
        <v>30</v>
      </c>
      <c r="AC126" s="93"/>
      <c r="AD126" s="93">
        <v>30</v>
      </c>
      <c r="AE126" s="93">
        <v>15</v>
      </c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170">
        <v>45383.858541666668</v>
      </c>
      <c r="AR126" s="93"/>
      <c r="AS126" s="95">
        <v>350</v>
      </c>
      <c r="AT126" s="93"/>
    </row>
    <row r="127" spans="1:46" ht="15.75" x14ac:dyDescent="0.25">
      <c r="A127" s="91" t="s">
        <v>58</v>
      </c>
      <c r="B127" s="92">
        <v>45389</v>
      </c>
      <c r="C127" s="93">
        <v>100</v>
      </c>
      <c r="D127" s="94">
        <v>250</v>
      </c>
      <c r="E127" s="93"/>
      <c r="F127" s="93"/>
      <c r="G127" s="93"/>
      <c r="H127" s="93"/>
      <c r="I127" s="93"/>
      <c r="J127" s="93"/>
      <c r="K127" s="93"/>
      <c r="L127" s="93"/>
      <c r="M127" s="93"/>
      <c r="N127" s="93">
        <v>25</v>
      </c>
      <c r="O127" s="93"/>
      <c r="P127" s="93"/>
      <c r="Q127" s="93">
        <v>5</v>
      </c>
      <c r="R127" s="93">
        <v>5</v>
      </c>
      <c r="S127" s="93">
        <v>5</v>
      </c>
      <c r="T127" s="93">
        <v>5</v>
      </c>
      <c r="U127" s="93"/>
      <c r="V127" s="93"/>
      <c r="W127" s="93"/>
      <c r="X127" s="93"/>
      <c r="Y127" s="93"/>
      <c r="Z127" s="93"/>
      <c r="AA127" s="93"/>
      <c r="AB127" s="93">
        <v>10</v>
      </c>
      <c r="AC127" s="93"/>
      <c r="AD127" s="93">
        <v>10</v>
      </c>
      <c r="AE127" s="93">
        <v>10</v>
      </c>
      <c r="AF127" s="93"/>
      <c r="AG127" s="93">
        <v>10</v>
      </c>
      <c r="AH127" s="93">
        <v>5</v>
      </c>
      <c r="AI127" s="93"/>
      <c r="AJ127" s="93">
        <v>5</v>
      </c>
      <c r="AK127" s="93">
        <v>5</v>
      </c>
      <c r="AL127" s="93"/>
      <c r="AM127" s="93"/>
      <c r="AN127" s="93"/>
      <c r="AO127" s="93"/>
      <c r="AP127" s="93"/>
      <c r="AQ127" s="170">
        <v>45389.85596064815</v>
      </c>
      <c r="AR127" s="93"/>
      <c r="AS127" s="95">
        <v>250</v>
      </c>
      <c r="AT127" s="93"/>
    </row>
    <row r="128" spans="1:46" ht="15.75" x14ac:dyDescent="0.25">
      <c r="A128" s="91" t="s">
        <v>58</v>
      </c>
      <c r="B128" s="92">
        <v>45389</v>
      </c>
      <c r="C128" s="93">
        <v>105</v>
      </c>
      <c r="D128" s="94">
        <v>262.5</v>
      </c>
      <c r="E128" s="93"/>
      <c r="F128" s="93"/>
      <c r="G128" s="93"/>
      <c r="H128" s="93"/>
      <c r="I128" s="93"/>
      <c r="J128" s="93"/>
      <c r="K128" s="93"/>
      <c r="L128" s="93"/>
      <c r="M128" s="93"/>
      <c r="N128" s="93">
        <v>25</v>
      </c>
      <c r="O128" s="93"/>
      <c r="P128" s="93"/>
      <c r="Q128" s="93">
        <v>10</v>
      </c>
      <c r="R128" s="93">
        <v>5</v>
      </c>
      <c r="S128" s="93">
        <v>5</v>
      </c>
      <c r="T128" s="93">
        <v>5</v>
      </c>
      <c r="U128" s="93"/>
      <c r="V128" s="93"/>
      <c r="W128" s="93"/>
      <c r="X128" s="93"/>
      <c r="Y128" s="93"/>
      <c r="Z128" s="93"/>
      <c r="AA128" s="93"/>
      <c r="AB128" s="93">
        <v>10</v>
      </c>
      <c r="AC128" s="93"/>
      <c r="AD128" s="93">
        <v>10</v>
      </c>
      <c r="AE128" s="93">
        <v>10</v>
      </c>
      <c r="AF128" s="93"/>
      <c r="AG128" s="93">
        <v>10</v>
      </c>
      <c r="AH128" s="93">
        <v>5</v>
      </c>
      <c r="AI128" s="93"/>
      <c r="AJ128" s="93">
        <v>5</v>
      </c>
      <c r="AK128" s="93">
        <v>5</v>
      </c>
      <c r="AL128" s="93"/>
      <c r="AM128" s="93"/>
      <c r="AN128" s="93"/>
      <c r="AO128" s="93"/>
      <c r="AP128" s="93"/>
      <c r="AQ128" s="170">
        <v>45390.602465277778</v>
      </c>
      <c r="AR128" s="93"/>
      <c r="AS128" s="95">
        <v>262.5</v>
      </c>
      <c r="AT128" s="93"/>
    </row>
    <row r="129" spans="1:46" ht="15.75" x14ac:dyDescent="0.25">
      <c r="A129" s="91" t="s">
        <v>58</v>
      </c>
      <c r="B129" s="92">
        <v>45388</v>
      </c>
      <c r="C129" s="93">
        <v>90</v>
      </c>
      <c r="D129" s="94">
        <v>225</v>
      </c>
      <c r="E129" s="93"/>
      <c r="F129" s="93"/>
      <c r="G129" s="93"/>
      <c r="H129" s="93"/>
      <c r="I129" s="93"/>
      <c r="J129" s="93"/>
      <c r="K129" s="93"/>
      <c r="L129" s="93"/>
      <c r="M129" s="93"/>
      <c r="N129" s="93">
        <v>30</v>
      </c>
      <c r="O129" s="93"/>
      <c r="P129" s="93"/>
      <c r="Q129" s="93">
        <v>5</v>
      </c>
      <c r="R129" s="93"/>
      <c r="S129" s="93">
        <v>5</v>
      </c>
      <c r="T129" s="93">
        <v>5</v>
      </c>
      <c r="U129" s="93"/>
      <c r="V129" s="93"/>
      <c r="W129" s="93"/>
      <c r="X129" s="93"/>
      <c r="Y129" s="93"/>
      <c r="Z129" s="93"/>
      <c r="AA129" s="93"/>
      <c r="AB129" s="93">
        <v>10</v>
      </c>
      <c r="AC129" s="93"/>
      <c r="AD129" s="93">
        <v>5</v>
      </c>
      <c r="AE129" s="93">
        <v>10</v>
      </c>
      <c r="AF129" s="93"/>
      <c r="AG129" s="93">
        <v>10</v>
      </c>
      <c r="AH129" s="93">
        <v>10</v>
      </c>
      <c r="AI129" s="93"/>
      <c r="AJ129" s="93"/>
      <c r="AK129" s="93"/>
      <c r="AL129" s="93"/>
      <c r="AM129" s="93"/>
      <c r="AN129" s="93"/>
      <c r="AO129" s="93"/>
      <c r="AP129" s="93"/>
      <c r="AQ129" s="170">
        <v>45390.598680555559</v>
      </c>
      <c r="AR129" s="93"/>
      <c r="AS129" s="95">
        <v>225</v>
      </c>
      <c r="AT129" s="93"/>
    </row>
    <row r="130" spans="1:46" ht="15.75" x14ac:dyDescent="0.25">
      <c r="A130" s="91" t="s">
        <v>113</v>
      </c>
      <c r="B130" s="92">
        <v>45390</v>
      </c>
      <c r="C130" s="93">
        <v>130</v>
      </c>
      <c r="D130" s="94">
        <v>325</v>
      </c>
      <c r="E130" s="93"/>
      <c r="F130" s="93"/>
      <c r="G130" s="93"/>
      <c r="H130" s="93"/>
      <c r="I130" s="93"/>
      <c r="J130" s="93"/>
      <c r="K130" s="93"/>
      <c r="L130" s="93"/>
      <c r="M130" s="93"/>
      <c r="N130" s="93">
        <v>30</v>
      </c>
      <c r="O130" s="93">
        <v>20</v>
      </c>
      <c r="P130" s="93">
        <v>10</v>
      </c>
      <c r="Q130" s="93">
        <v>15</v>
      </c>
      <c r="R130" s="93"/>
      <c r="S130" s="93">
        <v>5</v>
      </c>
      <c r="T130" s="93"/>
      <c r="U130" s="93"/>
      <c r="V130" s="93"/>
      <c r="W130" s="93"/>
      <c r="X130" s="93"/>
      <c r="Y130" s="93">
        <v>5</v>
      </c>
      <c r="Z130" s="93"/>
      <c r="AA130" s="93">
        <v>10</v>
      </c>
      <c r="AB130" s="93"/>
      <c r="AC130" s="93"/>
      <c r="AD130" s="93"/>
      <c r="AE130" s="93"/>
      <c r="AF130" s="93">
        <v>5</v>
      </c>
      <c r="AG130" s="93"/>
      <c r="AH130" s="93">
        <v>5</v>
      </c>
      <c r="AI130" s="93"/>
      <c r="AJ130" s="93"/>
      <c r="AK130" s="93"/>
      <c r="AL130" s="93">
        <v>10</v>
      </c>
      <c r="AM130" s="93">
        <v>10</v>
      </c>
      <c r="AN130" s="93">
        <v>5</v>
      </c>
      <c r="AO130" s="93"/>
      <c r="AP130" s="93"/>
      <c r="AQ130" s="170">
        <v>45390.824953703705</v>
      </c>
      <c r="AR130" s="93"/>
      <c r="AS130" s="95">
        <v>325</v>
      </c>
      <c r="AT130" s="93"/>
    </row>
    <row r="131" spans="1:46" ht="15.75" x14ac:dyDescent="0.25">
      <c r="A131" s="91" t="s">
        <v>113</v>
      </c>
      <c r="B131" s="92">
        <v>45390</v>
      </c>
      <c r="C131" s="93">
        <v>25</v>
      </c>
      <c r="D131" s="94">
        <v>62.5</v>
      </c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>
        <v>25</v>
      </c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170">
        <v>45390.829259259262</v>
      </c>
      <c r="AR131" s="93"/>
      <c r="AS131" s="95">
        <v>62.5</v>
      </c>
      <c r="AT131" s="93"/>
    </row>
    <row r="132" spans="1:46" ht="15.75" x14ac:dyDescent="0.25">
      <c r="A132" s="91" t="s">
        <v>113</v>
      </c>
      <c r="B132" s="92">
        <v>45391</v>
      </c>
      <c r="C132" s="93">
        <v>180</v>
      </c>
      <c r="D132" s="94">
        <v>450</v>
      </c>
      <c r="E132" s="93"/>
      <c r="F132" s="93"/>
      <c r="G132" s="93"/>
      <c r="H132" s="93"/>
      <c r="I132" s="93">
        <v>5</v>
      </c>
      <c r="J132" s="93"/>
      <c r="K132" s="93"/>
      <c r="L132" s="93"/>
      <c r="M132" s="93"/>
      <c r="N132" s="93">
        <v>30</v>
      </c>
      <c r="O132" s="93">
        <v>20</v>
      </c>
      <c r="P132" s="93">
        <v>10</v>
      </c>
      <c r="Q132" s="93">
        <v>15</v>
      </c>
      <c r="R132" s="93">
        <v>10</v>
      </c>
      <c r="S132" s="93">
        <v>10</v>
      </c>
      <c r="T132" s="93"/>
      <c r="U132" s="93"/>
      <c r="V132" s="93">
        <v>5</v>
      </c>
      <c r="W132" s="93"/>
      <c r="X132" s="93"/>
      <c r="Y132" s="93">
        <v>5</v>
      </c>
      <c r="Z132" s="93">
        <v>5</v>
      </c>
      <c r="AA132" s="93">
        <v>5</v>
      </c>
      <c r="AB132" s="93">
        <v>10</v>
      </c>
      <c r="AC132" s="93">
        <v>5</v>
      </c>
      <c r="AD132" s="93"/>
      <c r="AE132" s="93"/>
      <c r="AF132" s="93"/>
      <c r="AG132" s="93">
        <v>5</v>
      </c>
      <c r="AH132" s="93">
        <v>5</v>
      </c>
      <c r="AI132" s="93"/>
      <c r="AJ132" s="93">
        <v>10</v>
      </c>
      <c r="AK132" s="93">
        <v>10</v>
      </c>
      <c r="AL132" s="93"/>
      <c r="AM132" s="93">
        <v>5</v>
      </c>
      <c r="AN132" s="93">
        <v>10</v>
      </c>
      <c r="AO132" s="93"/>
      <c r="AP132" s="93"/>
      <c r="AQ132" s="170">
        <v>45391.79278935185</v>
      </c>
      <c r="AR132" s="93"/>
      <c r="AS132" s="95">
        <v>450</v>
      </c>
      <c r="AT132" s="93"/>
    </row>
    <row r="133" spans="1:46" ht="15.75" x14ac:dyDescent="0.25">
      <c r="A133" s="91" t="s">
        <v>113</v>
      </c>
      <c r="B133" s="92">
        <v>45391</v>
      </c>
      <c r="C133" s="93">
        <v>195</v>
      </c>
      <c r="D133" s="94">
        <v>487.5</v>
      </c>
      <c r="E133" s="93"/>
      <c r="F133" s="93"/>
      <c r="G133" s="93"/>
      <c r="H133" s="93"/>
      <c r="I133" s="93">
        <v>5</v>
      </c>
      <c r="J133" s="93"/>
      <c r="K133" s="93"/>
      <c r="L133" s="93"/>
      <c r="M133" s="93"/>
      <c r="N133" s="93">
        <v>30</v>
      </c>
      <c r="O133" s="93">
        <v>20</v>
      </c>
      <c r="P133" s="93">
        <v>10</v>
      </c>
      <c r="Q133" s="93">
        <v>15</v>
      </c>
      <c r="R133" s="93">
        <v>10</v>
      </c>
      <c r="S133" s="93">
        <v>10</v>
      </c>
      <c r="T133" s="93"/>
      <c r="U133" s="93"/>
      <c r="V133" s="93">
        <v>5</v>
      </c>
      <c r="W133" s="93"/>
      <c r="X133" s="93"/>
      <c r="Y133" s="93">
        <v>5</v>
      </c>
      <c r="Z133" s="93">
        <v>5</v>
      </c>
      <c r="AA133" s="93">
        <v>5</v>
      </c>
      <c r="AB133" s="93">
        <v>10</v>
      </c>
      <c r="AC133" s="93">
        <v>5</v>
      </c>
      <c r="AD133" s="93"/>
      <c r="AE133" s="93"/>
      <c r="AF133" s="93"/>
      <c r="AG133" s="93">
        <v>5</v>
      </c>
      <c r="AH133" s="93">
        <v>5</v>
      </c>
      <c r="AI133" s="93"/>
      <c r="AJ133" s="93">
        <v>10</v>
      </c>
      <c r="AK133" s="93">
        <v>10</v>
      </c>
      <c r="AL133" s="93">
        <v>15</v>
      </c>
      <c r="AM133" s="93">
        <v>5</v>
      </c>
      <c r="AN133" s="93">
        <v>10</v>
      </c>
      <c r="AO133" s="93"/>
      <c r="AP133" s="93"/>
      <c r="AQ133" s="170">
        <v>45391.79314814815</v>
      </c>
      <c r="AR133" s="93"/>
      <c r="AS133" s="95">
        <v>487.5</v>
      </c>
      <c r="AT133" s="93"/>
    </row>
    <row r="134" spans="1:46" ht="15.75" x14ac:dyDescent="0.25">
      <c r="A134" s="91" t="s">
        <v>427</v>
      </c>
      <c r="B134" s="92">
        <v>45392</v>
      </c>
      <c r="C134" s="93">
        <v>85</v>
      </c>
      <c r="D134" s="94">
        <v>212.5</v>
      </c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>
        <v>10</v>
      </c>
      <c r="T134" s="93"/>
      <c r="U134" s="93"/>
      <c r="V134" s="93"/>
      <c r="W134" s="93"/>
      <c r="X134" s="93"/>
      <c r="Y134" s="93"/>
      <c r="Z134" s="93"/>
      <c r="AA134" s="93"/>
      <c r="AB134" s="93">
        <v>20</v>
      </c>
      <c r="AC134" s="93"/>
      <c r="AD134" s="93">
        <v>10</v>
      </c>
      <c r="AE134" s="93">
        <v>20</v>
      </c>
      <c r="AF134" s="93"/>
      <c r="AG134" s="93">
        <v>10</v>
      </c>
      <c r="AH134" s="93"/>
      <c r="AI134" s="93"/>
      <c r="AJ134" s="93"/>
      <c r="AK134" s="93">
        <v>10</v>
      </c>
      <c r="AL134" s="93">
        <v>5</v>
      </c>
      <c r="AM134" s="93"/>
      <c r="AN134" s="93"/>
      <c r="AO134" s="93"/>
      <c r="AP134" s="93"/>
      <c r="AQ134" s="170">
        <v>45392.821655092594</v>
      </c>
      <c r="AR134" s="93"/>
      <c r="AS134" s="95">
        <v>212.5</v>
      </c>
      <c r="AT134" s="93"/>
    </row>
    <row r="135" spans="1:46" ht="15.75" x14ac:dyDescent="0.25">
      <c r="A135" s="91" t="s">
        <v>59</v>
      </c>
      <c r="B135" s="92">
        <v>45392</v>
      </c>
      <c r="C135" s="93">
        <v>100</v>
      </c>
      <c r="D135" s="94">
        <v>250</v>
      </c>
      <c r="E135" s="93"/>
      <c r="F135" s="93"/>
      <c r="G135" s="93"/>
      <c r="H135" s="93"/>
      <c r="I135" s="93"/>
      <c r="J135" s="93"/>
      <c r="K135" s="93"/>
      <c r="L135" s="93"/>
      <c r="M135" s="93"/>
      <c r="N135" s="93">
        <v>15</v>
      </c>
      <c r="O135" s="93">
        <v>15</v>
      </c>
      <c r="P135" s="93"/>
      <c r="Q135" s="93">
        <v>5</v>
      </c>
      <c r="R135" s="93"/>
      <c r="S135" s="93">
        <v>5</v>
      </c>
      <c r="T135" s="93">
        <v>5</v>
      </c>
      <c r="U135" s="93"/>
      <c r="V135" s="93"/>
      <c r="W135" s="93">
        <v>5</v>
      </c>
      <c r="X135" s="93">
        <v>5</v>
      </c>
      <c r="Y135" s="93"/>
      <c r="Z135" s="93">
        <v>5</v>
      </c>
      <c r="AA135" s="93"/>
      <c r="AB135" s="93">
        <v>5</v>
      </c>
      <c r="AC135" s="93"/>
      <c r="AD135" s="93"/>
      <c r="AE135" s="93"/>
      <c r="AF135" s="93"/>
      <c r="AG135" s="93">
        <v>5</v>
      </c>
      <c r="AH135" s="93">
        <v>5</v>
      </c>
      <c r="AI135" s="93"/>
      <c r="AJ135" s="93">
        <v>5</v>
      </c>
      <c r="AK135" s="93">
        <v>5</v>
      </c>
      <c r="AL135" s="93">
        <v>5</v>
      </c>
      <c r="AM135" s="93">
        <v>5</v>
      </c>
      <c r="AN135" s="93">
        <v>5</v>
      </c>
      <c r="AO135" s="93"/>
      <c r="AP135" s="93"/>
      <c r="AQ135" s="170">
        <v>45392.823935185188</v>
      </c>
      <c r="AR135" s="93"/>
      <c r="AS135" s="95">
        <v>250</v>
      </c>
      <c r="AT135" s="93"/>
    </row>
    <row r="136" spans="1:46" ht="15.75" x14ac:dyDescent="0.25">
      <c r="A136" s="91" t="s">
        <v>482</v>
      </c>
      <c r="B136" s="92">
        <v>45394</v>
      </c>
      <c r="C136" s="93">
        <v>80</v>
      </c>
      <c r="D136" s="94">
        <v>200</v>
      </c>
      <c r="E136" s="93"/>
      <c r="F136" s="93"/>
      <c r="G136" s="93"/>
      <c r="H136" s="93"/>
      <c r="I136" s="93"/>
      <c r="J136" s="93"/>
      <c r="K136" s="93"/>
      <c r="L136" s="93"/>
      <c r="M136" s="93"/>
      <c r="N136" s="93">
        <v>20</v>
      </c>
      <c r="O136" s="93"/>
      <c r="P136" s="93">
        <v>5</v>
      </c>
      <c r="Q136" s="93">
        <v>5</v>
      </c>
      <c r="R136" s="93"/>
      <c r="S136" s="93">
        <v>5</v>
      </c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>
        <v>10</v>
      </c>
      <c r="AG136" s="93">
        <v>5</v>
      </c>
      <c r="AH136" s="93">
        <v>5</v>
      </c>
      <c r="AI136" s="93">
        <v>5</v>
      </c>
      <c r="AJ136" s="93"/>
      <c r="AK136" s="93"/>
      <c r="AL136" s="93">
        <v>10</v>
      </c>
      <c r="AM136" s="93">
        <v>5</v>
      </c>
      <c r="AN136" s="93">
        <v>5</v>
      </c>
      <c r="AO136" s="93"/>
      <c r="AP136" s="93"/>
      <c r="AQ136" s="170">
        <v>45394.760370370372</v>
      </c>
      <c r="AR136" s="93"/>
      <c r="AS136" s="95">
        <v>200</v>
      </c>
      <c r="AT136" s="93"/>
    </row>
    <row r="137" spans="1:46" ht="15.75" x14ac:dyDescent="0.25">
      <c r="A137" s="91" t="s">
        <v>58</v>
      </c>
      <c r="B137" s="92">
        <v>45397</v>
      </c>
      <c r="C137" s="93">
        <v>115</v>
      </c>
      <c r="D137" s="94">
        <v>287.5</v>
      </c>
      <c r="E137" s="93"/>
      <c r="F137" s="93"/>
      <c r="G137" s="93"/>
      <c r="H137" s="93"/>
      <c r="I137" s="93"/>
      <c r="J137" s="93"/>
      <c r="K137" s="93"/>
      <c r="L137" s="93"/>
      <c r="M137" s="93"/>
      <c r="N137" s="93">
        <v>30</v>
      </c>
      <c r="O137" s="93"/>
      <c r="P137" s="93"/>
      <c r="Q137" s="93">
        <v>5</v>
      </c>
      <c r="R137" s="93">
        <v>5</v>
      </c>
      <c r="S137" s="93">
        <v>5</v>
      </c>
      <c r="T137" s="93">
        <v>5</v>
      </c>
      <c r="U137" s="93"/>
      <c r="V137" s="93"/>
      <c r="W137" s="93"/>
      <c r="X137" s="93"/>
      <c r="Y137" s="93"/>
      <c r="Z137" s="93"/>
      <c r="AA137" s="93"/>
      <c r="AB137" s="93">
        <v>10</v>
      </c>
      <c r="AC137" s="93"/>
      <c r="AD137" s="93">
        <v>10</v>
      </c>
      <c r="AE137" s="93">
        <v>10</v>
      </c>
      <c r="AF137" s="93"/>
      <c r="AG137" s="93">
        <v>10</v>
      </c>
      <c r="AH137" s="93">
        <v>10</v>
      </c>
      <c r="AI137" s="93"/>
      <c r="AJ137" s="93">
        <v>5</v>
      </c>
      <c r="AK137" s="93">
        <v>10</v>
      </c>
      <c r="AL137" s="93"/>
      <c r="AM137" s="93"/>
      <c r="AN137" s="93"/>
      <c r="AO137" s="93"/>
      <c r="AP137" s="93"/>
      <c r="AQ137" s="170">
        <v>45399.786828703705</v>
      </c>
      <c r="AR137" s="93"/>
      <c r="AS137" s="95">
        <v>287.5</v>
      </c>
      <c r="AT137" s="93"/>
    </row>
    <row r="138" spans="1:46" ht="15.75" x14ac:dyDescent="0.25">
      <c r="A138" s="91" t="s">
        <v>58</v>
      </c>
      <c r="B138" s="92">
        <v>45897</v>
      </c>
      <c r="C138" s="93">
        <v>52</v>
      </c>
      <c r="D138" s="94">
        <v>130</v>
      </c>
      <c r="E138" s="93"/>
      <c r="F138" s="93"/>
      <c r="G138" s="93"/>
      <c r="H138" s="93"/>
      <c r="I138" s="93"/>
      <c r="J138" s="93">
        <v>10</v>
      </c>
      <c r="K138" s="93"/>
      <c r="L138" s="93"/>
      <c r="M138" s="93"/>
      <c r="N138" s="93">
        <v>10</v>
      </c>
      <c r="O138" s="93"/>
      <c r="P138" s="93"/>
      <c r="Q138" s="93"/>
      <c r="R138" s="93"/>
      <c r="S138" s="93"/>
      <c r="T138" s="93">
        <v>20</v>
      </c>
      <c r="U138" s="93"/>
      <c r="V138" s="93"/>
      <c r="W138" s="93"/>
      <c r="X138" s="93"/>
      <c r="Y138" s="93"/>
      <c r="Z138" s="93"/>
      <c r="AA138" s="93"/>
      <c r="AB138" s="93">
        <v>10</v>
      </c>
      <c r="AC138" s="93">
        <v>10</v>
      </c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333">
        <v>45897.551446759258</v>
      </c>
      <c r="AP138" s="93" t="s">
        <v>203</v>
      </c>
      <c r="AQ138" s="170">
        <v>45897.548657407409</v>
      </c>
      <c r="AR138" s="334">
        <v>100</v>
      </c>
      <c r="AS138" s="95">
        <v>30</v>
      </c>
      <c r="AT138" s="93"/>
    </row>
  </sheetData>
  <phoneticPr fontId="2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9D90C-B127-4FC3-89DA-E432FFA421B0}">
  <sheetPr codeName="Planilha19"/>
  <dimension ref="A1:O214"/>
  <sheetViews>
    <sheetView zoomScale="84" zoomScaleNormal="84" workbookViewId="0">
      <selection activeCell="F22" sqref="F22"/>
    </sheetView>
  </sheetViews>
  <sheetFormatPr defaultRowHeight="15.75" x14ac:dyDescent="0.25"/>
  <cols>
    <col min="1" max="1" width="23.7109375" bestFit="1" customWidth="1"/>
    <col min="2" max="2" width="20.28515625" bestFit="1" customWidth="1"/>
    <col min="3" max="3" width="20.140625" customWidth="1"/>
    <col min="4" max="4" width="12.28515625" style="99" bestFit="1" customWidth="1"/>
    <col min="5" max="5" width="13.42578125" style="2" bestFit="1" customWidth="1"/>
    <col min="6" max="6" width="54.7109375" bestFit="1" customWidth="1"/>
    <col min="7" max="7" width="18.85546875" style="27" bestFit="1" customWidth="1"/>
    <col min="8" max="8" width="19.28515625" style="117" bestFit="1" customWidth="1"/>
    <col min="14" max="14" width="14.7109375" bestFit="1" customWidth="1"/>
    <col min="15" max="15" width="12.7109375" bestFit="1" customWidth="1"/>
  </cols>
  <sheetData>
    <row r="1" spans="1:15" ht="18.75" x14ac:dyDescent="0.3">
      <c r="A1" s="26" t="s">
        <v>65</v>
      </c>
      <c r="B1" s="29" t="s">
        <v>69</v>
      </c>
      <c r="C1" s="29" t="s">
        <v>70</v>
      </c>
      <c r="D1" s="26" t="s">
        <v>67</v>
      </c>
      <c r="E1" s="26" t="s">
        <v>66</v>
      </c>
      <c r="F1" s="26" t="s">
        <v>200</v>
      </c>
      <c r="G1" s="26" t="s">
        <v>341</v>
      </c>
      <c r="H1" s="26" t="s">
        <v>342</v>
      </c>
      <c r="N1" s="118" t="s">
        <v>342</v>
      </c>
      <c r="O1" s="118" t="s">
        <v>45</v>
      </c>
    </row>
    <row r="2" spans="1:15" x14ac:dyDescent="0.25">
      <c r="A2" s="34"/>
      <c r="B2" s="34"/>
      <c r="C2" s="34"/>
      <c r="D2" s="67"/>
      <c r="E2" s="35"/>
      <c r="F2" s="34"/>
      <c r="G2" s="116"/>
      <c r="H2" s="120"/>
      <c r="N2" s="101" t="s">
        <v>346</v>
      </c>
      <c r="O2" s="30">
        <v>0</v>
      </c>
    </row>
    <row r="3" spans="1:15" x14ac:dyDescent="0.25">
      <c r="A3" s="34"/>
      <c r="B3" s="34"/>
      <c r="C3" s="34"/>
      <c r="D3" s="67"/>
      <c r="E3" s="35"/>
      <c r="F3" s="34"/>
      <c r="G3" s="116"/>
      <c r="H3" s="120"/>
      <c r="N3" s="101" t="s">
        <v>68</v>
      </c>
      <c r="O3" s="30">
        <v>0</v>
      </c>
    </row>
    <row r="4" spans="1:15" x14ac:dyDescent="0.25">
      <c r="A4" s="34"/>
      <c r="B4" s="34"/>
      <c r="C4" s="34"/>
      <c r="D4" s="67"/>
      <c r="E4" s="35"/>
      <c r="F4" s="34"/>
      <c r="G4" s="116"/>
      <c r="H4" s="120"/>
      <c r="N4" s="101" t="s">
        <v>305</v>
      </c>
      <c r="O4" s="30">
        <v>0</v>
      </c>
    </row>
    <row r="5" spans="1:15" x14ac:dyDescent="0.25">
      <c r="A5" s="34"/>
      <c r="B5" s="34"/>
      <c r="C5" s="34"/>
      <c r="D5" s="67"/>
      <c r="E5" s="35"/>
      <c r="F5" s="34"/>
      <c r="G5" s="116"/>
      <c r="H5" s="120"/>
      <c r="N5" s="101" t="s">
        <v>347</v>
      </c>
      <c r="O5" s="30">
        <v>0</v>
      </c>
    </row>
    <row r="6" spans="1:15" x14ac:dyDescent="0.25">
      <c r="A6" s="34"/>
      <c r="B6" s="34"/>
      <c r="C6" s="34"/>
      <c r="D6" s="67"/>
      <c r="E6" s="35"/>
      <c r="F6" s="34"/>
      <c r="G6" s="116"/>
      <c r="H6" s="120"/>
      <c r="N6" s="101" t="s">
        <v>106</v>
      </c>
      <c r="O6" s="30">
        <v>0</v>
      </c>
    </row>
    <row r="7" spans="1:15" x14ac:dyDescent="0.25">
      <c r="A7" s="34"/>
      <c r="B7" s="34"/>
      <c r="C7" s="34"/>
      <c r="D7" s="67"/>
      <c r="E7" s="35"/>
      <c r="F7" s="34"/>
      <c r="G7" s="116"/>
      <c r="H7" s="120"/>
      <c r="N7" s="101" t="s">
        <v>282</v>
      </c>
      <c r="O7" s="119">
        <v>0</v>
      </c>
    </row>
    <row r="8" spans="1:15" x14ac:dyDescent="0.25">
      <c r="A8" s="34"/>
      <c r="B8" s="34"/>
      <c r="C8" s="34"/>
      <c r="D8" s="67"/>
      <c r="E8" s="35"/>
      <c r="F8" s="34"/>
      <c r="G8" s="116"/>
      <c r="H8" s="120"/>
      <c r="N8" s="101" t="s">
        <v>348</v>
      </c>
      <c r="O8" s="30">
        <v>0</v>
      </c>
    </row>
    <row r="9" spans="1:15" x14ac:dyDescent="0.25">
      <c r="A9" s="34"/>
      <c r="B9" s="34"/>
      <c r="C9" s="34"/>
      <c r="D9" s="67"/>
      <c r="E9" s="35"/>
      <c r="F9" s="34"/>
      <c r="G9" s="116"/>
      <c r="H9" s="120"/>
    </row>
    <row r="10" spans="1:15" x14ac:dyDescent="0.25">
      <c r="A10" s="34"/>
      <c r="B10" s="34"/>
      <c r="C10" s="34"/>
      <c r="D10" s="67"/>
      <c r="E10" s="35"/>
      <c r="F10" s="34"/>
      <c r="G10" s="116"/>
      <c r="H10" s="120"/>
    </row>
    <row r="11" spans="1:15" x14ac:dyDescent="0.25">
      <c r="A11" s="34"/>
      <c r="B11" s="34"/>
      <c r="C11" s="34"/>
      <c r="D11" s="67"/>
      <c r="E11" s="35"/>
      <c r="F11" s="34"/>
      <c r="G11" s="116"/>
      <c r="H11" s="120"/>
    </row>
    <row r="12" spans="1:15" x14ac:dyDescent="0.25">
      <c r="A12" s="34"/>
      <c r="B12" s="34"/>
      <c r="C12" s="34"/>
      <c r="D12" s="67"/>
      <c r="E12" s="35"/>
      <c r="F12" s="34"/>
      <c r="G12" s="116"/>
      <c r="H12" s="120"/>
    </row>
    <row r="13" spans="1:15" x14ac:dyDescent="0.25">
      <c r="A13" s="34"/>
      <c r="B13" s="34"/>
      <c r="C13" s="34"/>
      <c r="D13" s="67"/>
      <c r="E13" s="35"/>
      <c r="F13" s="34"/>
      <c r="G13" s="116"/>
      <c r="H13" s="120"/>
    </row>
    <row r="14" spans="1:15" x14ac:dyDescent="0.25">
      <c r="A14" s="34"/>
      <c r="B14" s="34"/>
      <c r="C14" s="34"/>
      <c r="D14" s="67"/>
      <c r="E14" s="35"/>
      <c r="F14" s="34"/>
      <c r="G14" s="116"/>
      <c r="H14" s="120"/>
    </row>
    <row r="15" spans="1:15" x14ac:dyDescent="0.25">
      <c r="A15" s="34"/>
      <c r="B15" s="34"/>
      <c r="C15" s="34"/>
      <c r="D15" s="67"/>
      <c r="E15" s="35"/>
      <c r="F15" s="34"/>
      <c r="G15" s="116"/>
      <c r="H15" s="120"/>
    </row>
    <row r="16" spans="1:15" x14ac:dyDescent="0.25">
      <c r="A16" s="34"/>
      <c r="B16" s="34"/>
      <c r="C16" s="34"/>
      <c r="D16" s="67"/>
      <c r="E16" s="35"/>
      <c r="F16" s="34"/>
      <c r="G16" s="116"/>
      <c r="H16" s="120"/>
    </row>
    <row r="17" spans="1:8" x14ac:dyDescent="0.25">
      <c r="A17" s="34"/>
      <c r="B17" s="34"/>
      <c r="C17" s="34"/>
      <c r="D17" s="67"/>
      <c r="E17" s="35"/>
      <c r="F17" s="34"/>
      <c r="G17" s="116"/>
      <c r="H17" s="120"/>
    </row>
    <row r="18" spans="1:8" x14ac:dyDescent="0.25">
      <c r="A18" s="34"/>
      <c r="B18" s="34"/>
      <c r="C18" s="34"/>
      <c r="D18" s="67"/>
      <c r="E18" s="35"/>
      <c r="F18" s="34"/>
      <c r="G18" s="116"/>
      <c r="H18" s="120"/>
    </row>
    <row r="19" spans="1:8" x14ac:dyDescent="0.25">
      <c r="A19" s="34"/>
      <c r="B19" s="34"/>
      <c r="C19" s="34"/>
      <c r="D19" s="67"/>
      <c r="E19" s="35"/>
      <c r="F19" s="34"/>
      <c r="G19" s="116"/>
      <c r="H19" s="120"/>
    </row>
    <row r="20" spans="1:8" x14ac:dyDescent="0.25">
      <c r="A20" s="34"/>
      <c r="B20" s="34"/>
      <c r="C20" s="34"/>
      <c r="D20" s="67"/>
      <c r="E20" s="35"/>
      <c r="F20" s="34"/>
      <c r="G20" s="116"/>
      <c r="H20" s="120"/>
    </row>
    <row r="21" spans="1:8" x14ac:dyDescent="0.25">
      <c r="A21" s="34"/>
      <c r="B21" s="34"/>
      <c r="C21" s="34"/>
      <c r="D21" s="67"/>
      <c r="E21" s="35"/>
      <c r="F21" s="34"/>
      <c r="G21" s="116"/>
      <c r="H21" s="120"/>
    </row>
    <row r="22" spans="1:8" x14ac:dyDescent="0.25">
      <c r="A22" s="34"/>
      <c r="B22" s="34"/>
      <c r="C22" s="34"/>
      <c r="D22" s="67"/>
      <c r="E22" s="35"/>
      <c r="F22" s="34"/>
      <c r="G22" s="116"/>
      <c r="H22" s="120"/>
    </row>
    <row r="23" spans="1:8" x14ac:dyDescent="0.25">
      <c r="A23" s="34"/>
      <c r="B23" s="34"/>
      <c r="C23" s="34"/>
      <c r="D23" s="67"/>
      <c r="E23" s="35"/>
      <c r="F23" s="34"/>
      <c r="G23" s="116"/>
      <c r="H23" s="120"/>
    </row>
    <row r="24" spans="1:8" x14ac:dyDescent="0.25">
      <c r="A24" s="34"/>
      <c r="B24" s="34"/>
      <c r="C24" s="34"/>
      <c r="D24" s="67"/>
      <c r="E24" s="35"/>
      <c r="F24" s="34"/>
      <c r="G24" s="116"/>
      <c r="H24" s="120"/>
    </row>
    <row r="25" spans="1:8" x14ac:dyDescent="0.25">
      <c r="A25" s="34"/>
      <c r="B25" s="34"/>
      <c r="C25" s="34"/>
      <c r="D25" s="67"/>
      <c r="E25" s="35"/>
      <c r="F25" s="34"/>
      <c r="G25" s="116"/>
      <c r="H25" s="120"/>
    </row>
    <row r="26" spans="1:8" x14ac:dyDescent="0.25">
      <c r="A26" s="34"/>
      <c r="B26" s="34"/>
      <c r="C26" s="34"/>
      <c r="D26" s="67"/>
      <c r="E26" s="75"/>
      <c r="F26" s="34"/>
      <c r="G26" s="116"/>
      <c r="H26" s="120"/>
    </row>
    <row r="27" spans="1:8" x14ac:dyDescent="0.25">
      <c r="A27" s="22"/>
      <c r="B27" s="22"/>
      <c r="C27" s="22"/>
      <c r="D27" s="66"/>
      <c r="E27" s="60"/>
      <c r="F27" s="22"/>
      <c r="G27" s="115"/>
    </row>
    <row r="28" spans="1:8" x14ac:dyDescent="0.25">
      <c r="A28" s="22"/>
      <c r="B28" s="22"/>
      <c r="C28" s="22"/>
      <c r="D28" s="66"/>
      <c r="E28" s="30"/>
      <c r="F28" s="22"/>
      <c r="G28" s="115"/>
    </row>
    <row r="29" spans="1:8" x14ac:dyDescent="0.25">
      <c r="A29" s="22"/>
      <c r="B29" s="22"/>
      <c r="C29" s="22"/>
      <c r="D29" s="66"/>
      <c r="E29" s="60"/>
      <c r="F29" s="22"/>
      <c r="G29" s="115"/>
    </row>
    <row r="30" spans="1:8" x14ac:dyDescent="0.25">
      <c r="A30" s="22"/>
      <c r="B30" s="22"/>
      <c r="C30" s="22"/>
      <c r="D30" s="66"/>
      <c r="E30" s="30"/>
      <c r="F30" s="22"/>
      <c r="G30" s="115"/>
    </row>
    <row r="31" spans="1:8" x14ac:dyDescent="0.25">
      <c r="A31" s="34"/>
      <c r="B31" s="34"/>
      <c r="C31" s="34"/>
      <c r="D31" s="67"/>
      <c r="E31" s="35"/>
      <c r="F31" s="34"/>
      <c r="G31" s="115"/>
    </row>
    <row r="32" spans="1:8" x14ac:dyDescent="0.25">
      <c r="A32" s="22"/>
      <c r="B32" s="22"/>
      <c r="C32" s="22"/>
      <c r="D32" s="66"/>
      <c r="E32" s="60"/>
      <c r="F32" s="22"/>
      <c r="G32" s="115"/>
    </row>
    <row r="33" spans="1:7" x14ac:dyDescent="0.25">
      <c r="A33" s="22"/>
      <c r="B33" s="22"/>
      <c r="C33" s="22"/>
      <c r="D33" s="66"/>
      <c r="E33" s="30"/>
      <c r="F33" s="22"/>
      <c r="G33" s="115"/>
    </row>
    <row r="34" spans="1:7" x14ac:dyDescent="0.25">
      <c r="A34" s="22"/>
      <c r="B34" s="22"/>
      <c r="C34" s="22"/>
      <c r="D34" s="66"/>
      <c r="E34" s="60"/>
      <c r="F34" s="22"/>
      <c r="G34" s="115"/>
    </row>
    <row r="35" spans="1:7" x14ac:dyDescent="0.25">
      <c r="A35" s="22"/>
      <c r="B35" s="22"/>
      <c r="C35" s="22"/>
      <c r="D35" s="66"/>
      <c r="E35" s="60"/>
      <c r="F35" s="22"/>
      <c r="G35" s="115"/>
    </row>
    <row r="36" spans="1:7" x14ac:dyDescent="0.25">
      <c r="A36" s="22"/>
      <c r="B36" s="22"/>
      <c r="C36" s="22"/>
      <c r="D36" s="66"/>
      <c r="E36" s="30"/>
      <c r="F36" s="22"/>
      <c r="G36" s="115"/>
    </row>
    <row r="37" spans="1:7" x14ac:dyDescent="0.25">
      <c r="A37" s="22"/>
      <c r="B37" s="22"/>
      <c r="C37" s="22"/>
      <c r="D37" s="66"/>
      <c r="E37" s="30"/>
      <c r="F37" s="22"/>
      <c r="G37" s="115"/>
    </row>
    <row r="38" spans="1:7" x14ac:dyDescent="0.25">
      <c r="A38" s="22"/>
      <c r="B38" s="22"/>
      <c r="C38" s="22"/>
      <c r="D38" s="66"/>
      <c r="E38" s="30"/>
      <c r="F38" s="22"/>
      <c r="G38" s="115"/>
    </row>
    <row r="39" spans="1:7" x14ac:dyDescent="0.25">
      <c r="A39" s="22"/>
      <c r="B39" s="22"/>
      <c r="C39" s="22"/>
      <c r="D39" s="66"/>
      <c r="E39" s="30"/>
      <c r="F39" s="22"/>
      <c r="G39" s="115"/>
    </row>
    <row r="40" spans="1:7" x14ac:dyDescent="0.25">
      <c r="A40" s="34"/>
      <c r="B40" s="34"/>
      <c r="C40" s="34"/>
      <c r="D40" s="67"/>
      <c r="E40" s="35"/>
      <c r="F40" s="34"/>
      <c r="G40" s="115"/>
    </row>
    <row r="41" spans="1:7" x14ac:dyDescent="0.25">
      <c r="A41" s="22"/>
      <c r="B41" s="22"/>
      <c r="C41" s="22"/>
      <c r="D41" s="66"/>
      <c r="E41" s="30"/>
      <c r="F41" s="22"/>
      <c r="G41" s="115"/>
    </row>
    <row r="42" spans="1:7" x14ac:dyDescent="0.25">
      <c r="A42" s="22"/>
      <c r="B42" s="22"/>
      <c r="C42" s="22"/>
      <c r="D42" s="66"/>
      <c r="E42" s="30"/>
      <c r="F42" s="22"/>
      <c r="G42" s="115"/>
    </row>
    <row r="43" spans="1:7" x14ac:dyDescent="0.25">
      <c r="A43" s="22"/>
      <c r="B43" s="22"/>
      <c r="C43" s="22"/>
      <c r="D43" s="66"/>
      <c r="E43" s="30"/>
      <c r="F43" s="22"/>
      <c r="G43" s="115"/>
    </row>
    <row r="44" spans="1:7" x14ac:dyDescent="0.25">
      <c r="A44" s="22"/>
      <c r="B44" s="22"/>
      <c r="C44" s="22"/>
      <c r="D44" s="66"/>
      <c r="E44" s="30"/>
      <c r="F44" s="22"/>
      <c r="G44" s="115"/>
    </row>
    <row r="45" spans="1:7" x14ac:dyDescent="0.25">
      <c r="A45" s="22"/>
      <c r="B45" s="22"/>
      <c r="C45" s="22"/>
      <c r="D45" s="66"/>
      <c r="E45" s="60"/>
      <c r="F45" s="22"/>
      <c r="G45" s="115"/>
    </row>
    <row r="46" spans="1:7" x14ac:dyDescent="0.25">
      <c r="A46" s="22"/>
      <c r="B46" s="22"/>
      <c r="C46" s="22"/>
      <c r="D46" s="66"/>
      <c r="E46" s="60"/>
      <c r="F46" s="22"/>
      <c r="G46" s="115"/>
    </row>
    <row r="47" spans="1:7" x14ac:dyDescent="0.25">
      <c r="A47" s="34"/>
      <c r="B47" s="34"/>
      <c r="C47" s="34"/>
      <c r="D47" s="67"/>
      <c r="E47" s="75"/>
      <c r="F47" s="34"/>
      <c r="G47" s="115"/>
    </row>
    <row r="48" spans="1:7" x14ac:dyDescent="0.25">
      <c r="A48" s="22"/>
      <c r="B48" s="22"/>
      <c r="C48" s="22"/>
      <c r="D48" s="66"/>
      <c r="E48" s="30"/>
      <c r="F48" s="22"/>
      <c r="G48" s="115"/>
    </row>
    <row r="49" spans="1:7" x14ac:dyDescent="0.25">
      <c r="A49" s="34"/>
      <c r="B49" s="34"/>
      <c r="C49" s="34"/>
      <c r="D49" s="67"/>
      <c r="E49" s="35"/>
      <c r="F49" s="34"/>
      <c r="G49" s="115"/>
    </row>
    <row r="50" spans="1:7" x14ac:dyDescent="0.25">
      <c r="A50" s="22"/>
      <c r="B50" s="22"/>
      <c r="C50" s="22"/>
      <c r="D50" s="66"/>
      <c r="E50" s="60"/>
      <c r="F50" s="22"/>
      <c r="G50" s="115"/>
    </row>
    <row r="51" spans="1:7" x14ac:dyDescent="0.25">
      <c r="A51" s="22"/>
      <c r="B51" s="22"/>
      <c r="C51" s="22"/>
      <c r="D51" s="66"/>
      <c r="E51" s="60"/>
      <c r="F51" s="22"/>
      <c r="G51" s="115"/>
    </row>
    <row r="52" spans="1:7" x14ac:dyDescent="0.25">
      <c r="A52" s="22"/>
      <c r="B52" s="22"/>
      <c r="C52" s="22"/>
      <c r="D52" s="66"/>
      <c r="E52" s="30"/>
      <c r="F52" s="22"/>
      <c r="G52" s="115"/>
    </row>
    <row r="53" spans="1:7" x14ac:dyDescent="0.25">
      <c r="A53" s="22"/>
      <c r="B53" s="22"/>
      <c r="C53" s="22"/>
      <c r="D53" s="66"/>
      <c r="E53" s="30"/>
      <c r="F53" s="22"/>
      <c r="G53" s="115"/>
    </row>
    <row r="54" spans="1:7" x14ac:dyDescent="0.25">
      <c r="A54" s="22"/>
      <c r="B54" s="22"/>
      <c r="C54" s="22"/>
      <c r="D54" s="66"/>
      <c r="E54" s="30"/>
      <c r="F54" s="22"/>
      <c r="G54" s="115"/>
    </row>
    <row r="55" spans="1:7" x14ac:dyDescent="0.25">
      <c r="A55" s="22"/>
      <c r="B55" s="22"/>
      <c r="C55" s="22"/>
      <c r="D55" s="66"/>
      <c r="E55" s="30"/>
      <c r="F55" s="22"/>
      <c r="G55" s="115"/>
    </row>
    <row r="56" spans="1:7" x14ac:dyDescent="0.25">
      <c r="A56" s="22"/>
      <c r="B56" s="22"/>
      <c r="C56" s="22"/>
      <c r="D56" s="66"/>
      <c r="E56" s="30"/>
      <c r="F56" s="22"/>
      <c r="G56" s="115"/>
    </row>
    <row r="57" spans="1:7" x14ac:dyDescent="0.25">
      <c r="A57" s="22"/>
      <c r="B57" s="22"/>
      <c r="C57" s="22"/>
      <c r="D57" s="66"/>
      <c r="E57" s="30"/>
      <c r="F57" s="22"/>
      <c r="G57" s="115"/>
    </row>
    <row r="58" spans="1:7" x14ac:dyDescent="0.25">
      <c r="A58" s="22"/>
      <c r="B58" s="22"/>
      <c r="C58" s="22"/>
      <c r="D58" s="66"/>
      <c r="E58" s="30"/>
      <c r="F58" s="22"/>
      <c r="G58" s="115"/>
    </row>
    <row r="59" spans="1:7" x14ac:dyDescent="0.25">
      <c r="A59" s="22"/>
      <c r="B59" s="22"/>
      <c r="C59" s="22"/>
      <c r="D59" s="66"/>
      <c r="E59" s="60"/>
      <c r="F59" s="22"/>
      <c r="G59" s="115"/>
    </row>
    <row r="60" spans="1:7" x14ac:dyDescent="0.25">
      <c r="A60" s="22"/>
      <c r="B60" s="22"/>
      <c r="C60" s="22"/>
      <c r="D60" s="66"/>
      <c r="E60" s="60"/>
      <c r="F60" s="22"/>
      <c r="G60" s="115"/>
    </row>
    <row r="61" spans="1:7" x14ac:dyDescent="0.25">
      <c r="A61" s="22"/>
      <c r="B61" s="22"/>
      <c r="C61" s="22"/>
      <c r="D61" s="66"/>
      <c r="E61" s="30"/>
      <c r="F61" s="22"/>
      <c r="G61" s="115"/>
    </row>
    <row r="62" spans="1:7" x14ac:dyDescent="0.25">
      <c r="A62" s="34"/>
      <c r="B62" s="34"/>
      <c r="C62" s="34"/>
      <c r="D62" s="67"/>
      <c r="E62" s="35"/>
      <c r="F62" s="34"/>
      <c r="G62" s="115"/>
    </row>
    <row r="63" spans="1:7" x14ac:dyDescent="0.25">
      <c r="A63" s="34"/>
      <c r="B63" s="34"/>
      <c r="C63" s="34"/>
      <c r="D63" s="67"/>
      <c r="E63" s="35"/>
      <c r="F63" s="34"/>
      <c r="G63" s="116"/>
    </row>
    <row r="64" spans="1:7" x14ac:dyDescent="0.25">
      <c r="A64" s="22"/>
      <c r="B64" s="22"/>
      <c r="C64" s="22"/>
      <c r="D64" s="66"/>
      <c r="E64" s="30"/>
      <c r="F64" s="22"/>
      <c r="G64" s="115"/>
    </row>
    <row r="65" spans="1:7" x14ac:dyDescent="0.25">
      <c r="A65" s="22"/>
      <c r="B65" s="22"/>
      <c r="C65" s="22"/>
      <c r="D65" s="66"/>
      <c r="E65" s="30"/>
      <c r="F65" s="22"/>
      <c r="G65" s="115"/>
    </row>
    <row r="66" spans="1:7" x14ac:dyDescent="0.25">
      <c r="A66" s="22"/>
      <c r="B66" s="22"/>
      <c r="C66" s="22"/>
      <c r="D66" s="66"/>
      <c r="E66" s="30"/>
      <c r="F66" s="22"/>
      <c r="G66" s="115"/>
    </row>
    <row r="67" spans="1:7" x14ac:dyDescent="0.25">
      <c r="A67" s="22"/>
      <c r="B67" s="22"/>
      <c r="C67" s="22"/>
      <c r="D67" s="66"/>
      <c r="E67" s="30"/>
      <c r="F67" s="22"/>
      <c r="G67" s="115"/>
    </row>
    <row r="68" spans="1:7" x14ac:dyDescent="0.25">
      <c r="A68" s="22"/>
      <c r="B68" s="22"/>
      <c r="C68" s="22"/>
      <c r="D68" s="66"/>
      <c r="E68" s="30"/>
      <c r="F68" s="22"/>
      <c r="G68" s="115"/>
    </row>
    <row r="69" spans="1:7" x14ac:dyDescent="0.25">
      <c r="A69" s="22"/>
      <c r="B69" s="22"/>
      <c r="C69" s="22"/>
      <c r="D69" s="66"/>
      <c r="E69" s="30"/>
      <c r="F69" s="22"/>
      <c r="G69" s="115"/>
    </row>
    <row r="70" spans="1:7" x14ac:dyDescent="0.25">
      <c r="A70" s="22"/>
      <c r="B70" s="22"/>
      <c r="C70" s="22"/>
      <c r="D70" s="66"/>
      <c r="E70" s="30"/>
      <c r="F70" s="22"/>
      <c r="G70" s="115"/>
    </row>
    <row r="71" spans="1:7" x14ac:dyDescent="0.25">
      <c r="A71" s="22"/>
      <c r="B71" s="22"/>
      <c r="C71" s="22"/>
      <c r="D71" s="66"/>
      <c r="E71" s="30"/>
      <c r="F71" s="22"/>
      <c r="G71" s="115"/>
    </row>
    <row r="72" spans="1:7" x14ac:dyDescent="0.25">
      <c r="A72" s="22"/>
      <c r="B72" s="22"/>
      <c r="C72" s="22"/>
      <c r="D72" s="66"/>
      <c r="E72" s="60"/>
      <c r="F72" s="22"/>
      <c r="G72" s="115"/>
    </row>
    <row r="73" spans="1:7" x14ac:dyDescent="0.25">
      <c r="A73" s="22"/>
      <c r="B73" s="22"/>
      <c r="C73" s="22"/>
      <c r="D73" s="66"/>
      <c r="E73" s="60"/>
      <c r="F73" s="22"/>
      <c r="G73" s="115"/>
    </row>
    <row r="74" spans="1:7" x14ac:dyDescent="0.25">
      <c r="A74" s="22"/>
      <c r="B74" s="22"/>
      <c r="C74" s="22"/>
      <c r="D74" s="66"/>
      <c r="E74" s="60"/>
      <c r="F74" s="22"/>
      <c r="G74" s="115"/>
    </row>
    <row r="75" spans="1:7" x14ac:dyDescent="0.25">
      <c r="A75" s="22"/>
      <c r="B75" s="22"/>
      <c r="C75" s="22"/>
      <c r="D75" s="66"/>
      <c r="E75" s="60"/>
      <c r="F75" s="22"/>
      <c r="G75" s="115"/>
    </row>
    <row r="76" spans="1:7" x14ac:dyDescent="0.25">
      <c r="A76" s="22"/>
      <c r="B76" s="22"/>
      <c r="C76" s="22"/>
      <c r="D76" s="66"/>
      <c r="E76" s="60"/>
      <c r="F76" s="22"/>
      <c r="G76" s="115"/>
    </row>
    <row r="77" spans="1:7" x14ac:dyDescent="0.25">
      <c r="A77" s="34"/>
      <c r="B77" s="34"/>
      <c r="C77" s="34"/>
      <c r="D77" s="67"/>
      <c r="E77" s="75"/>
      <c r="F77" s="34"/>
      <c r="G77" s="116"/>
    </row>
    <row r="78" spans="1:7" x14ac:dyDescent="0.25">
      <c r="A78" s="34"/>
      <c r="B78" s="34"/>
      <c r="C78" s="34"/>
      <c r="D78" s="67"/>
      <c r="E78" s="35"/>
      <c r="F78" s="34"/>
      <c r="G78" s="116"/>
    </row>
    <row r="79" spans="1:7" x14ac:dyDescent="0.25">
      <c r="A79" s="34"/>
      <c r="B79" s="34"/>
      <c r="C79" s="34"/>
      <c r="D79" s="67"/>
      <c r="E79" s="35"/>
      <c r="F79" s="34"/>
      <c r="G79" s="116"/>
    </row>
    <row r="80" spans="1:7" x14ac:dyDescent="0.25">
      <c r="A80" s="34"/>
      <c r="B80" s="34"/>
      <c r="C80" s="34"/>
      <c r="D80" s="67"/>
      <c r="E80" s="35"/>
      <c r="F80" s="34"/>
      <c r="G80" s="116"/>
    </row>
    <row r="81" spans="1:7" x14ac:dyDescent="0.25">
      <c r="A81" s="34"/>
      <c r="B81" s="34"/>
      <c r="C81" s="34"/>
      <c r="D81" s="67"/>
      <c r="E81" s="35"/>
      <c r="F81" s="34"/>
      <c r="G81" s="116"/>
    </row>
    <row r="82" spans="1:7" x14ac:dyDescent="0.25">
      <c r="A82" s="34"/>
      <c r="B82" s="34"/>
      <c r="C82" s="34"/>
      <c r="D82" s="67"/>
      <c r="E82" s="35"/>
      <c r="F82" s="34"/>
      <c r="G82" s="116"/>
    </row>
    <row r="83" spans="1:7" x14ac:dyDescent="0.25">
      <c r="A83" s="34"/>
      <c r="B83" s="34"/>
      <c r="C83" s="34"/>
      <c r="D83" s="67"/>
      <c r="E83" s="35"/>
      <c r="F83" s="34"/>
      <c r="G83" s="116"/>
    </row>
    <row r="84" spans="1:7" x14ac:dyDescent="0.25">
      <c r="A84" s="34"/>
      <c r="B84" s="34"/>
      <c r="C84" s="34"/>
      <c r="D84" s="67"/>
      <c r="E84" s="35"/>
      <c r="F84" s="34"/>
      <c r="G84" s="116"/>
    </row>
    <row r="85" spans="1:7" x14ac:dyDescent="0.25">
      <c r="A85" s="34"/>
      <c r="B85" s="34"/>
      <c r="C85" s="34"/>
      <c r="D85" s="67"/>
      <c r="E85" s="35"/>
      <c r="F85" s="34"/>
      <c r="G85" s="116"/>
    </row>
    <row r="86" spans="1:7" x14ac:dyDescent="0.25">
      <c r="A86" s="34"/>
      <c r="B86" s="34"/>
      <c r="C86" s="34"/>
      <c r="D86" s="67"/>
      <c r="E86" s="35"/>
      <c r="F86" s="34"/>
      <c r="G86" s="116"/>
    </row>
    <row r="87" spans="1:7" x14ac:dyDescent="0.25">
      <c r="A87" s="34"/>
      <c r="B87" s="34"/>
      <c r="C87" s="34"/>
      <c r="D87" s="67"/>
      <c r="E87" s="35"/>
      <c r="F87" s="34"/>
      <c r="G87" s="116"/>
    </row>
    <row r="88" spans="1:7" x14ac:dyDescent="0.25">
      <c r="A88" s="34"/>
      <c r="B88" s="34"/>
      <c r="C88" s="34"/>
      <c r="D88" s="67"/>
      <c r="E88" s="35"/>
      <c r="F88" s="34"/>
      <c r="G88" s="116"/>
    </row>
    <row r="89" spans="1:7" x14ac:dyDescent="0.25">
      <c r="A89" s="34"/>
      <c r="B89" s="34"/>
      <c r="C89" s="34"/>
      <c r="D89" s="67"/>
      <c r="E89" s="35"/>
      <c r="F89" s="34"/>
      <c r="G89" s="116"/>
    </row>
    <row r="90" spans="1:7" x14ac:dyDescent="0.25">
      <c r="A90" s="34"/>
      <c r="B90" s="34"/>
      <c r="C90" s="34"/>
      <c r="D90" s="67"/>
      <c r="E90" s="35"/>
      <c r="F90" s="34"/>
      <c r="G90" s="116"/>
    </row>
    <row r="91" spans="1:7" x14ac:dyDescent="0.25">
      <c r="A91" s="34"/>
      <c r="B91" s="34"/>
      <c r="C91" s="34"/>
      <c r="D91" s="67"/>
      <c r="E91" s="35"/>
      <c r="F91" s="34"/>
      <c r="G91" s="116"/>
    </row>
    <row r="92" spans="1:7" x14ac:dyDescent="0.25">
      <c r="A92" s="34"/>
      <c r="B92" s="34"/>
      <c r="C92" s="34"/>
      <c r="D92" s="67"/>
      <c r="E92" s="35"/>
      <c r="F92" s="34"/>
      <c r="G92" s="116"/>
    </row>
    <row r="93" spans="1:7" x14ac:dyDescent="0.25">
      <c r="A93" s="34"/>
      <c r="B93" s="34"/>
      <c r="C93" s="34"/>
      <c r="D93" s="67"/>
      <c r="E93" s="35"/>
      <c r="F93" s="34"/>
      <c r="G93" s="116"/>
    </row>
    <row r="94" spans="1:7" x14ac:dyDescent="0.25">
      <c r="A94" s="34"/>
      <c r="B94" s="34"/>
      <c r="C94" s="34"/>
      <c r="D94" s="67"/>
      <c r="E94" s="35"/>
      <c r="F94" s="34"/>
      <c r="G94" s="116"/>
    </row>
    <row r="95" spans="1:7" x14ac:dyDescent="0.25">
      <c r="A95" s="34"/>
      <c r="B95" s="34"/>
      <c r="C95" s="34"/>
      <c r="D95" s="67"/>
      <c r="E95" s="35"/>
      <c r="F95" s="34"/>
      <c r="G95" s="116"/>
    </row>
    <row r="96" spans="1:7" x14ac:dyDescent="0.25">
      <c r="A96" s="34"/>
      <c r="B96" s="34"/>
      <c r="C96" s="34"/>
      <c r="D96" s="67"/>
      <c r="E96" s="35"/>
      <c r="F96" s="34"/>
      <c r="G96" s="116"/>
    </row>
    <row r="97" spans="1:7" x14ac:dyDescent="0.25">
      <c r="A97" s="34"/>
      <c r="B97" s="34"/>
      <c r="C97" s="34"/>
      <c r="D97" s="67"/>
      <c r="E97" s="75"/>
      <c r="F97" s="34"/>
      <c r="G97" s="116"/>
    </row>
    <row r="98" spans="1:7" x14ac:dyDescent="0.25">
      <c r="A98" s="34"/>
      <c r="B98" s="34"/>
      <c r="C98" s="34"/>
      <c r="D98" s="67"/>
      <c r="E98" s="75"/>
      <c r="F98" s="34"/>
      <c r="G98" s="116"/>
    </row>
    <row r="99" spans="1:7" x14ac:dyDescent="0.25">
      <c r="A99" s="34"/>
      <c r="B99" s="34"/>
      <c r="C99" s="34"/>
      <c r="D99" s="67"/>
      <c r="E99" s="75"/>
      <c r="F99" s="34"/>
      <c r="G99" s="116"/>
    </row>
    <row r="100" spans="1:7" x14ac:dyDescent="0.25">
      <c r="A100" s="34"/>
      <c r="B100" s="34"/>
      <c r="C100" s="34"/>
      <c r="D100" s="67"/>
      <c r="E100" s="35"/>
      <c r="F100" s="34"/>
      <c r="G100" s="116"/>
    </row>
    <row r="101" spans="1:7" x14ac:dyDescent="0.25">
      <c r="A101" s="34"/>
      <c r="B101" s="34"/>
      <c r="C101" s="34"/>
      <c r="D101" s="67"/>
      <c r="E101" s="75"/>
      <c r="F101" s="34"/>
      <c r="G101" s="116"/>
    </row>
    <row r="102" spans="1:7" x14ac:dyDescent="0.25">
      <c r="A102" s="34"/>
      <c r="B102" s="34"/>
      <c r="C102" s="34"/>
      <c r="D102" s="67"/>
      <c r="E102" s="75"/>
      <c r="F102" s="34"/>
      <c r="G102" s="116"/>
    </row>
    <row r="103" spans="1:7" x14ac:dyDescent="0.25">
      <c r="A103" s="34"/>
      <c r="B103" s="34"/>
      <c r="C103" s="34"/>
      <c r="D103" s="67"/>
      <c r="E103" s="75"/>
      <c r="F103" s="34"/>
      <c r="G103" s="116"/>
    </row>
    <row r="104" spans="1:7" x14ac:dyDescent="0.25">
      <c r="A104" s="34"/>
      <c r="B104" s="34"/>
      <c r="C104" s="34"/>
      <c r="D104" s="67"/>
      <c r="E104" s="75"/>
      <c r="F104" s="34"/>
      <c r="G104" s="116"/>
    </row>
    <row r="105" spans="1:7" x14ac:dyDescent="0.25">
      <c r="A105" s="34"/>
      <c r="B105" s="34"/>
      <c r="C105" s="34"/>
      <c r="D105" s="67"/>
      <c r="E105" s="75"/>
      <c r="F105" s="34"/>
      <c r="G105" s="116"/>
    </row>
    <row r="106" spans="1:7" x14ac:dyDescent="0.25">
      <c r="A106" s="34"/>
      <c r="B106" s="34"/>
      <c r="C106" s="34"/>
      <c r="D106" s="67"/>
      <c r="E106" s="35"/>
      <c r="F106" s="34"/>
      <c r="G106" s="116"/>
    </row>
    <row r="107" spans="1:7" x14ac:dyDescent="0.25">
      <c r="A107" s="34"/>
      <c r="B107" s="34"/>
      <c r="C107" s="34"/>
      <c r="D107" s="67"/>
      <c r="E107" s="35"/>
      <c r="F107" s="34"/>
      <c r="G107" s="116"/>
    </row>
    <row r="108" spans="1:7" x14ac:dyDescent="0.25">
      <c r="A108" s="34"/>
      <c r="B108" s="34"/>
      <c r="C108" s="34"/>
      <c r="D108" s="67"/>
      <c r="E108" s="35"/>
      <c r="F108" s="34"/>
      <c r="G108" s="116"/>
    </row>
    <row r="109" spans="1:7" x14ac:dyDescent="0.25">
      <c r="A109" s="34"/>
      <c r="B109" s="34"/>
      <c r="C109" s="34"/>
      <c r="D109" s="67"/>
      <c r="E109" s="75"/>
      <c r="F109" s="34"/>
      <c r="G109" s="116"/>
    </row>
    <row r="110" spans="1:7" x14ac:dyDescent="0.25">
      <c r="A110" s="34"/>
      <c r="B110" s="34"/>
      <c r="C110" s="34"/>
      <c r="D110" s="67"/>
      <c r="E110" s="35"/>
      <c r="F110" s="34"/>
      <c r="G110" s="116"/>
    </row>
    <row r="111" spans="1:7" x14ac:dyDescent="0.25">
      <c r="A111" s="34"/>
      <c r="B111" s="34"/>
      <c r="C111" s="34"/>
      <c r="D111" s="67"/>
      <c r="E111" s="35"/>
      <c r="F111" s="34"/>
      <c r="G111" s="116"/>
    </row>
    <row r="112" spans="1:7" x14ac:dyDescent="0.25">
      <c r="A112" s="34"/>
      <c r="B112" s="34"/>
      <c r="C112" s="34"/>
      <c r="D112" s="67"/>
      <c r="E112" s="35"/>
      <c r="F112" s="34"/>
      <c r="G112" s="116"/>
    </row>
    <row r="113" spans="1:8" x14ac:dyDescent="0.25">
      <c r="A113" s="34"/>
      <c r="B113" s="34"/>
      <c r="C113" s="34"/>
      <c r="D113" s="67"/>
      <c r="E113" s="75"/>
      <c r="F113" s="34"/>
      <c r="G113" s="116"/>
    </row>
    <row r="114" spans="1:8" x14ac:dyDescent="0.25">
      <c r="A114" s="34"/>
      <c r="B114" s="34"/>
      <c r="C114" s="34"/>
      <c r="D114" s="67"/>
      <c r="E114" s="75"/>
      <c r="F114" s="34"/>
      <c r="G114" s="116"/>
    </row>
    <row r="115" spans="1:8" x14ac:dyDescent="0.25">
      <c r="A115" s="34"/>
      <c r="B115" s="34"/>
      <c r="C115" s="34"/>
      <c r="D115" s="67"/>
      <c r="E115" s="35"/>
      <c r="F115" s="34"/>
      <c r="G115" s="116"/>
      <c r="H115" s="120"/>
    </row>
    <row r="116" spans="1:8" x14ac:dyDescent="0.25">
      <c r="A116" s="34"/>
      <c r="B116" s="34"/>
      <c r="C116" s="34"/>
      <c r="D116" s="67"/>
      <c r="E116" s="75"/>
      <c r="F116" s="34"/>
      <c r="G116" s="116"/>
      <c r="H116" s="120"/>
    </row>
    <row r="117" spans="1:8" x14ac:dyDescent="0.25">
      <c r="A117" s="34"/>
      <c r="B117" s="34"/>
      <c r="C117" s="34"/>
      <c r="D117" s="67"/>
      <c r="E117" s="35"/>
      <c r="F117" s="34"/>
      <c r="G117" s="116"/>
      <c r="H117" s="120"/>
    </row>
    <row r="118" spans="1:8" x14ac:dyDescent="0.25">
      <c r="A118" s="34"/>
      <c r="B118" s="34"/>
      <c r="C118" s="34"/>
      <c r="D118" s="67"/>
      <c r="E118" s="75"/>
      <c r="F118" s="34"/>
      <c r="G118" s="116"/>
      <c r="H118" s="120"/>
    </row>
    <row r="119" spans="1:8" x14ac:dyDescent="0.25">
      <c r="A119" s="34"/>
      <c r="B119" s="34"/>
      <c r="C119" s="34"/>
      <c r="D119" s="67"/>
      <c r="E119" s="35"/>
      <c r="F119" s="34"/>
      <c r="G119" s="116"/>
      <c r="H119" s="120"/>
    </row>
    <row r="120" spans="1:8" x14ac:dyDescent="0.25">
      <c r="A120" s="34"/>
      <c r="B120" s="34"/>
      <c r="C120" s="34"/>
      <c r="D120" s="67"/>
      <c r="E120" s="75"/>
      <c r="F120" s="34"/>
      <c r="G120" s="116"/>
      <c r="H120" s="120"/>
    </row>
    <row r="121" spans="1:8" x14ac:dyDescent="0.25">
      <c r="A121" s="34"/>
      <c r="B121" s="34"/>
      <c r="C121" s="34"/>
      <c r="D121" s="67"/>
      <c r="E121" s="75"/>
      <c r="F121" s="34"/>
      <c r="G121" s="116"/>
      <c r="H121" s="120"/>
    </row>
    <row r="122" spans="1:8" x14ac:dyDescent="0.25">
      <c r="A122" s="22"/>
      <c r="B122" s="22"/>
      <c r="C122" s="22"/>
      <c r="D122" s="66"/>
      <c r="E122" s="60"/>
      <c r="F122" s="22"/>
      <c r="G122" s="41"/>
    </row>
    <row r="123" spans="1:8" x14ac:dyDescent="0.25">
      <c r="A123" s="34"/>
      <c r="B123" s="34"/>
      <c r="C123" s="34"/>
      <c r="D123" s="67"/>
      <c r="E123" s="35"/>
      <c r="F123" s="34"/>
      <c r="G123" s="116"/>
      <c r="H123" s="120"/>
    </row>
    <row r="124" spans="1:8" x14ac:dyDescent="0.25">
      <c r="A124" s="34"/>
      <c r="B124" s="34"/>
      <c r="C124" s="34"/>
      <c r="D124" s="67"/>
      <c r="E124" s="75"/>
      <c r="F124" s="34"/>
      <c r="G124" s="116"/>
      <c r="H124" s="120"/>
    </row>
    <row r="125" spans="1:8" x14ac:dyDescent="0.25">
      <c r="A125" s="34"/>
      <c r="B125" s="34"/>
      <c r="C125" s="34"/>
      <c r="D125" s="67"/>
      <c r="E125" s="75"/>
      <c r="F125" s="34"/>
      <c r="G125" s="116"/>
      <c r="H125" s="120"/>
    </row>
    <row r="126" spans="1:8" x14ac:dyDescent="0.25">
      <c r="A126" s="34"/>
      <c r="B126" s="34"/>
      <c r="C126" s="34"/>
      <c r="D126" s="67"/>
      <c r="E126" s="75"/>
      <c r="F126" s="34"/>
      <c r="G126" s="116"/>
      <c r="H126" s="120"/>
    </row>
    <row r="127" spans="1:8" x14ac:dyDescent="0.25">
      <c r="A127" s="34"/>
      <c r="B127" s="34"/>
      <c r="C127" s="34"/>
      <c r="D127" s="67"/>
      <c r="E127" s="75"/>
      <c r="F127" s="34"/>
      <c r="G127" s="116"/>
      <c r="H127" s="120"/>
    </row>
    <row r="128" spans="1:8" x14ac:dyDescent="0.25">
      <c r="A128" s="34"/>
      <c r="B128" s="34"/>
      <c r="C128" s="34"/>
      <c r="D128" s="67"/>
      <c r="E128" s="75"/>
      <c r="F128" s="34"/>
      <c r="G128" s="116"/>
      <c r="H128" s="120"/>
    </row>
    <row r="129" spans="1:8" x14ac:dyDescent="0.25">
      <c r="A129" s="34"/>
      <c r="B129" s="34"/>
      <c r="C129" s="34"/>
      <c r="D129" s="67"/>
      <c r="E129" s="35"/>
      <c r="F129" s="34"/>
      <c r="G129" s="116"/>
      <c r="H129" s="120"/>
    </row>
    <row r="130" spans="1:8" x14ac:dyDescent="0.25">
      <c r="A130" s="34"/>
      <c r="B130" s="34"/>
      <c r="C130" s="34"/>
      <c r="D130" s="67"/>
      <c r="E130" s="35"/>
      <c r="F130" s="34"/>
      <c r="G130" s="116"/>
      <c r="H130" s="120"/>
    </row>
    <row r="131" spans="1:8" x14ac:dyDescent="0.25">
      <c r="A131" s="34"/>
      <c r="B131" s="34"/>
      <c r="C131" s="34"/>
      <c r="D131" s="67"/>
      <c r="E131" s="35"/>
      <c r="F131" s="34"/>
      <c r="G131" s="116"/>
      <c r="H131" s="120"/>
    </row>
    <row r="132" spans="1:8" x14ac:dyDescent="0.25">
      <c r="A132" s="34"/>
      <c r="B132" s="34"/>
      <c r="C132" s="34"/>
      <c r="D132" s="67"/>
      <c r="E132" s="35"/>
      <c r="F132" s="34"/>
      <c r="G132" s="116"/>
      <c r="H132" s="120"/>
    </row>
    <row r="133" spans="1:8" x14ac:dyDescent="0.25">
      <c r="A133" s="34"/>
      <c r="B133" s="34"/>
      <c r="C133" s="34"/>
      <c r="D133" s="67"/>
      <c r="E133" s="35"/>
      <c r="F133" s="34"/>
      <c r="G133" s="116"/>
      <c r="H133" s="120"/>
    </row>
    <row r="134" spans="1:8" x14ac:dyDescent="0.25">
      <c r="A134" s="34"/>
      <c r="B134" s="34"/>
      <c r="C134" s="34"/>
      <c r="D134" s="67"/>
      <c r="E134" s="35"/>
      <c r="F134" s="34"/>
      <c r="G134" s="116"/>
      <c r="H134" s="120"/>
    </row>
    <row r="135" spans="1:8" x14ac:dyDescent="0.25">
      <c r="A135" s="34"/>
      <c r="B135" s="34"/>
      <c r="C135" s="34"/>
      <c r="D135" s="67"/>
      <c r="E135" s="35"/>
      <c r="F135" s="34"/>
      <c r="G135" s="116"/>
      <c r="H135" s="120"/>
    </row>
    <row r="136" spans="1:8" x14ac:dyDescent="0.25">
      <c r="A136" s="34"/>
      <c r="B136" s="34"/>
      <c r="C136" s="34"/>
      <c r="D136" s="67"/>
      <c r="E136" s="35"/>
      <c r="F136" s="34"/>
      <c r="G136" s="116"/>
      <c r="H136" s="120"/>
    </row>
    <row r="137" spans="1:8" x14ac:dyDescent="0.25">
      <c r="A137" s="34"/>
      <c r="B137" s="34"/>
      <c r="C137" s="34"/>
      <c r="D137" s="67"/>
      <c r="E137" s="35"/>
      <c r="F137" s="34"/>
      <c r="G137" s="116"/>
      <c r="H137" s="120"/>
    </row>
    <row r="138" spans="1:8" x14ac:dyDescent="0.25">
      <c r="A138" s="34"/>
      <c r="B138" s="34"/>
      <c r="C138" s="34"/>
      <c r="D138" s="67"/>
      <c r="E138" s="35"/>
      <c r="F138" s="34"/>
      <c r="G138" s="116"/>
      <c r="H138" s="120"/>
    </row>
    <row r="139" spans="1:8" x14ac:dyDescent="0.25">
      <c r="A139" s="34"/>
      <c r="B139" s="34"/>
      <c r="C139" s="34"/>
      <c r="D139" s="67"/>
      <c r="E139" s="35"/>
      <c r="F139" s="34"/>
      <c r="G139" s="116"/>
      <c r="H139" s="120"/>
    </row>
    <row r="140" spans="1:8" x14ac:dyDescent="0.25">
      <c r="A140" s="34"/>
      <c r="B140" s="34"/>
      <c r="C140" s="34"/>
      <c r="D140" s="67"/>
      <c r="E140" s="35"/>
      <c r="F140" s="34"/>
      <c r="G140" s="116"/>
      <c r="H140" s="120"/>
    </row>
    <row r="141" spans="1:8" x14ac:dyDescent="0.25">
      <c r="A141" s="34"/>
      <c r="B141" s="34"/>
      <c r="C141" s="34"/>
      <c r="D141" s="67"/>
      <c r="E141" s="35"/>
      <c r="F141" s="34"/>
      <c r="G141" s="116"/>
      <c r="H141" s="120"/>
    </row>
    <row r="142" spans="1:8" x14ac:dyDescent="0.25">
      <c r="A142" s="34"/>
      <c r="B142" s="34"/>
      <c r="C142" s="34"/>
      <c r="D142" s="67"/>
      <c r="E142" s="35"/>
      <c r="F142" s="34"/>
      <c r="G142" s="116"/>
      <c r="H142" s="120"/>
    </row>
    <row r="143" spans="1:8" x14ac:dyDescent="0.25">
      <c r="A143" s="34"/>
      <c r="B143" s="34"/>
      <c r="C143" s="34"/>
      <c r="D143" s="67"/>
      <c r="E143" s="35"/>
      <c r="F143" s="34"/>
      <c r="G143" s="116"/>
      <c r="H143" s="120"/>
    </row>
    <row r="144" spans="1:8" x14ac:dyDescent="0.25">
      <c r="A144" s="34"/>
      <c r="B144" s="34"/>
      <c r="C144" s="34"/>
      <c r="D144" s="67"/>
      <c r="E144" s="35"/>
      <c r="F144" s="34"/>
      <c r="G144" s="116"/>
      <c r="H144" s="120"/>
    </row>
    <row r="145" spans="1:8" x14ac:dyDescent="0.25">
      <c r="A145" s="34"/>
      <c r="B145" s="34"/>
      <c r="C145" s="34"/>
      <c r="D145" s="67"/>
      <c r="E145" s="35"/>
      <c r="F145" s="34"/>
      <c r="G145" s="116"/>
      <c r="H145" s="120"/>
    </row>
    <row r="146" spans="1:8" x14ac:dyDescent="0.25">
      <c r="A146" s="34"/>
      <c r="B146" s="34"/>
      <c r="C146" s="34"/>
      <c r="D146" s="67"/>
      <c r="E146" s="35"/>
      <c r="F146" s="34"/>
      <c r="G146" s="116"/>
      <c r="H146" s="120"/>
    </row>
    <row r="147" spans="1:8" x14ac:dyDescent="0.25">
      <c r="A147" s="34"/>
      <c r="B147" s="34"/>
      <c r="C147" s="34"/>
      <c r="D147" s="67"/>
      <c r="E147" s="35"/>
      <c r="F147" s="34"/>
      <c r="G147" s="116"/>
      <c r="H147" s="120"/>
    </row>
    <row r="148" spans="1:8" x14ac:dyDescent="0.25">
      <c r="A148" s="34"/>
      <c r="B148" s="34"/>
      <c r="C148" s="34"/>
      <c r="D148" s="67"/>
      <c r="E148" s="35"/>
      <c r="F148" s="34"/>
      <c r="G148" s="116"/>
      <c r="H148" s="120"/>
    </row>
    <row r="149" spans="1:8" x14ac:dyDescent="0.25">
      <c r="A149" s="34"/>
      <c r="B149" s="34"/>
      <c r="C149" s="34"/>
      <c r="D149" s="67"/>
      <c r="E149" s="35"/>
      <c r="F149" s="34"/>
      <c r="G149" s="116"/>
      <c r="H149" s="120"/>
    </row>
    <row r="150" spans="1:8" x14ac:dyDescent="0.25">
      <c r="A150" s="34"/>
      <c r="B150" s="34"/>
      <c r="C150" s="34"/>
      <c r="D150" s="67"/>
      <c r="E150" s="35"/>
      <c r="F150" s="34"/>
      <c r="G150" s="116"/>
      <c r="H150" s="120"/>
    </row>
    <row r="151" spans="1:8" x14ac:dyDescent="0.25">
      <c r="A151" s="34"/>
      <c r="B151" s="34"/>
      <c r="C151" s="34"/>
      <c r="D151" s="67"/>
      <c r="E151" s="35"/>
      <c r="F151" s="34"/>
      <c r="G151" s="116"/>
      <c r="H151" s="120"/>
    </row>
    <row r="152" spans="1:8" x14ac:dyDescent="0.25">
      <c r="A152" s="34"/>
      <c r="B152" s="34"/>
      <c r="C152" s="34"/>
      <c r="D152" s="67"/>
      <c r="E152" s="35"/>
      <c r="F152" s="34"/>
      <c r="G152" s="116"/>
      <c r="H152" s="120"/>
    </row>
    <row r="153" spans="1:8" x14ac:dyDescent="0.25">
      <c r="A153" s="34"/>
      <c r="B153" s="34"/>
      <c r="C153" s="34"/>
      <c r="D153" s="67"/>
      <c r="E153" s="35"/>
      <c r="F153" s="34"/>
      <c r="G153" s="116"/>
      <c r="H153" s="120"/>
    </row>
    <row r="154" spans="1:8" x14ac:dyDescent="0.25">
      <c r="A154" s="34"/>
      <c r="B154" s="34"/>
      <c r="C154" s="34"/>
      <c r="D154" s="67"/>
      <c r="E154" s="35"/>
      <c r="F154" s="34"/>
      <c r="G154" s="116"/>
      <c r="H154" s="120"/>
    </row>
    <row r="155" spans="1:8" x14ac:dyDescent="0.25">
      <c r="A155" s="34"/>
      <c r="B155" s="34"/>
      <c r="C155" s="34"/>
      <c r="D155" s="67"/>
      <c r="E155" s="35"/>
      <c r="F155" s="34"/>
      <c r="G155" s="116"/>
      <c r="H155" s="120"/>
    </row>
    <row r="156" spans="1:8" x14ac:dyDescent="0.25">
      <c r="A156" s="34"/>
      <c r="B156" s="34"/>
      <c r="C156" s="34"/>
      <c r="D156" s="67"/>
      <c r="E156" s="75"/>
      <c r="F156" s="34"/>
      <c r="G156" s="116"/>
      <c r="H156" s="120"/>
    </row>
    <row r="157" spans="1:8" x14ac:dyDescent="0.25">
      <c r="A157" s="34"/>
      <c r="B157" s="34"/>
      <c r="C157" s="34"/>
      <c r="D157" s="67"/>
      <c r="E157" s="75"/>
      <c r="F157" s="34"/>
      <c r="G157" s="116"/>
      <c r="H157" s="120"/>
    </row>
    <row r="158" spans="1:8" x14ac:dyDescent="0.25">
      <c r="A158" s="34"/>
      <c r="B158" s="34"/>
      <c r="C158" s="34"/>
      <c r="D158" s="67"/>
      <c r="E158" s="75"/>
      <c r="F158" s="34"/>
      <c r="G158" s="116"/>
      <c r="H158" s="120"/>
    </row>
    <row r="159" spans="1:8" x14ac:dyDescent="0.25">
      <c r="A159" s="34"/>
      <c r="B159" s="34"/>
      <c r="C159" s="34"/>
      <c r="D159" s="67"/>
      <c r="E159" s="75"/>
      <c r="F159" s="34"/>
      <c r="G159" s="116"/>
      <c r="H159" s="120"/>
    </row>
    <row r="160" spans="1:8" x14ac:dyDescent="0.25">
      <c r="A160" s="34"/>
      <c r="B160" s="34"/>
      <c r="C160" s="34"/>
      <c r="D160" s="67"/>
      <c r="E160" s="75"/>
      <c r="F160" s="34"/>
      <c r="G160" s="116"/>
      <c r="H160" s="120"/>
    </row>
    <row r="161" spans="1:8" x14ac:dyDescent="0.25">
      <c r="A161" s="34"/>
      <c r="B161" s="34"/>
      <c r="C161" s="34"/>
      <c r="D161" s="67"/>
      <c r="E161" s="75"/>
      <c r="F161" s="34"/>
      <c r="G161" s="116"/>
      <c r="H161" s="120"/>
    </row>
    <row r="162" spans="1:8" x14ac:dyDescent="0.25">
      <c r="A162" s="34"/>
      <c r="B162" s="34"/>
      <c r="C162" s="34"/>
      <c r="D162" s="67"/>
      <c r="E162" s="75"/>
      <c r="F162" s="34"/>
      <c r="G162" s="116"/>
      <c r="H162" s="120"/>
    </row>
    <row r="163" spans="1:8" x14ac:dyDescent="0.25">
      <c r="A163" s="34"/>
      <c r="B163" s="34"/>
      <c r="C163" s="34"/>
      <c r="D163" s="67"/>
      <c r="E163" s="75"/>
      <c r="F163" s="34"/>
      <c r="G163" s="116"/>
      <c r="H163" s="120"/>
    </row>
    <row r="164" spans="1:8" x14ac:dyDescent="0.25">
      <c r="A164" s="34"/>
      <c r="B164" s="34"/>
      <c r="C164" s="34"/>
      <c r="D164" s="67"/>
      <c r="E164" s="35"/>
      <c r="F164" s="34"/>
      <c r="G164" s="116"/>
      <c r="H164" s="120"/>
    </row>
    <row r="165" spans="1:8" x14ac:dyDescent="0.25">
      <c r="A165" s="34"/>
      <c r="B165" s="34"/>
      <c r="C165" s="34"/>
      <c r="D165" s="67"/>
      <c r="E165" s="35"/>
      <c r="F165" s="34"/>
      <c r="G165" s="116"/>
      <c r="H165" s="120"/>
    </row>
    <row r="166" spans="1:8" x14ac:dyDescent="0.25">
      <c r="A166" s="34"/>
      <c r="B166" s="34"/>
      <c r="C166" s="34"/>
      <c r="D166" s="67"/>
      <c r="E166" s="35"/>
      <c r="F166" s="34"/>
      <c r="G166" s="116"/>
      <c r="H166" s="120"/>
    </row>
    <row r="167" spans="1:8" x14ac:dyDescent="0.25">
      <c r="A167" s="34"/>
      <c r="B167" s="34"/>
      <c r="C167" s="34"/>
      <c r="D167" s="67"/>
      <c r="E167" s="35"/>
      <c r="F167" s="34"/>
      <c r="G167" s="116"/>
      <c r="H167" s="120"/>
    </row>
    <row r="168" spans="1:8" x14ac:dyDescent="0.25">
      <c r="A168" s="34"/>
      <c r="B168" s="34"/>
      <c r="C168" s="34"/>
      <c r="D168" s="67"/>
      <c r="E168" s="35"/>
      <c r="F168" s="34"/>
      <c r="G168" s="116"/>
      <c r="H168" s="120"/>
    </row>
    <row r="169" spans="1:8" x14ac:dyDescent="0.25">
      <c r="A169" s="34"/>
      <c r="B169" s="34"/>
      <c r="C169" s="34"/>
      <c r="D169" s="67"/>
      <c r="E169" s="35"/>
      <c r="F169" s="34"/>
      <c r="G169" s="116"/>
      <c r="H169" s="120"/>
    </row>
    <row r="170" spans="1:8" x14ac:dyDescent="0.25">
      <c r="A170" s="34"/>
      <c r="B170" s="34"/>
      <c r="C170" s="34"/>
      <c r="D170" s="67"/>
      <c r="E170" s="35"/>
      <c r="F170" s="34"/>
      <c r="G170" s="116"/>
      <c r="H170" s="120"/>
    </row>
    <row r="171" spans="1:8" x14ac:dyDescent="0.25">
      <c r="A171" s="34"/>
      <c r="B171" s="34"/>
      <c r="C171" s="34"/>
      <c r="D171" s="67"/>
      <c r="E171" s="35"/>
      <c r="F171" s="34"/>
      <c r="G171" s="116"/>
      <c r="H171" s="120"/>
    </row>
    <row r="172" spans="1:8" x14ac:dyDescent="0.25">
      <c r="A172" s="34"/>
      <c r="B172" s="34"/>
      <c r="C172" s="34"/>
      <c r="D172" s="67"/>
      <c r="E172" s="35"/>
      <c r="F172" s="34"/>
      <c r="G172" s="116"/>
      <c r="H172" s="120"/>
    </row>
    <row r="173" spans="1:8" x14ac:dyDescent="0.25">
      <c r="A173" s="34"/>
      <c r="B173" s="34"/>
      <c r="C173" s="34"/>
      <c r="D173" s="67"/>
      <c r="E173" s="35"/>
      <c r="F173" s="34"/>
      <c r="G173" s="116"/>
      <c r="H173" s="120"/>
    </row>
    <row r="174" spans="1:8" x14ac:dyDescent="0.25">
      <c r="A174" s="34"/>
      <c r="B174" s="34"/>
      <c r="C174" s="34"/>
      <c r="D174" s="67"/>
      <c r="E174" s="35"/>
      <c r="F174" s="34"/>
      <c r="G174" s="116"/>
      <c r="H174" s="120"/>
    </row>
    <row r="175" spans="1:8" x14ac:dyDescent="0.25">
      <c r="A175" s="34"/>
      <c r="B175" s="34"/>
      <c r="C175" s="34"/>
      <c r="D175" s="67"/>
      <c r="E175" s="35"/>
      <c r="F175" s="34"/>
      <c r="G175" s="116"/>
      <c r="H175" s="120"/>
    </row>
    <row r="176" spans="1:8" x14ac:dyDescent="0.25">
      <c r="A176" s="34"/>
      <c r="B176" s="34"/>
      <c r="C176" s="34"/>
      <c r="D176" s="67"/>
      <c r="E176" s="35"/>
      <c r="F176" s="34"/>
      <c r="G176" s="116"/>
      <c r="H176" s="120"/>
    </row>
    <row r="177" spans="1:8" x14ac:dyDescent="0.25">
      <c r="A177" s="34"/>
      <c r="B177" s="34"/>
      <c r="C177" s="34"/>
      <c r="D177" s="67"/>
      <c r="E177" s="35"/>
      <c r="F177" s="34"/>
      <c r="G177" s="116"/>
      <c r="H177" s="120"/>
    </row>
    <row r="178" spans="1:8" x14ac:dyDescent="0.25">
      <c r="A178" s="34"/>
      <c r="B178" s="34"/>
      <c r="C178" s="34"/>
      <c r="D178" s="67"/>
      <c r="E178" s="35"/>
      <c r="F178" s="34"/>
      <c r="G178" s="116"/>
      <c r="H178" s="120"/>
    </row>
    <row r="179" spans="1:8" x14ac:dyDescent="0.25">
      <c r="A179" s="34"/>
      <c r="B179" s="34"/>
      <c r="C179" s="34"/>
      <c r="D179" s="67"/>
      <c r="E179" s="35"/>
      <c r="F179" s="34"/>
      <c r="G179" s="116"/>
      <c r="H179" s="120"/>
    </row>
    <row r="180" spans="1:8" x14ac:dyDescent="0.25">
      <c r="A180" s="34"/>
      <c r="B180" s="34"/>
      <c r="C180" s="34"/>
      <c r="D180" s="67"/>
      <c r="E180" s="35"/>
      <c r="F180" s="34"/>
      <c r="G180" s="116"/>
      <c r="H180" s="120"/>
    </row>
    <row r="181" spans="1:8" x14ac:dyDescent="0.25">
      <c r="A181" s="34"/>
      <c r="B181" s="34"/>
      <c r="C181" s="34"/>
      <c r="D181" s="67"/>
      <c r="E181" s="35"/>
      <c r="F181" s="34"/>
      <c r="G181" s="116"/>
      <c r="H181" s="120"/>
    </row>
    <row r="182" spans="1:8" x14ac:dyDescent="0.25">
      <c r="A182" s="34"/>
      <c r="B182" s="34"/>
      <c r="C182" s="34"/>
      <c r="D182" s="67"/>
      <c r="E182" s="35"/>
      <c r="F182" s="34"/>
      <c r="G182" s="116"/>
      <c r="H182" s="120"/>
    </row>
    <row r="183" spans="1:8" x14ac:dyDescent="0.25">
      <c r="A183" s="34"/>
      <c r="B183" s="34"/>
      <c r="C183" s="34"/>
      <c r="D183" s="67"/>
      <c r="E183" s="35"/>
      <c r="F183" s="34"/>
      <c r="G183" s="116"/>
      <c r="H183" s="120"/>
    </row>
    <row r="184" spans="1:8" x14ac:dyDescent="0.25">
      <c r="A184" s="34"/>
      <c r="B184" s="34"/>
      <c r="C184" s="34"/>
      <c r="D184" s="67"/>
      <c r="E184" s="35"/>
      <c r="F184" s="34"/>
      <c r="G184" s="116"/>
      <c r="H184" s="120"/>
    </row>
    <row r="185" spans="1:8" x14ac:dyDescent="0.25">
      <c r="A185" s="34"/>
      <c r="B185" s="34"/>
      <c r="C185" s="34"/>
      <c r="D185" s="67"/>
      <c r="E185" s="35"/>
      <c r="F185" s="34"/>
      <c r="G185" s="116"/>
      <c r="H185" s="120"/>
    </row>
    <row r="186" spans="1:8" x14ac:dyDescent="0.25">
      <c r="A186" s="34"/>
      <c r="B186" s="34"/>
      <c r="C186" s="34"/>
      <c r="D186" s="67"/>
      <c r="E186" s="35"/>
      <c r="F186" s="34"/>
      <c r="G186" s="116"/>
      <c r="H186" s="120"/>
    </row>
    <row r="187" spans="1:8" x14ac:dyDescent="0.25">
      <c r="A187" s="34"/>
      <c r="B187" s="34"/>
      <c r="C187" s="34"/>
      <c r="D187" s="67"/>
      <c r="E187" s="35"/>
      <c r="F187" s="34"/>
      <c r="G187" s="116"/>
      <c r="H187" s="120"/>
    </row>
    <row r="188" spans="1:8" x14ac:dyDescent="0.25">
      <c r="A188" s="34"/>
      <c r="B188" s="34"/>
      <c r="C188" s="34"/>
      <c r="D188" s="67"/>
      <c r="E188" s="35"/>
      <c r="F188" s="34"/>
      <c r="G188" s="116"/>
      <c r="H188" s="120"/>
    </row>
    <row r="189" spans="1:8" x14ac:dyDescent="0.25">
      <c r="A189" s="34"/>
      <c r="B189" s="34"/>
      <c r="C189" s="34"/>
      <c r="D189" s="67"/>
      <c r="E189" s="75"/>
      <c r="F189" s="34"/>
      <c r="G189" s="116"/>
      <c r="H189" s="120"/>
    </row>
    <row r="190" spans="1:8" x14ac:dyDescent="0.25">
      <c r="A190" s="34"/>
      <c r="B190" s="34"/>
      <c r="C190" s="34"/>
      <c r="D190" s="67"/>
      <c r="E190" s="75"/>
      <c r="F190" s="34"/>
      <c r="G190" s="116"/>
      <c r="H190" s="120"/>
    </row>
    <row r="191" spans="1:8" x14ac:dyDescent="0.25">
      <c r="A191" s="34"/>
      <c r="B191" s="34"/>
      <c r="C191" s="34"/>
      <c r="D191" s="67"/>
      <c r="E191" s="75"/>
      <c r="F191" s="34"/>
      <c r="G191" s="116"/>
      <c r="H191" s="120"/>
    </row>
    <row r="192" spans="1:8" x14ac:dyDescent="0.25">
      <c r="A192" s="34"/>
      <c r="B192" s="34"/>
      <c r="C192" s="34"/>
      <c r="D192" s="67"/>
      <c r="E192" s="75"/>
      <c r="F192" s="34"/>
      <c r="G192" s="116"/>
      <c r="H192" s="120"/>
    </row>
    <row r="193" spans="1:8" x14ac:dyDescent="0.25">
      <c r="A193" s="34"/>
      <c r="B193" s="34"/>
      <c r="C193" s="34"/>
      <c r="D193" s="67"/>
      <c r="E193" s="35"/>
      <c r="F193" s="34"/>
      <c r="G193" s="116"/>
      <c r="H193" s="120"/>
    </row>
    <row r="194" spans="1:8" x14ac:dyDescent="0.25">
      <c r="A194" s="34"/>
      <c r="B194" s="34"/>
      <c r="C194" s="34"/>
      <c r="D194" s="67"/>
      <c r="E194" s="35"/>
      <c r="F194" s="34"/>
      <c r="G194" s="116"/>
      <c r="H194" s="120"/>
    </row>
    <row r="195" spans="1:8" x14ac:dyDescent="0.25">
      <c r="A195" s="34"/>
      <c r="B195" s="34"/>
      <c r="C195" s="34"/>
      <c r="D195" s="67"/>
      <c r="E195" s="35"/>
      <c r="F195" s="34"/>
      <c r="G195" s="116"/>
      <c r="H195" s="120"/>
    </row>
    <row r="196" spans="1:8" x14ac:dyDescent="0.25">
      <c r="A196" s="34"/>
      <c r="B196" s="34"/>
      <c r="C196" s="34"/>
      <c r="D196" s="67"/>
      <c r="E196" s="35"/>
      <c r="F196" s="34"/>
      <c r="G196" s="116"/>
      <c r="H196" s="120"/>
    </row>
    <row r="197" spans="1:8" x14ac:dyDescent="0.25">
      <c r="A197" s="34"/>
      <c r="B197" s="34"/>
      <c r="C197" s="34"/>
      <c r="D197" s="67"/>
      <c r="E197" s="35"/>
      <c r="F197" s="34"/>
      <c r="G197" s="116"/>
      <c r="H197" s="120"/>
    </row>
    <row r="198" spans="1:8" x14ac:dyDescent="0.25">
      <c r="A198" s="34"/>
      <c r="B198" s="34"/>
      <c r="C198" s="34"/>
      <c r="D198" s="67"/>
      <c r="E198" s="35"/>
      <c r="F198" s="34"/>
      <c r="G198" s="116"/>
      <c r="H198" s="120"/>
    </row>
    <row r="199" spans="1:8" x14ac:dyDescent="0.25">
      <c r="A199" s="34"/>
      <c r="B199" s="34"/>
      <c r="C199" s="34"/>
      <c r="D199" s="67"/>
      <c r="E199" s="35"/>
      <c r="F199" s="34"/>
      <c r="G199" s="116"/>
      <c r="H199" s="120"/>
    </row>
    <row r="200" spans="1:8" x14ac:dyDescent="0.25">
      <c r="A200" s="34"/>
      <c r="B200" s="34"/>
      <c r="C200" s="34"/>
      <c r="D200" s="67"/>
      <c r="E200" s="35"/>
      <c r="F200" s="34"/>
      <c r="G200" s="116"/>
      <c r="H200" s="120"/>
    </row>
    <row r="201" spans="1:8" x14ac:dyDescent="0.25">
      <c r="A201" s="34"/>
      <c r="B201" s="34"/>
      <c r="C201" s="34"/>
      <c r="D201" s="67"/>
      <c r="E201" s="35"/>
      <c r="F201" s="34"/>
      <c r="G201" s="116"/>
      <c r="H201" s="120"/>
    </row>
    <row r="202" spans="1:8" x14ac:dyDescent="0.25">
      <c r="A202" s="34"/>
      <c r="B202" s="34"/>
      <c r="C202" s="34"/>
      <c r="D202" s="67"/>
      <c r="E202" s="35"/>
      <c r="F202" s="34"/>
      <c r="G202" s="116"/>
      <c r="H202" s="120"/>
    </row>
    <row r="203" spans="1:8" x14ac:dyDescent="0.25">
      <c r="A203" s="34"/>
      <c r="B203" s="34"/>
      <c r="C203" s="34"/>
      <c r="D203" s="67"/>
      <c r="E203" s="35"/>
      <c r="F203" s="34"/>
      <c r="G203" s="116"/>
      <c r="H203" s="120"/>
    </row>
    <row r="204" spans="1:8" x14ac:dyDescent="0.25">
      <c r="A204" s="34"/>
      <c r="B204" s="34"/>
      <c r="C204" s="34"/>
      <c r="D204" s="67"/>
      <c r="E204" s="35"/>
      <c r="F204" s="34"/>
      <c r="G204" s="116"/>
      <c r="H204" s="120"/>
    </row>
    <row r="205" spans="1:8" x14ac:dyDescent="0.25">
      <c r="A205" s="34"/>
      <c r="B205" s="34"/>
      <c r="C205" s="34"/>
      <c r="D205" s="67"/>
      <c r="E205" s="35"/>
      <c r="F205" s="34"/>
      <c r="G205" s="116"/>
      <c r="H205" s="120"/>
    </row>
    <row r="206" spans="1:8" x14ac:dyDescent="0.25">
      <c r="A206" s="34"/>
      <c r="B206" s="34"/>
      <c r="C206" s="34"/>
      <c r="D206" s="67"/>
      <c r="E206" s="35"/>
      <c r="F206" s="34"/>
      <c r="G206" s="116"/>
      <c r="H206" s="120"/>
    </row>
    <row r="207" spans="1:8" x14ac:dyDescent="0.25">
      <c r="A207" s="34"/>
      <c r="B207" s="34"/>
      <c r="C207" s="34"/>
      <c r="D207" s="67"/>
      <c r="E207" s="35"/>
      <c r="F207" s="34"/>
      <c r="G207" s="116"/>
      <c r="H207" s="120"/>
    </row>
    <row r="208" spans="1:8" x14ac:dyDescent="0.25">
      <c r="A208" s="34"/>
      <c r="B208" s="34"/>
      <c r="C208" s="34"/>
      <c r="D208" s="67"/>
      <c r="E208" s="35"/>
      <c r="F208" s="34"/>
      <c r="G208" s="116"/>
      <c r="H208" s="120"/>
    </row>
    <row r="209" spans="1:8" x14ac:dyDescent="0.25">
      <c r="A209" s="34"/>
      <c r="B209" s="34"/>
      <c r="C209" s="34"/>
      <c r="D209" s="67"/>
      <c r="E209" s="35"/>
      <c r="F209" s="34"/>
      <c r="G209" s="116"/>
      <c r="H209" s="120"/>
    </row>
    <row r="210" spans="1:8" x14ac:dyDescent="0.25">
      <c r="A210" s="34"/>
      <c r="B210" s="34"/>
      <c r="C210" s="34"/>
      <c r="D210" s="67"/>
      <c r="E210" s="35"/>
      <c r="F210" s="34"/>
      <c r="G210" s="116"/>
      <c r="H210" s="120"/>
    </row>
    <row r="211" spans="1:8" x14ac:dyDescent="0.25">
      <c r="A211" s="34"/>
      <c r="B211" s="34"/>
      <c r="C211" s="34"/>
      <c r="D211" s="67"/>
      <c r="E211" s="35"/>
      <c r="F211" s="34"/>
      <c r="G211" s="116"/>
      <c r="H211" s="120"/>
    </row>
    <row r="212" spans="1:8" x14ac:dyDescent="0.25">
      <c r="A212" s="34"/>
      <c r="B212" s="34"/>
      <c r="C212" s="34"/>
      <c r="D212" s="67"/>
      <c r="E212" s="35"/>
      <c r="F212" s="34"/>
      <c r="G212" s="116"/>
      <c r="H212" s="120"/>
    </row>
    <row r="213" spans="1:8" x14ac:dyDescent="0.25">
      <c r="A213" s="34"/>
      <c r="B213" s="34"/>
      <c r="C213" s="34"/>
      <c r="D213" s="67"/>
      <c r="E213" s="35"/>
      <c r="F213" s="34"/>
      <c r="G213" s="116"/>
      <c r="H213" s="120"/>
    </row>
    <row r="214" spans="1:8" x14ac:dyDescent="0.25">
      <c r="A214" s="34"/>
      <c r="B214" s="34"/>
      <c r="C214" s="34"/>
      <c r="D214" s="67"/>
      <c r="E214" s="35"/>
      <c r="F214" s="34"/>
      <c r="G214" s="116"/>
      <c r="H214" s="12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D8CEB-BBAF-4A2E-AE2C-34C66980BD9A}">
  <sheetPr codeName="Planilha6"/>
  <dimension ref="A1:O214"/>
  <sheetViews>
    <sheetView topLeftCell="A177" zoomScale="84" zoomScaleNormal="84" workbookViewId="0">
      <selection activeCell="H200" sqref="A176:H200"/>
    </sheetView>
  </sheetViews>
  <sheetFormatPr defaultRowHeight="15.75" x14ac:dyDescent="0.25"/>
  <cols>
    <col min="1" max="1" width="23.7109375" bestFit="1" customWidth="1"/>
    <col min="2" max="2" width="20.28515625" bestFit="1" customWidth="1"/>
    <col min="3" max="3" width="20.140625" customWidth="1"/>
    <col min="4" max="4" width="12.28515625" style="99" bestFit="1" customWidth="1"/>
    <col min="5" max="5" width="13.42578125" style="2" bestFit="1" customWidth="1"/>
    <col min="6" max="6" width="54.7109375" bestFit="1" customWidth="1"/>
    <col min="7" max="7" width="18.85546875" style="27" bestFit="1" customWidth="1"/>
    <col min="8" max="8" width="19.28515625" style="117" bestFit="1" customWidth="1"/>
    <col min="14" max="14" width="14.7109375" bestFit="1" customWidth="1"/>
    <col min="15" max="15" width="12.7109375" bestFit="1" customWidth="1"/>
  </cols>
  <sheetData>
    <row r="1" spans="1:15" ht="18.75" x14ac:dyDescent="0.3">
      <c r="A1" s="26" t="s">
        <v>65</v>
      </c>
      <c r="B1" s="29" t="s">
        <v>69</v>
      </c>
      <c r="C1" s="29" t="s">
        <v>70</v>
      </c>
      <c r="D1" s="26" t="s">
        <v>67</v>
      </c>
      <c r="E1" s="26" t="s">
        <v>66</v>
      </c>
      <c r="F1" s="26" t="s">
        <v>200</v>
      </c>
      <c r="G1" s="26" t="s">
        <v>341</v>
      </c>
      <c r="H1" s="26" t="s">
        <v>342</v>
      </c>
      <c r="N1" s="118" t="s">
        <v>342</v>
      </c>
      <c r="O1" s="118" t="s">
        <v>45</v>
      </c>
    </row>
    <row r="2" spans="1:15" x14ac:dyDescent="0.25">
      <c r="A2" s="22" t="s">
        <v>102</v>
      </c>
      <c r="B2" s="22" t="s">
        <v>103</v>
      </c>
      <c r="C2" s="22" t="s">
        <v>103</v>
      </c>
      <c r="D2" s="66">
        <v>45294</v>
      </c>
      <c r="E2" s="60">
        <v>600</v>
      </c>
      <c r="F2" s="22"/>
      <c r="G2" s="115" t="s">
        <v>203</v>
      </c>
      <c r="H2" s="117" t="s">
        <v>339</v>
      </c>
      <c r="N2" s="101" t="s">
        <v>346</v>
      </c>
      <c r="O2" s="30">
        <v>40956</v>
      </c>
    </row>
    <row r="3" spans="1:15" x14ac:dyDescent="0.25">
      <c r="A3" s="22" t="s">
        <v>68</v>
      </c>
      <c r="B3" s="22" t="s">
        <v>103</v>
      </c>
      <c r="C3" s="22" t="s">
        <v>103</v>
      </c>
      <c r="D3" s="66">
        <v>45296</v>
      </c>
      <c r="E3" s="30">
        <v>100</v>
      </c>
      <c r="F3" s="22"/>
      <c r="G3" s="115"/>
      <c r="H3" s="117" t="s">
        <v>344</v>
      </c>
      <c r="N3" s="101" t="s">
        <v>68</v>
      </c>
      <c r="O3" s="30">
        <v>5660.89</v>
      </c>
    </row>
    <row r="4" spans="1:15" x14ac:dyDescent="0.25">
      <c r="A4" s="22" t="s">
        <v>111</v>
      </c>
      <c r="B4" s="22" t="s">
        <v>103</v>
      </c>
      <c r="C4" s="22" t="s">
        <v>103</v>
      </c>
      <c r="D4" s="66">
        <v>45299</v>
      </c>
      <c r="E4" s="30">
        <v>560</v>
      </c>
      <c r="F4" s="22"/>
      <c r="G4" s="115"/>
      <c r="H4" s="117" t="s">
        <v>339</v>
      </c>
      <c r="N4" s="101" t="s">
        <v>305</v>
      </c>
      <c r="O4" s="30">
        <v>5844.62</v>
      </c>
    </row>
    <row r="5" spans="1:15" x14ac:dyDescent="0.25">
      <c r="A5" s="22" t="s">
        <v>110</v>
      </c>
      <c r="B5" s="22" t="s">
        <v>103</v>
      </c>
      <c r="C5" s="22" t="s">
        <v>103</v>
      </c>
      <c r="D5" s="66">
        <v>45299</v>
      </c>
      <c r="E5" s="30">
        <v>2574.1999999999998</v>
      </c>
      <c r="F5" s="22"/>
      <c r="G5" s="115" t="s">
        <v>203</v>
      </c>
      <c r="H5" s="117" t="s">
        <v>339</v>
      </c>
      <c r="N5" s="101" t="s">
        <v>347</v>
      </c>
      <c r="O5" s="30">
        <v>3094.7</v>
      </c>
    </row>
    <row r="6" spans="1:15" x14ac:dyDescent="0.25">
      <c r="A6" s="22" t="s">
        <v>68</v>
      </c>
      <c r="B6" s="22" t="s">
        <v>103</v>
      </c>
      <c r="C6" s="22" t="s">
        <v>103</v>
      </c>
      <c r="D6" s="66">
        <v>45299</v>
      </c>
      <c r="E6" s="60">
        <v>100</v>
      </c>
      <c r="F6" s="22"/>
      <c r="G6" s="115" t="s">
        <v>203</v>
      </c>
      <c r="H6" s="117" t="s">
        <v>344</v>
      </c>
      <c r="N6" s="101" t="s">
        <v>106</v>
      </c>
      <c r="O6" s="30">
        <v>20798.75</v>
      </c>
    </row>
    <row r="7" spans="1:15" x14ac:dyDescent="0.25">
      <c r="A7" s="22" t="s">
        <v>68</v>
      </c>
      <c r="B7" s="22" t="s">
        <v>103</v>
      </c>
      <c r="C7" s="22" t="s">
        <v>103</v>
      </c>
      <c r="D7" s="66">
        <v>45299</v>
      </c>
      <c r="E7" s="60">
        <v>100</v>
      </c>
      <c r="F7" s="22"/>
      <c r="G7" s="115" t="s">
        <v>203</v>
      </c>
      <c r="H7" s="117" t="s">
        <v>344</v>
      </c>
      <c r="N7" s="101" t="s">
        <v>282</v>
      </c>
      <c r="O7" s="119">
        <v>6736.76</v>
      </c>
    </row>
    <row r="8" spans="1:15" x14ac:dyDescent="0.25">
      <c r="A8" s="22" t="s">
        <v>68</v>
      </c>
      <c r="B8" s="22" t="s">
        <v>103</v>
      </c>
      <c r="C8" s="22" t="s">
        <v>103</v>
      </c>
      <c r="D8" s="66">
        <v>45299</v>
      </c>
      <c r="E8" s="60">
        <v>100</v>
      </c>
      <c r="F8" s="22"/>
      <c r="G8" s="115" t="s">
        <v>203</v>
      </c>
      <c r="H8" s="117" t="s">
        <v>344</v>
      </c>
      <c r="N8" s="101" t="s">
        <v>348</v>
      </c>
      <c r="O8" s="30">
        <v>14440.46</v>
      </c>
    </row>
    <row r="9" spans="1:15" x14ac:dyDescent="0.25">
      <c r="A9" s="22" t="s">
        <v>112</v>
      </c>
      <c r="B9" s="22" t="s">
        <v>103</v>
      </c>
      <c r="C9" s="22" t="s">
        <v>103</v>
      </c>
      <c r="D9" s="66">
        <v>45300</v>
      </c>
      <c r="E9" s="30">
        <v>475</v>
      </c>
      <c r="F9" s="22"/>
      <c r="G9" s="115"/>
      <c r="H9" s="117" t="s">
        <v>343</v>
      </c>
    </row>
    <row r="10" spans="1:15" x14ac:dyDescent="0.25">
      <c r="A10" s="34" t="s">
        <v>107</v>
      </c>
      <c r="B10" s="34" t="s">
        <v>103</v>
      </c>
      <c r="C10" s="34" t="s">
        <v>103</v>
      </c>
      <c r="D10" s="67">
        <v>45301</v>
      </c>
      <c r="E10" s="35">
        <v>2191.3200000000002</v>
      </c>
      <c r="F10" s="34"/>
      <c r="G10" s="115"/>
      <c r="H10" s="117" t="s">
        <v>339</v>
      </c>
    </row>
    <row r="11" spans="1:15" x14ac:dyDescent="0.25">
      <c r="A11" s="22" t="s">
        <v>68</v>
      </c>
      <c r="B11" s="22" t="s">
        <v>103</v>
      </c>
      <c r="C11" s="22" t="s">
        <v>103</v>
      </c>
      <c r="D11" s="66">
        <v>45301</v>
      </c>
      <c r="E11" s="30">
        <v>50</v>
      </c>
      <c r="F11" s="22"/>
      <c r="G11" s="115"/>
      <c r="H11" s="117" t="s">
        <v>344</v>
      </c>
    </row>
    <row r="12" spans="1:15" x14ac:dyDescent="0.25">
      <c r="A12" s="22" t="s">
        <v>68</v>
      </c>
      <c r="B12" s="22" t="s">
        <v>103</v>
      </c>
      <c r="C12" s="22" t="s">
        <v>103</v>
      </c>
      <c r="D12" s="66">
        <v>45302</v>
      </c>
      <c r="E12" s="60">
        <v>100</v>
      </c>
      <c r="F12" s="22"/>
      <c r="G12" s="115" t="s">
        <v>203</v>
      </c>
      <c r="H12" s="117" t="s">
        <v>344</v>
      </c>
    </row>
    <row r="13" spans="1:15" x14ac:dyDescent="0.25">
      <c r="A13" s="22" t="s">
        <v>240</v>
      </c>
      <c r="B13" s="22" t="s">
        <v>103</v>
      </c>
      <c r="C13" s="22" t="s">
        <v>103</v>
      </c>
      <c r="D13" s="66">
        <v>45303</v>
      </c>
      <c r="E13" s="60">
        <v>22.9</v>
      </c>
      <c r="F13" s="22"/>
      <c r="G13" s="115" t="s">
        <v>203</v>
      </c>
      <c r="H13" s="117" t="s">
        <v>337</v>
      </c>
    </row>
    <row r="14" spans="1:15" x14ac:dyDescent="0.25">
      <c r="A14" s="22" t="s">
        <v>242</v>
      </c>
      <c r="B14" s="22" t="s">
        <v>103</v>
      </c>
      <c r="C14" s="22" t="s">
        <v>103</v>
      </c>
      <c r="D14" s="66">
        <v>45303</v>
      </c>
      <c r="E14" s="60">
        <v>120.8</v>
      </c>
      <c r="F14" s="22" t="s">
        <v>241</v>
      </c>
      <c r="G14" s="115" t="s">
        <v>203</v>
      </c>
      <c r="H14" s="117" t="s">
        <v>340</v>
      </c>
    </row>
    <row r="15" spans="1:15" x14ac:dyDescent="0.25">
      <c r="A15" s="22" t="s">
        <v>110</v>
      </c>
      <c r="B15" s="22" t="s">
        <v>103</v>
      </c>
      <c r="C15" s="22" t="s">
        <v>103</v>
      </c>
      <c r="D15" s="66">
        <v>45303</v>
      </c>
      <c r="E15" s="30">
        <v>2898.04</v>
      </c>
      <c r="F15" s="22"/>
      <c r="G15" s="115"/>
      <c r="H15" s="117" t="s">
        <v>339</v>
      </c>
    </row>
    <row r="16" spans="1:15" x14ac:dyDescent="0.25">
      <c r="A16" s="22" t="s">
        <v>68</v>
      </c>
      <c r="B16" s="22" t="s">
        <v>103</v>
      </c>
      <c r="C16" s="22" t="s">
        <v>103</v>
      </c>
      <c r="D16" s="66">
        <v>45303</v>
      </c>
      <c r="E16" s="60">
        <v>70</v>
      </c>
      <c r="F16" s="22"/>
      <c r="G16" s="115" t="s">
        <v>203</v>
      </c>
      <c r="H16" s="117" t="s">
        <v>344</v>
      </c>
    </row>
    <row r="17" spans="1:8" x14ac:dyDescent="0.25">
      <c r="A17" s="22" t="s">
        <v>371</v>
      </c>
      <c r="B17" s="22" t="s">
        <v>103</v>
      </c>
      <c r="C17" s="22" t="s">
        <v>103</v>
      </c>
      <c r="D17" s="66">
        <v>45306</v>
      </c>
      <c r="E17" s="30">
        <v>188.8</v>
      </c>
      <c r="F17" s="22" t="s">
        <v>372</v>
      </c>
      <c r="G17" s="115" t="s">
        <v>299</v>
      </c>
      <c r="H17" s="117" t="s">
        <v>337</v>
      </c>
    </row>
    <row r="18" spans="1:8" x14ac:dyDescent="0.25">
      <c r="A18" s="22" t="s">
        <v>68</v>
      </c>
      <c r="B18" s="22" t="s">
        <v>103</v>
      </c>
      <c r="C18" s="22" t="s">
        <v>103</v>
      </c>
      <c r="D18" s="66">
        <v>45306</v>
      </c>
      <c r="E18" s="60">
        <v>50</v>
      </c>
      <c r="F18" s="22"/>
      <c r="G18" s="115" t="s">
        <v>203</v>
      </c>
      <c r="H18" s="117" t="s">
        <v>344</v>
      </c>
    </row>
    <row r="19" spans="1:8" x14ac:dyDescent="0.25">
      <c r="A19" s="22" t="s">
        <v>68</v>
      </c>
      <c r="B19" s="22" t="s">
        <v>103</v>
      </c>
      <c r="C19" s="22" t="s">
        <v>103</v>
      </c>
      <c r="D19" s="66">
        <v>45306</v>
      </c>
      <c r="E19" s="60">
        <v>60</v>
      </c>
      <c r="F19" s="22"/>
      <c r="G19" s="115" t="s">
        <v>203</v>
      </c>
      <c r="H19" s="117" t="s">
        <v>344</v>
      </c>
    </row>
    <row r="20" spans="1:8" x14ac:dyDescent="0.25">
      <c r="A20" s="34" t="s">
        <v>110</v>
      </c>
      <c r="B20" s="34" t="s">
        <v>103</v>
      </c>
      <c r="C20" s="34" t="s">
        <v>103</v>
      </c>
      <c r="D20" s="67">
        <v>45307</v>
      </c>
      <c r="E20" s="35">
        <v>2443.11</v>
      </c>
      <c r="F20" s="34"/>
      <c r="G20" s="115"/>
      <c r="H20" s="117" t="s">
        <v>339</v>
      </c>
    </row>
    <row r="21" spans="1:8" x14ac:dyDescent="0.25">
      <c r="A21" s="22" t="s">
        <v>68</v>
      </c>
      <c r="B21" s="22" t="s">
        <v>103</v>
      </c>
      <c r="C21" s="22" t="s">
        <v>103</v>
      </c>
      <c r="D21" s="66">
        <v>45307</v>
      </c>
      <c r="E21" s="60">
        <v>62</v>
      </c>
      <c r="F21" s="22"/>
      <c r="G21" s="115" t="s">
        <v>203</v>
      </c>
      <c r="H21" s="117" t="s">
        <v>344</v>
      </c>
    </row>
    <row r="22" spans="1:8" x14ac:dyDescent="0.25">
      <c r="A22" s="22" t="s">
        <v>68</v>
      </c>
      <c r="B22" s="22" t="s">
        <v>103</v>
      </c>
      <c r="C22" s="22" t="s">
        <v>103</v>
      </c>
      <c r="D22" s="66">
        <v>45308</v>
      </c>
      <c r="E22" s="30">
        <v>100</v>
      </c>
      <c r="F22" s="22"/>
      <c r="G22" s="115"/>
      <c r="H22" s="117" t="s">
        <v>344</v>
      </c>
    </row>
    <row r="23" spans="1:8" x14ac:dyDescent="0.25">
      <c r="A23" s="22" t="s">
        <v>106</v>
      </c>
      <c r="B23" s="22" t="s">
        <v>103</v>
      </c>
      <c r="C23" s="22" t="s">
        <v>103</v>
      </c>
      <c r="D23" s="66">
        <v>45309</v>
      </c>
      <c r="E23" s="30">
        <v>129</v>
      </c>
      <c r="F23" s="22"/>
      <c r="G23" s="115"/>
      <c r="H23" s="117" t="s">
        <v>345</v>
      </c>
    </row>
    <row r="24" spans="1:8" x14ac:dyDescent="0.25">
      <c r="A24" s="22" t="s">
        <v>106</v>
      </c>
      <c r="B24" s="22" t="s">
        <v>103</v>
      </c>
      <c r="C24" s="22" t="s">
        <v>103</v>
      </c>
      <c r="D24" s="66">
        <v>45310</v>
      </c>
      <c r="E24" s="30">
        <v>61.2</v>
      </c>
      <c r="F24" s="22"/>
      <c r="G24" s="115" t="s">
        <v>299</v>
      </c>
      <c r="H24" s="117" t="s">
        <v>345</v>
      </c>
    </row>
    <row r="25" spans="1:8" x14ac:dyDescent="0.25">
      <c r="A25" s="22" t="s">
        <v>106</v>
      </c>
      <c r="B25" s="22" t="s">
        <v>103</v>
      </c>
      <c r="C25" s="22" t="s">
        <v>103</v>
      </c>
      <c r="D25" s="66">
        <v>45310</v>
      </c>
      <c r="E25" s="30">
        <v>228.55</v>
      </c>
      <c r="F25" s="22"/>
      <c r="G25" s="115"/>
      <c r="H25" s="117" t="s">
        <v>345</v>
      </c>
    </row>
    <row r="26" spans="1:8" x14ac:dyDescent="0.25">
      <c r="A26" s="22" t="s">
        <v>107</v>
      </c>
      <c r="B26" s="22" t="s">
        <v>103</v>
      </c>
      <c r="C26" s="22" t="s">
        <v>103</v>
      </c>
      <c r="D26" s="66">
        <v>45310</v>
      </c>
      <c r="E26" s="30">
        <v>2599.4</v>
      </c>
      <c r="F26" s="22"/>
      <c r="G26" s="115"/>
      <c r="H26" s="117" t="s">
        <v>339</v>
      </c>
    </row>
    <row r="27" spans="1:8" x14ac:dyDescent="0.25">
      <c r="A27" s="22" t="s">
        <v>68</v>
      </c>
      <c r="B27" s="22" t="s">
        <v>103</v>
      </c>
      <c r="C27" s="22" t="s">
        <v>103</v>
      </c>
      <c r="D27" s="66">
        <v>45310</v>
      </c>
      <c r="E27" s="30">
        <v>100</v>
      </c>
      <c r="F27" s="22"/>
      <c r="G27" s="115"/>
      <c r="H27" s="117" t="s">
        <v>344</v>
      </c>
    </row>
    <row r="28" spans="1:8" x14ac:dyDescent="0.25">
      <c r="A28" s="22" t="s">
        <v>68</v>
      </c>
      <c r="B28" s="22" t="s">
        <v>103</v>
      </c>
      <c r="C28" s="22" t="s">
        <v>103</v>
      </c>
      <c r="D28" s="66">
        <v>45311</v>
      </c>
      <c r="E28" s="30">
        <v>100</v>
      </c>
      <c r="F28" s="22"/>
      <c r="G28" s="115"/>
      <c r="H28" s="117" t="s">
        <v>344</v>
      </c>
    </row>
    <row r="29" spans="1:8" x14ac:dyDescent="0.25">
      <c r="A29" s="22" t="s">
        <v>239</v>
      </c>
      <c r="B29" s="22" t="s">
        <v>103</v>
      </c>
      <c r="C29" s="22" t="s">
        <v>103</v>
      </c>
      <c r="D29" s="66">
        <v>45313</v>
      </c>
      <c r="E29" s="60">
        <v>16</v>
      </c>
      <c r="F29" s="22"/>
      <c r="G29" s="115" t="s">
        <v>203</v>
      </c>
      <c r="H29" s="117" t="s">
        <v>337</v>
      </c>
    </row>
    <row r="30" spans="1:8" x14ac:dyDescent="0.25">
      <c r="A30" s="22" t="s">
        <v>68</v>
      </c>
      <c r="B30" s="22" t="s">
        <v>103</v>
      </c>
      <c r="C30" s="22" t="s">
        <v>103</v>
      </c>
      <c r="D30" s="66">
        <v>45313</v>
      </c>
      <c r="E30" s="60">
        <v>100</v>
      </c>
      <c r="F30" s="22"/>
      <c r="G30" s="115" t="s">
        <v>203</v>
      </c>
      <c r="H30" s="117" t="s">
        <v>344</v>
      </c>
    </row>
    <row r="31" spans="1:8" x14ac:dyDescent="0.25">
      <c r="A31" s="34" t="s">
        <v>68</v>
      </c>
      <c r="B31" s="34" t="s">
        <v>103</v>
      </c>
      <c r="C31" s="34" t="s">
        <v>103</v>
      </c>
      <c r="D31" s="67">
        <v>45314</v>
      </c>
      <c r="E31" s="35">
        <v>100</v>
      </c>
      <c r="F31" s="34"/>
      <c r="G31" s="115"/>
      <c r="H31" s="117" t="s">
        <v>344</v>
      </c>
    </row>
    <row r="32" spans="1:8" x14ac:dyDescent="0.25">
      <c r="A32" s="22" t="s">
        <v>108</v>
      </c>
      <c r="B32" s="22" t="s">
        <v>103</v>
      </c>
      <c r="C32" s="22" t="s">
        <v>103</v>
      </c>
      <c r="D32" s="66">
        <v>45315</v>
      </c>
      <c r="E32" s="30">
        <v>122.5</v>
      </c>
      <c r="F32" s="22"/>
      <c r="G32" s="115"/>
      <c r="H32" s="117" t="s">
        <v>339</v>
      </c>
    </row>
    <row r="33" spans="1:8" x14ac:dyDescent="0.25">
      <c r="A33" s="22" t="s">
        <v>109</v>
      </c>
      <c r="B33" s="22" t="s">
        <v>103</v>
      </c>
      <c r="C33" s="22" t="s">
        <v>103</v>
      </c>
      <c r="D33" s="66">
        <v>45315</v>
      </c>
      <c r="E33" s="30">
        <v>102</v>
      </c>
      <c r="F33" s="22"/>
      <c r="G33" s="115"/>
      <c r="H33" s="117" t="s">
        <v>343</v>
      </c>
    </row>
    <row r="34" spans="1:8" x14ac:dyDescent="0.25">
      <c r="A34" s="22" t="s">
        <v>68</v>
      </c>
      <c r="B34" s="22" t="s">
        <v>71</v>
      </c>
      <c r="C34" s="22" t="s">
        <v>42</v>
      </c>
      <c r="D34" s="66">
        <v>45316</v>
      </c>
      <c r="E34" s="30">
        <v>100</v>
      </c>
      <c r="F34" s="22"/>
      <c r="G34" s="115"/>
      <c r="H34" s="117" t="s">
        <v>344</v>
      </c>
    </row>
    <row r="35" spans="1:8" x14ac:dyDescent="0.25">
      <c r="A35" s="22" t="s">
        <v>68</v>
      </c>
      <c r="B35" s="22" t="s">
        <v>71</v>
      </c>
      <c r="C35" s="22" t="s">
        <v>32</v>
      </c>
      <c r="D35" s="66">
        <v>45316</v>
      </c>
      <c r="E35" s="30">
        <v>100</v>
      </c>
      <c r="F35" s="22"/>
      <c r="G35" s="115"/>
      <c r="H35" s="117" t="s">
        <v>344</v>
      </c>
    </row>
    <row r="36" spans="1:8" x14ac:dyDescent="0.25">
      <c r="A36" s="22" t="s">
        <v>72</v>
      </c>
      <c r="B36" s="22" t="s">
        <v>73</v>
      </c>
      <c r="C36" s="22" t="s">
        <v>74</v>
      </c>
      <c r="D36" s="66">
        <v>45316</v>
      </c>
      <c r="E36" s="30">
        <v>10</v>
      </c>
      <c r="F36" s="22" t="s">
        <v>82</v>
      </c>
      <c r="G36" s="115"/>
      <c r="H36" s="117" t="s">
        <v>338</v>
      </c>
    </row>
    <row r="37" spans="1:8" x14ac:dyDescent="0.25">
      <c r="A37" s="22" t="s">
        <v>226</v>
      </c>
      <c r="B37" s="22" t="s">
        <v>71</v>
      </c>
      <c r="C37" s="22" t="s">
        <v>32</v>
      </c>
      <c r="D37" s="66">
        <v>45317</v>
      </c>
      <c r="E37" s="60">
        <v>17</v>
      </c>
      <c r="F37" s="22"/>
      <c r="G37" s="115" t="s">
        <v>203</v>
      </c>
      <c r="H37" s="117" t="s">
        <v>337</v>
      </c>
    </row>
    <row r="38" spans="1:8" x14ac:dyDescent="0.25">
      <c r="A38" s="22" t="s">
        <v>100</v>
      </c>
      <c r="B38" s="22" t="s">
        <v>73</v>
      </c>
      <c r="C38" s="22" t="s">
        <v>32</v>
      </c>
      <c r="D38" s="66">
        <v>45317</v>
      </c>
      <c r="E38" s="30">
        <f>120-39</f>
        <v>81</v>
      </c>
      <c r="F38" s="22"/>
      <c r="G38" s="115"/>
      <c r="H38" s="117" t="s">
        <v>337</v>
      </c>
    </row>
    <row r="39" spans="1:8" x14ac:dyDescent="0.25">
      <c r="A39" s="22" t="s">
        <v>105</v>
      </c>
      <c r="B39" s="22" t="s">
        <v>73</v>
      </c>
      <c r="C39" s="22" t="s">
        <v>73</v>
      </c>
      <c r="D39" s="66">
        <v>45317</v>
      </c>
      <c r="E39" s="30">
        <v>100</v>
      </c>
      <c r="F39" s="22"/>
      <c r="G39" s="115"/>
      <c r="H39" s="117" t="s">
        <v>337</v>
      </c>
    </row>
    <row r="40" spans="1:8" x14ac:dyDescent="0.25">
      <c r="A40" s="34" t="s">
        <v>215</v>
      </c>
      <c r="B40" s="34" t="s">
        <v>103</v>
      </c>
      <c r="C40" s="34" t="s">
        <v>42</v>
      </c>
      <c r="D40" s="67">
        <v>45317</v>
      </c>
      <c r="E40" s="75">
        <v>200</v>
      </c>
      <c r="F40" s="34" t="s">
        <v>216</v>
      </c>
      <c r="G40" s="115" t="s">
        <v>202</v>
      </c>
      <c r="H40" s="117" t="s">
        <v>337</v>
      </c>
    </row>
    <row r="41" spans="1:8" x14ac:dyDescent="0.25">
      <c r="A41" s="22" t="s">
        <v>213</v>
      </c>
      <c r="B41" s="22" t="s">
        <v>103</v>
      </c>
      <c r="C41" s="22" t="s">
        <v>42</v>
      </c>
      <c r="D41" s="66">
        <v>45317</v>
      </c>
      <c r="E41" s="60">
        <v>30</v>
      </c>
      <c r="F41" s="22" t="s">
        <v>214</v>
      </c>
      <c r="G41" s="115" t="s">
        <v>202</v>
      </c>
      <c r="H41" s="117" t="s">
        <v>340</v>
      </c>
    </row>
    <row r="42" spans="1:8" x14ac:dyDescent="0.25">
      <c r="A42" s="22" t="s">
        <v>102</v>
      </c>
      <c r="B42" s="22" t="s">
        <v>103</v>
      </c>
      <c r="C42" s="22" t="s">
        <v>103</v>
      </c>
      <c r="D42" s="66">
        <v>45317</v>
      </c>
      <c r="E42" s="30">
        <v>600</v>
      </c>
      <c r="F42" s="22"/>
      <c r="G42" s="115"/>
      <c r="H42" s="117" t="s">
        <v>339</v>
      </c>
    </row>
    <row r="43" spans="1:8" x14ac:dyDescent="0.25">
      <c r="A43" s="22" t="s">
        <v>110</v>
      </c>
      <c r="B43" s="22" t="s">
        <v>103</v>
      </c>
      <c r="C43" s="22" t="s">
        <v>103</v>
      </c>
      <c r="D43" s="66">
        <v>45317</v>
      </c>
      <c r="E43" s="30">
        <v>970.4</v>
      </c>
      <c r="F43" s="22"/>
      <c r="G43" s="115"/>
      <c r="H43" s="117" t="s">
        <v>339</v>
      </c>
    </row>
    <row r="44" spans="1:8" x14ac:dyDescent="0.25">
      <c r="A44" s="22" t="s">
        <v>107</v>
      </c>
      <c r="B44" s="22" t="s">
        <v>103</v>
      </c>
      <c r="C44" s="22" t="s">
        <v>103</v>
      </c>
      <c r="D44" s="66">
        <v>45317</v>
      </c>
      <c r="E44" s="30">
        <v>3024.35</v>
      </c>
      <c r="F44" s="22"/>
      <c r="G44" s="115"/>
      <c r="H44" s="117" t="s">
        <v>339</v>
      </c>
    </row>
    <row r="45" spans="1:8" x14ac:dyDescent="0.25">
      <c r="A45" s="22" t="s">
        <v>81</v>
      </c>
      <c r="B45" s="22" t="s">
        <v>73</v>
      </c>
      <c r="C45" s="22" t="s">
        <v>34</v>
      </c>
      <c r="D45" s="66">
        <v>45317</v>
      </c>
      <c r="E45" s="30">
        <v>5</v>
      </c>
      <c r="F45" s="22"/>
      <c r="G45" s="115"/>
      <c r="H45" s="117" t="s">
        <v>338</v>
      </c>
    </row>
    <row r="46" spans="1:8" x14ac:dyDescent="0.25">
      <c r="A46" s="22" t="s">
        <v>86</v>
      </c>
      <c r="B46" s="22" t="s">
        <v>73</v>
      </c>
      <c r="C46" s="22" t="s">
        <v>71</v>
      </c>
      <c r="D46" s="66">
        <v>45317</v>
      </c>
      <c r="E46" s="30">
        <v>20</v>
      </c>
      <c r="F46" s="22" t="s">
        <v>87</v>
      </c>
      <c r="G46" s="115"/>
      <c r="H46" s="117" t="s">
        <v>338</v>
      </c>
    </row>
    <row r="47" spans="1:8" x14ac:dyDescent="0.25">
      <c r="A47" s="34" t="s">
        <v>104</v>
      </c>
      <c r="B47" s="34" t="s">
        <v>71</v>
      </c>
      <c r="C47" s="34" t="s">
        <v>104</v>
      </c>
      <c r="D47" s="67">
        <v>45317</v>
      </c>
      <c r="E47" s="35">
        <v>100</v>
      </c>
      <c r="F47" s="34" t="s">
        <v>177</v>
      </c>
      <c r="G47" s="115"/>
      <c r="H47" s="117" t="s">
        <v>338</v>
      </c>
    </row>
    <row r="48" spans="1:8" x14ac:dyDescent="0.25">
      <c r="A48" s="22" t="s">
        <v>106</v>
      </c>
      <c r="B48" s="22" t="s">
        <v>161</v>
      </c>
      <c r="C48" s="22" t="s">
        <v>71</v>
      </c>
      <c r="D48" s="66">
        <v>45318</v>
      </c>
      <c r="E48" s="30">
        <v>300</v>
      </c>
      <c r="F48" s="22" t="s">
        <v>162</v>
      </c>
      <c r="G48" s="115"/>
      <c r="H48" s="117" t="s">
        <v>345</v>
      </c>
    </row>
    <row r="49" spans="1:8" x14ac:dyDescent="0.25">
      <c r="A49" s="34" t="s">
        <v>224</v>
      </c>
      <c r="B49" s="34" t="s">
        <v>223</v>
      </c>
      <c r="C49" s="34" t="s">
        <v>42</v>
      </c>
      <c r="D49" s="67">
        <v>45318</v>
      </c>
      <c r="E49" s="75">
        <v>40</v>
      </c>
      <c r="F49" s="34"/>
      <c r="G49" s="115" t="s">
        <v>202</v>
      </c>
      <c r="H49" s="117" t="s">
        <v>337</v>
      </c>
    </row>
    <row r="50" spans="1:8" x14ac:dyDescent="0.25">
      <c r="A50" s="22" t="s">
        <v>173</v>
      </c>
      <c r="B50" s="22" t="s">
        <v>73</v>
      </c>
      <c r="C50" s="22" t="s">
        <v>71</v>
      </c>
      <c r="D50" s="66">
        <v>45318</v>
      </c>
      <c r="E50" s="30">
        <v>1000</v>
      </c>
      <c r="F50" s="22"/>
      <c r="G50" s="115"/>
      <c r="H50" s="117" t="s">
        <v>337</v>
      </c>
    </row>
    <row r="51" spans="1:8" x14ac:dyDescent="0.25">
      <c r="A51" s="22" t="s">
        <v>163</v>
      </c>
      <c r="B51" s="22" t="s">
        <v>71</v>
      </c>
      <c r="C51" s="22" t="s">
        <v>71</v>
      </c>
      <c r="D51" s="66">
        <v>45318</v>
      </c>
      <c r="E51" s="30">
        <v>45</v>
      </c>
      <c r="F51" s="22"/>
      <c r="G51" s="115"/>
      <c r="H51" s="117" t="s">
        <v>340</v>
      </c>
    </row>
    <row r="52" spans="1:8" x14ac:dyDescent="0.25">
      <c r="A52" s="22" t="s">
        <v>164</v>
      </c>
      <c r="B52" s="22" t="s">
        <v>182</v>
      </c>
      <c r="C52" s="22" t="s">
        <v>182</v>
      </c>
      <c r="D52" s="66">
        <v>45318</v>
      </c>
      <c r="E52" s="30">
        <v>600</v>
      </c>
      <c r="F52" s="22"/>
      <c r="G52" s="115"/>
      <c r="H52" s="117" t="s">
        <v>340</v>
      </c>
    </row>
    <row r="53" spans="1:8" x14ac:dyDescent="0.25">
      <c r="A53" s="22" t="s">
        <v>68</v>
      </c>
      <c r="B53" s="22" t="s">
        <v>223</v>
      </c>
      <c r="C53" s="22" t="s">
        <v>42</v>
      </c>
      <c r="D53" s="66">
        <v>45318</v>
      </c>
      <c r="E53" s="60">
        <v>60</v>
      </c>
      <c r="F53" s="22"/>
      <c r="G53" s="115" t="s">
        <v>202</v>
      </c>
      <c r="H53" s="117" t="s">
        <v>344</v>
      </c>
    </row>
    <row r="54" spans="1:8" x14ac:dyDescent="0.25">
      <c r="A54" s="22" t="s">
        <v>68</v>
      </c>
      <c r="B54" s="22" t="s">
        <v>223</v>
      </c>
      <c r="C54" s="22" t="s">
        <v>42</v>
      </c>
      <c r="D54" s="66">
        <v>45318</v>
      </c>
      <c r="E54" s="60">
        <v>70</v>
      </c>
      <c r="F54" s="22"/>
      <c r="G54" s="115" t="s">
        <v>202</v>
      </c>
      <c r="H54" s="117" t="s">
        <v>344</v>
      </c>
    </row>
    <row r="55" spans="1:8" x14ac:dyDescent="0.25">
      <c r="A55" s="22" t="s">
        <v>68</v>
      </c>
      <c r="B55" s="22" t="s">
        <v>71</v>
      </c>
      <c r="C55" s="22" t="s">
        <v>71</v>
      </c>
      <c r="D55" s="66">
        <v>45318</v>
      </c>
      <c r="E55" s="30">
        <v>240</v>
      </c>
      <c r="F55" s="22"/>
      <c r="G55" s="115"/>
      <c r="H55" s="117" t="s">
        <v>344</v>
      </c>
    </row>
    <row r="56" spans="1:8" x14ac:dyDescent="0.25">
      <c r="A56" s="22" t="s">
        <v>104</v>
      </c>
      <c r="B56" s="22" t="s">
        <v>71</v>
      </c>
      <c r="C56" s="22" t="s">
        <v>104</v>
      </c>
      <c r="D56" s="66">
        <v>45318</v>
      </c>
      <c r="E56" s="30">
        <v>50</v>
      </c>
      <c r="F56" s="22" t="s">
        <v>177</v>
      </c>
      <c r="G56" s="115"/>
      <c r="H56" s="117" t="s">
        <v>338</v>
      </c>
    </row>
    <row r="57" spans="1:8" x14ac:dyDescent="0.25">
      <c r="A57" s="22" t="s">
        <v>39</v>
      </c>
      <c r="B57" s="22" t="s">
        <v>71</v>
      </c>
      <c r="C57" s="22" t="s">
        <v>39</v>
      </c>
      <c r="D57" s="66">
        <v>45318</v>
      </c>
      <c r="E57" s="30">
        <v>100</v>
      </c>
      <c r="F57" s="22" t="s">
        <v>177</v>
      </c>
      <c r="G57" s="115"/>
      <c r="H57" s="117" t="s">
        <v>338</v>
      </c>
    </row>
    <row r="58" spans="1:8" x14ac:dyDescent="0.25">
      <c r="A58" s="22" t="s">
        <v>171</v>
      </c>
      <c r="B58" s="22" t="s">
        <v>73</v>
      </c>
      <c r="C58" s="22" t="s">
        <v>171</v>
      </c>
      <c r="D58" s="66">
        <v>45318</v>
      </c>
      <c r="E58" s="30">
        <v>700</v>
      </c>
      <c r="F58" s="22"/>
      <c r="G58" s="115"/>
      <c r="H58" s="117" t="s">
        <v>338</v>
      </c>
    </row>
    <row r="59" spans="1:8" x14ac:dyDescent="0.25">
      <c r="A59" s="22" t="s">
        <v>176</v>
      </c>
      <c r="B59" s="22" t="s">
        <v>73</v>
      </c>
      <c r="C59" s="22" t="s">
        <v>31</v>
      </c>
      <c r="D59" s="66">
        <v>45318</v>
      </c>
      <c r="E59" s="30">
        <v>100</v>
      </c>
      <c r="F59" s="22"/>
      <c r="G59" s="115"/>
      <c r="H59" s="117" t="s">
        <v>343</v>
      </c>
    </row>
    <row r="60" spans="1:8" x14ac:dyDescent="0.25">
      <c r="A60" s="22" t="s">
        <v>68</v>
      </c>
      <c r="B60" s="22" t="s">
        <v>223</v>
      </c>
      <c r="C60" s="22" t="s">
        <v>42</v>
      </c>
      <c r="D60" s="66">
        <v>45319</v>
      </c>
      <c r="E60" s="60">
        <v>60</v>
      </c>
      <c r="F60" s="22"/>
      <c r="G60" s="115" t="s">
        <v>202</v>
      </c>
      <c r="H60" s="117" t="s">
        <v>344</v>
      </c>
    </row>
    <row r="61" spans="1:8" x14ac:dyDescent="0.25">
      <c r="A61" s="22" t="s">
        <v>68</v>
      </c>
      <c r="B61" s="22" t="s">
        <v>32</v>
      </c>
      <c r="C61" s="22" t="s">
        <v>32</v>
      </c>
      <c r="D61" s="66">
        <v>45319</v>
      </c>
      <c r="E61" s="30">
        <v>100</v>
      </c>
      <c r="F61" s="22" t="s">
        <v>175</v>
      </c>
      <c r="G61" s="115"/>
      <c r="H61" s="117" t="s">
        <v>344</v>
      </c>
    </row>
    <row r="62" spans="1:8" x14ac:dyDescent="0.25">
      <c r="A62" s="34" t="s">
        <v>68</v>
      </c>
      <c r="B62" s="34" t="s">
        <v>103</v>
      </c>
      <c r="C62" s="34" t="s">
        <v>103</v>
      </c>
      <c r="D62" s="67">
        <v>45319</v>
      </c>
      <c r="E62" s="75">
        <v>100</v>
      </c>
      <c r="F62" s="34"/>
      <c r="G62" s="115" t="s">
        <v>203</v>
      </c>
      <c r="H62" s="117" t="s">
        <v>344</v>
      </c>
    </row>
    <row r="63" spans="1:8" x14ac:dyDescent="0.25">
      <c r="A63" s="34" t="s">
        <v>222</v>
      </c>
      <c r="B63" s="34" t="s">
        <v>71</v>
      </c>
      <c r="C63" s="34" t="s">
        <v>71</v>
      </c>
      <c r="D63" s="67">
        <v>45320</v>
      </c>
      <c r="E63" s="75">
        <v>405</v>
      </c>
      <c r="F63" s="34"/>
      <c r="G63" s="116" t="s">
        <v>203</v>
      </c>
      <c r="H63" s="117" t="s">
        <v>337</v>
      </c>
    </row>
    <row r="64" spans="1:8" x14ac:dyDescent="0.25">
      <c r="A64" s="22" t="s">
        <v>110</v>
      </c>
      <c r="B64" s="22" t="s">
        <v>32</v>
      </c>
      <c r="C64" s="22" t="s">
        <v>32</v>
      </c>
      <c r="D64" s="66">
        <v>45320</v>
      </c>
      <c r="E64" s="30">
        <v>285</v>
      </c>
      <c r="F64" s="22" t="s">
        <v>174</v>
      </c>
      <c r="G64" s="115"/>
      <c r="H64" s="117" t="s">
        <v>339</v>
      </c>
    </row>
    <row r="65" spans="1:8" x14ac:dyDescent="0.25">
      <c r="A65" s="22" t="s">
        <v>68</v>
      </c>
      <c r="B65" s="22" t="s">
        <v>71</v>
      </c>
      <c r="C65" s="22" t="s">
        <v>42</v>
      </c>
      <c r="D65" s="66">
        <v>45320</v>
      </c>
      <c r="E65" s="30">
        <v>100</v>
      </c>
      <c r="F65" s="22"/>
      <c r="G65" s="115" t="s">
        <v>202</v>
      </c>
      <c r="H65" s="117" t="s">
        <v>344</v>
      </c>
    </row>
    <row r="66" spans="1:8" x14ac:dyDescent="0.25">
      <c r="A66" s="22" t="s">
        <v>68</v>
      </c>
      <c r="B66" s="22" t="s">
        <v>233</v>
      </c>
      <c r="C66" s="22" t="s">
        <v>32</v>
      </c>
      <c r="D66" s="66">
        <v>45320</v>
      </c>
      <c r="E66" s="60">
        <v>100</v>
      </c>
      <c r="F66" s="22"/>
      <c r="G66" s="115" t="s">
        <v>202</v>
      </c>
      <c r="H66" s="117" t="s">
        <v>344</v>
      </c>
    </row>
    <row r="67" spans="1:8" x14ac:dyDescent="0.25">
      <c r="A67" s="22" t="s">
        <v>217</v>
      </c>
      <c r="B67" s="22" t="s">
        <v>73</v>
      </c>
      <c r="C67" s="22" t="s">
        <v>71</v>
      </c>
      <c r="D67" s="66">
        <v>45321</v>
      </c>
      <c r="E67" s="60">
        <v>380</v>
      </c>
      <c r="F67" s="22"/>
      <c r="G67" s="115" t="s">
        <v>202</v>
      </c>
      <c r="H67" s="117" t="s">
        <v>339</v>
      </c>
    </row>
    <row r="68" spans="1:8" x14ac:dyDescent="0.25">
      <c r="A68" s="22" t="s">
        <v>107</v>
      </c>
      <c r="B68" s="22" t="s">
        <v>71</v>
      </c>
      <c r="C68" s="22" t="s">
        <v>71</v>
      </c>
      <c r="D68" s="66">
        <v>45321</v>
      </c>
      <c r="E68" s="60">
        <v>2835.48</v>
      </c>
      <c r="F68" s="22"/>
      <c r="G68" s="115" t="s">
        <v>203</v>
      </c>
      <c r="H68" s="117" t="s">
        <v>339</v>
      </c>
    </row>
    <row r="69" spans="1:8" x14ac:dyDescent="0.25">
      <c r="A69" s="22" t="s">
        <v>68</v>
      </c>
      <c r="B69" s="22" t="s">
        <v>230</v>
      </c>
      <c r="C69" s="22" t="s">
        <v>103</v>
      </c>
      <c r="D69" s="66">
        <v>45321</v>
      </c>
      <c r="E69" s="60">
        <v>37.5</v>
      </c>
      <c r="F69" s="22"/>
      <c r="G69" s="115" t="s">
        <v>202</v>
      </c>
      <c r="H69" s="117" t="s">
        <v>344</v>
      </c>
    </row>
    <row r="70" spans="1:8" x14ac:dyDescent="0.25">
      <c r="A70" s="22" t="s">
        <v>68</v>
      </c>
      <c r="B70" s="22" t="s">
        <v>103</v>
      </c>
      <c r="C70" s="22" t="s">
        <v>103</v>
      </c>
      <c r="D70" s="66">
        <v>45321</v>
      </c>
      <c r="E70" s="60">
        <v>70</v>
      </c>
      <c r="F70" s="22"/>
      <c r="G70" s="115" t="s">
        <v>235</v>
      </c>
      <c r="H70" s="117" t="s">
        <v>344</v>
      </c>
    </row>
    <row r="71" spans="1:8" x14ac:dyDescent="0.25">
      <c r="A71" s="22" t="s">
        <v>68</v>
      </c>
      <c r="B71" s="22" t="s">
        <v>103</v>
      </c>
      <c r="C71" s="22" t="s">
        <v>103</v>
      </c>
      <c r="D71" s="66">
        <v>45321</v>
      </c>
      <c r="E71" s="30">
        <v>100</v>
      </c>
      <c r="F71" s="22"/>
      <c r="G71" s="115" t="s">
        <v>299</v>
      </c>
      <c r="H71" s="117" t="s">
        <v>344</v>
      </c>
    </row>
    <row r="72" spans="1:8" x14ac:dyDescent="0.25">
      <c r="A72" s="22" t="s">
        <v>225</v>
      </c>
      <c r="B72" s="22" t="s">
        <v>73</v>
      </c>
      <c r="C72" s="22" t="s">
        <v>38</v>
      </c>
      <c r="D72" s="66">
        <v>45321</v>
      </c>
      <c r="E72" s="60">
        <v>3</v>
      </c>
      <c r="F72" s="22"/>
      <c r="G72" s="115" t="s">
        <v>202</v>
      </c>
      <c r="H72" s="117" t="s">
        <v>338</v>
      </c>
    </row>
    <row r="73" spans="1:8" x14ac:dyDescent="0.25">
      <c r="A73" s="22" t="s">
        <v>72</v>
      </c>
      <c r="B73" s="22" t="s">
        <v>71</v>
      </c>
      <c r="C73" s="22" t="s">
        <v>71</v>
      </c>
      <c r="D73" s="66">
        <v>45321</v>
      </c>
      <c r="E73" s="60">
        <v>35</v>
      </c>
      <c r="F73" s="22" t="s">
        <v>219</v>
      </c>
      <c r="G73" s="115" t="s">
        <v>202</v>
      </c>
      <c r="H73" s="117" t="s">
        <v>338</v>
      </c>
    </row>
    <row r="74" spans="1:8" x14ac:dyDescent="0.25">
      <c r="A74" s="22" t="s">
        <v>227</v>
      </c>
      <c r="B74" s="22" t="s">
        <v>73</v>
      </c>
      <c r="C74" s="22" t="s">
        <v>32</v>
      </c>
      <c r="D74" s="66">
        <v>45321</v>
      </c>
      <c r="E74" s="60">
        <v>50</v>
      </c>
      <c r="F74" s="22"/>
      <c r="G74" s="115" t="s">
        <v>228</v>
      </c>
      <c r="H74" s="117" t="s">
        <v>338</v>
      </c>
    </row>
    <row r="75" spans="1:8" x14ac:dyDescent="0.25">
      <c r="A75" s="22" t="s">
        <v>218</v>
      </c>
      <c r="B75" s="22" t="s">
        <v>73</v>
      </c>
      <c r="C75" s="22" t="s">
        <v>38</v>
      </c>
      <c r="D75" s="66">
        <v>45321</v>
      </c>
      <c r="E75" s="60">
        <v>70</v>
      </c>
      <c r="F75" s="22"/>
      <c r="G75" s="115" t="s">
        <v>202</v>
      </c>
      <c r="H75" s="117" t="s">
        <v>338</v>
      </c>
    </row>
    <row r="76" spans="1:8" x14ac:dyDescent="0.25">
      <c r="A76" s="22" t="s">
        <v>243</v>
      </c>
      <c r="B76" s="22" t="s">
        <v>244</v>
      </c>
      <c r="C76" s="22" t="s">
        <v>71</v>
      </c>
      <c r="D76" s="66">
        <v>45322</v>
      </c>
      <c r="E76" s="60">
        <v>30</v>
      </c>
      <c r="F76" s="22"/>
      <c r="G76" s="115" t="s">
        <v>202</v>
      </c>
      <c r="H76" s="117" t="s">
        <v>337</v>
      </c>
    </row>
    <row r="77" spans="1:8" x14ac:dyDescent="0.25">
      <c r="A77" s="34" t="s">
        <v>232</v>
      </c>
      <c r="B77" s="34" t="s">
        <v>73</v>
      </c>
      <c r="C77" s="34" t="s">
        <v>103</v>
      </c>
      <c r="D77" s="67">
        <v>45322</v>
      </c>
      <c r="E77" s="75">
        <v>300</v>
      </c>
      <c r="F77" s="34"/>
      <c r="G77" s="116" t="s">
        <v>202</v>
      </c>
      <c r="H77" s="117" t="s">
        <v>340</v>
      </c>
    </row>
    <row r="78" spans="1:8" x14ac:dyDescent="0.25">
      <c r="A78" s="34" t="s">
        <v>234</v>
      </c>
      <c r="B78" s="34" t="s">
        <v>71</v>
      </c>
      <c r="C78" s="34" t="s">
        <v>71</v>
      </c>
      <c r="D78" s="67">
        <v>45322</v>
      </c>
      <c r="E78" s="75">
        <v>221.21</v>
      </c>
      <c r="F78" s="34"/>
      <c r="G78" s="116" t="s">
        <v>235</v>
      </c>
      <c r="H78" s="117" t="s">
        <v>344</v>
      </c>
    </row>
    <row r="79" spans="1:8" x14ac:dyDescent="0.25">
      <c r="A79" s="34" t="s">
        <v>300</v>
      </c>
      <c r="B79" s="34" t="s">
        <v>103</v>
      </c>
      <c r="C79" s="34" t="s">
        <v>103</v>
      </c>
      <c r="D79" s="67">
        <v>45322</v>
      </c>
      <c r="E79" s="75">
        <v>11.36</v>
      </c>
      <c r="F79" s="34" t="s">
        <v>301</v>
      </c>
      <c r="G79" s="116" t="s">
        <v>235</v>
      </c>
      <c r="H79" s="117" t="s">
        <v>338</v>
      </c>
    </row>
    <row r="80" spans="1:8" x14ac:dyDescent="0.25">
      <c r="A80" s="34" t="s">
        <v>245</v>
      </c>
      <c r="B80" s="34" t="s">
        <v>73</v>
      </c>
      <c r="C80" s="34" t="s">
        <v>42</v>
      </c>
      <c r="D80" s="67">
        <v>45322</v>
      </c>
      <c r="E80" s="75">
        <v>575</v>
      </c>
      <c r="F80" s="34"/>
      <c r="G80" s="116" t="s">
        <v>202</v>
      </c>
      <c r="H80" s="117" t="s">
        <v>338</v>
      </c>
    </row>
    <row r="81" spans="1:8" x14ac:dyDescent="0.25">
      <c r="A81" s="34" t="s">
        <v>296</v>
      </c>
      <c r="B81" s="34" t="s">
        <v>42</v>
      </c>
      <c r="C81" s="34" t="s">
        <v>42</v>
      </c>
      <c r="D81" s="67">
        <v>45322</v>
      </c>
      <c r="E81" s="75">
        <v>7.9</v>
      </c>
      <c r="F81" s="34"/>
      <c r="G81" s="116" t="s">
        <v>299</v>
      </c>
      <c r="H81" s="117" t="s">
        <v>343</v>
      </c>
    </row>
    <row r="82" spans="1:8" x14ac:dyDescent="0.25">
      <c r="A82" s="34" t="s">
        <v>266</v>
      </c>
      <c r="B82" s="34" t="s">
        <v>73</v>
      </c>
      <c r="C82" s="34" t="s">
        <v>71</v>
      </c>
      <c r="D82" s="67">
        <v>45323</v>
      </c>
      <c r="E82" s="75">
        <v>1000</v>
      </c>
      <c r="F82" s="34"/>
      <c r="G82" s="116" t="s">
        <v>202</v>
      </c>
      <c r="H82" s="117" t="s">
        <v>337</v>
      </c>
    </row>
    <row r="83" spans="1:8" x14ac:dyDescent="0.25">
      <c r="A83" s="34" t="s">
        <v>370</v>
      </c>
      <c r="B83" s="34" t="s">
        <v>103</v>
      </c>
      <c r="C83" s="34" t="s">
        <v>103</v>
      </c>
      <c r="D83" s="67">
        <v>45323</v>
      </c>
      <c r="E83" s="35">
        <v>1075.2</v>
      </c>
      <c r="F83" s="34"/>
      <c r="G83" s="116" t="s">
        <v>299</v>
      </c>
      <c r="H83" s="117" t="s">
        <v>337</v>
      </c>
    </row>
    <row r="84" spans="1:8" x14ac:dyDescent="0.25">
      <c r="A84" s="34" t="s">
        <v>263</v>
      </c>
      <c r="B84" s="34" t="s">
        <v>71</v>
      </c>
      <c r="C84" s="34" t="s">
        <v>71</v>
      </c>
      <c r="D84" s="67">
        <v>45323</v>
      </c>
      <c r="E84" s="75">
        <v>1076.2</v>
      </c>
      <c r="F84" s="34" t="s">
        <v>264</v>
      </c>
      <c r="G84" s="116" t="s">
        <v>203</v>
      </c>
      <c r="H84" s="117" t="s">
        <v>337</v>
      </c>
    </row>
    <row r="85" spans="1:8" x14ac:dyDescent="0.25">
      <c r="A85" s="34" t="s">
        <v>110</v>
      </c>
      <c r="B85" s="34" t="s">
        <v>103</v>
      </c>
      <c r="C85" s="34" t="s">
        <v>103</v>
      </c>
      <c r="D85" s="67">
        <v>45323</v>
      </c>
      <c r="E85" s="75">
        <v>1319.16</v>
      </c>
      <c r="F85" s="34"/>
      <c r="G85" s="116" t="s">
        <v>235</v>
      </c>
      <c r="H85" s="117" t="s">
        <v>339</v>
      </c>
    </row>
    <row r="86" spans="1:8" x14ac:dyDescent="0.25">
      <c r="A86" s="34" t="s">
        <v>68</v>
      </c>
      <c r="B86" s="34" t="s">
        <v>103</v>
      </c>
      <c r="C86" s="34" t="s">
        <v>103</v>
      </c>
      <c r="D86" s="67">
        <v>45323</v>
      </c>
      <c r="E86" s="75">
        <v>70</v>
      </c>
      <c r="F86" s="34"/>
      <c r="G86" s="116" t="s">
        <v>299</v>
      </c>
      <c r="H86" s="117" t="s">
        <v>344</v>
      </c>
    </row>
    <row r="87" spans="1:8" x14ac:dyDescent="0.25">
      <c r="A87" s="34" t="s">
        <v>218</v>
      </c>
      <c r="B87" s="34" t="s">
        <v>73</v>
      </c>
      <c r="C87" s="34" t="s">
        <v>38</v>
      </c>
      <c r="D87" s="67">
        <v>45323</v>
      </c>
      <c r="E87" s="75">
        <v>60</v>
      </c>
      <c r="F87" s="34"/>
      <c r="G87" s="116" t="s">
        <v>202</v>
      </c>
      <c r="H87" s="117" t="s">
        <v>338</v>
      </c>
    </row>
    <row r="88" spans="1:8" x14ac:dyDescent="0.25">
      <c r="A88" s="34" t="s">
        <v>176</v>
      </c>
      <c r="B88" s="34" t="s">
        <v>73</v>
      </c>
      <c r="C88" s="34" t="s">
        <v>246</v>
      </c>
      <c r="D88" s="67">
        <v>45323</v>
      </c>
      <c r="E88" s="75">
        <v>100</v>
      </c>
      <c r="F88" s="34"/>
      <c r="G88" s="116" t="s">
        <v>202</v>
      </c>
      <c r="H88" s="117" t="s">
        <v>343</v>
      </c>
    </row>
    <row r="89" spans="1:8" x14ac:dyDescent="0.25">
      <c r="A89" s="34" t="s">
        <v>369</v>
      </c>
      <c r="B89" s="34" t="s">
        <v>103</v>
      </c>
      <c r="C89" s="34" t="s">
        <v>103</v>
      </c>
      <c r="D89" s="67">
        <v>45324</v>
      </c>
      <c r="E89" s="35">
        <v>37.6</v>
      </c>
      <c r="F89" s="34"/>
      <c r="G89" s="116" t="s">
        <v>299</v>
      </c>
      <c r="H89" s="117" t="s">
        <v>337</v>
      </c>
    </row>
    <row r="90" spans="1:8" x14ac:dyDescent="0.25">
      <c r="A90" s="34" t="s">
        <v>374</v>
      </c>
      <c r="B90" s="34" t="s">
        <v>103</v>
      </c>
      <c r="C90" s="34" t="s">
        <v>103</v>
      </c>
      <c r="D90" s="67">
        <v>45324</v>
      </c>
      <c r="E90" s="35">
        <v>143.19999999999999</v>
      </c>
      <c r="F90" s="34"/>
      <c r="G90" s="116" t="s">
        <v>299</v>
      </c>
      <c r="H90" s="117" t="s">
        <v>337</v>
      </c>
    </row>
    <row r="91" spans="1:8" x14ac:dyDescent="0.25">
      <c r="A91" s="34" t="s">
        <v>173</v>
      </c>
      <c r="B91" s="34" t="s">
        <v>71</v>
      </c>
      <c r="C91" s="34" t="s">
        <v>173</v>
      </c>
      <c r="D91" s="67">
        <v>45324</v>
      </c>
      <c r="E91" s="75">
        <v>200</v>
      </c>
      <c r="F91" s="34"/>
      <c r="G91" s="116" t="s">
        <v>202</v>
      </c>
      <c r="H91" s="117" t="s">
        <v>337</v>
      </c>
    </row>
    <row r="92" spans="1:8" x14ac:dyDescent="0.25">
      <c r="A92" s="34" t="s">
        <v>297</v>
      </c>
      <c r="B92" s="34" t="s">
        <v>103</v>
      </c>
      <c r="C92" s="34" t="s">
        <v>103</v>
      </c>
      <c r="D92" s="67">
        <v>45324</v>
      </c>
      <c r="E92" s="75">
        <v>10</v>
      </c>
      <c r="F92" s="34"/>
      <c r="G92" s="116" t="s">
        <v>299</v>
      </c>
      <c r="H92" s="117" t="s">
        <v>340</v>
      </c>
    </row>
    <row r="93" spans="1:8" x14ac:dyDescent="0.25">
      <c r="A93" s="34" t="s">
        <v>108</v>
      </c>
      <c r="B93" s="34" t="s">
        <v>103</v>
      </c>
      <c r="C93" s="34" t="s">
        <v>103</v>
      </c>
      <c r="D93" s="67">
        <v>45324</v>
      </c>
      <c r="E93" s="75">
        <v>37.1</v>
      </c>
      <c r="F93" s="34"/>
      <c r="G93" s="116" t="s">
        <v>203</v>
      </c>
      <c r="H93" s="117" t="s">
        <v>339</v>
      </c>
    </row>
    <row r="94" spans="1:8" x14ac:dyDescent="0.25">
      <c r="A94" s="34" t="s">
        <v>296</v>
      </c>
      <c r="B94" s="34" t="s">
        <v>42</v>
      </c>
      <c r="C94" s="34" t="s">
        <v>42</v>
      </c>
      <c r="D94" s="67">
        <v>45324</v>
      </c>
      <c r="E94" s="75">
        <v>7</v>
      </c>
      <c r="F94" s="34"/>
      <c r="G94" s="116" t="s">
        <v>299</v>
      </c>
      <c r="H94" s="117" t="s">
        <v>343</v>
      </c>
    </row>
    <row r="95" spans="1:8" x14ac:dyDescent="0.25">
      <c r="A95" s="34" t="s">
        <v>298</v>
      </c>
      <c r="B95" s="34" t="s">
        <v>103</v>
      </c>
      <c r="C95" s="34" t="s">
        <v>103</v>
      </c>
      <c r="D95" s="67">
        <v>45325</v>
      </c>
      <c r="E95" s="75">
        <v>8.4600000000000009</v>
      </c>
      <c r="F95" s="34"/>
      <c r="G95" s="116" t="s">
        <v>299</v>
      </c>
      <c r="H95" s="117" t="s">
        <v>340</v>
      </c>
    </row>
    <row r="96" spans="1:8" x14ac:dyDescent="0.25">
      <c r="A96" s="34" t="s">
        <v>102</v>
      </c>
      <c r="B96" s="34" t="s">
        <v>71</v>
      </c>
      <c r="C96" s="34" t="s">
        <v>291</v>
      </c>
      <c r="D96" s="67">
        <v>45325</v>
      </c>
      <c r="E96" s="75">
        <v>1200</v>
      </c>
      <c r="F96" s="34"/>
      <c r="G96" s="116" t="s">
        <v>228</v>
      </c>
      <c r="H96" s="117" t="s">
        <v>339</v>
      </c>
    </row>
    <row r="97" spans="1:8" x14ac:dyDescent="0.25">
      <c r="A97" s="34" t="s">
        <v>68</v>
      </c>
      <c r="B97" s="34" t="s">
        <v>292</v>
      </c>
      <c r="C97" s="34" t="s">
        <v>32</v>
      </c>
      <c r="D97" s="67">
        <v>45325</v>
      </c>
      <c r="E97" s="75">
        <v>100</v>
      </c>
      <c r="F97" s="34"/>
      <c r="G97" s="116" t="s">
        <v>202</v>
      </c>
      <c r="H97" s="117" t="s">
        <v>344</v>
      </c>
    </row>
    <row r="98" spans="1:8" x14ac:dyDescent="0.25">
      <c r="A98" s="34" t="s">
        <v>68</v>
      </c>
      <c r="B98" s="34" t="s">
        <v>414</v>
      </c>
      <c r="C98" s="34" t="s">
        <v>32</v>
      </c>
      <c r="D98" s="67">
        <v>45325</v>
      </c>
      <c r="E98" s="35">
        <v>100</v>
      </c>
      <c r="F98" s="34"/>
      <c r="G98" s="116" t="s">
        <v>202</v>
      </c>
      <c r="H98" s="117" t="s">
        <v>344</v>
      </c>
    </row>
    <row r="99" spans="1:8" x14ac:dyDescent="0.25">
      <c r="A99" s="34" t="s">
        <v>171</v>
      </c>
      <c r="B99" s="34" t="s">
        <v>71</v>
      </c>
      <c r="C99" s="34" t="s">
        <v>36</v>
      </c>
      <c r="D99" s="67">
        <v>45325</v>
      </c>
      <c r="E99" s="75">
        <v>600</v>
      </c>
      <c r="F99" s="34" t="s">
        <v>293</v>
      </c>
      <c r="G99" s="116" t="s">
        <v>202</v>
      </c>
      <c r="H99" s="117" t="s">
        <v>338</v>
      </c>
    </row>
    <row r="100" spans="1:8" x14ac:dyDescent="0.25">
      <c r="A100" s="34" t="s">
        <v>286</v>
      </c>
      <c r="B100" s="34" t="s">
        <v>288</v>
      </c>
      <c r="C100" s="34" t="s">
        <v>289</v>
      </c>
      <c r="D100" s="67">
        <v>45325</v>
      </c>
      <c r="E100" s="75">
        <v>100</v>
      </c>
      <c r="F100" s="34" t="s">
        <v>287</v>
      </c>
      <c r="G100" s="116" t="s">
        <v>202</v>
      </c>
      <c r="H100" s="117" t="s">
        <v>343</v>
      </c>
    </row>
    <row r="101" spans="1:8" x14ac:dyDescent="0.25">
      <c r="A101" s="34" t="s">
        <v>68</v>
      </c>
      <c r="B101" s="34" t="s">
        <v>103</v>
      </c>
      <c r="C101" s="34" t="s">
        <v>103</v>
      </c>
      <c r="D101" s="67">
        <v>45326</v>
      </c>
      <c r="E101" s="75">
        <v>70</v>
      </c>
      <c r="F101" s="34"/>
      <c r="G101" s="116" t="s">
        <v>235</v>
      </c>
      <c r="H101" s="117" t="s">
        <v>344</v>
      </c>
    </row>
    <row r="102" spans="1:8" x14ac:dyDescent="0.25">
      <c r="A102" s="34" t="s">
        <v>68</v>
      </c>
      <c r="B102" s="34" t="s">
        <v>103</v>
      </c>
      <c r="C102" s="34" t="s">
        <v>103</v>
      </c>
      <c r="D102" s="67">
        <v>45326</v>
      </c>
      <c r="E102" s="75">
        <v>70</v>
      </c>
      <c r="F102" s="34"/>
      <c r="G102" s="116" t="s">
        <v>235</v>
      </c>
      <c r="H102" s="117" t="s">
        <v>344</v>
      </c>
    </row>
    <row r="103" spans="1:8" x14ac:dyDescent="0.25">
      <c r="A103" s="34" t="s">
        <v>377</v>
      </c>
      <c r="B103" s="34" t="s">
        <v>103</v>
      </c>
      <c r="C103" s="34" t="s">
        <v>103</v>
      </c>
      <c r="D103" s="67">
        <v>45327</v>
      </c>
      <c r="E103" s="35">
        <v>296.54000000000002</v>
      </c>
      <c r="F103" s="34" t="s">
        <v>378</v>
      </c>
      <c r="G103" s="116" t="s">
        <v>299</v>
      </c>
      <c r="H103" s="117" t="s">
        <v>340</v>
      </c>
    </row>
    <row r="104" spans="1:8" x14ac:dyDescent="0.25">
      <c r="A104" s="34" t="s">
        <v>373</v>
      </c>
      <c r="B104" s="34" t="s">
        <v>103</v>
      </c>
      <c r="C104" s="34" t="s">
        <v>103</v>
      </c>
      <c r="D104" s="67">
        <v>45327</v>
      </c>
      <c r="E104" s="35">
        <v>1652.12</v>
      </c>
      <c r="F104" s="34"/>
      <c r="G104" s="116" t="s">
        <v>299</v>
      </c>
      <c r="H104" s="117" t="s">
        <v>340</v>
      </c>
    </row>
    <row r="105" spans="1:8" x14ac:dyDescent="0.25">
      <c r="A105" s="34" t="s">
        <v>110</v>
      </c>
      <c r="B105" s="34" t="s">
        <v>103</v>
      </c>
      <c r="C105" s="34" t="s">
        <v>103</v>
      </c>
      <c r="D105" s="67">
        <v>45328</v>
      </c>
      <c r="E105" s="75">
        <v>2761.65</v>
      </c>
      <c r="F105" s="34"/>
      <c r="G105" s="116" t="s">
        <v>299</v>
      </c>
      <c r="H105" s="117" t="s">
        <v>339</v>
      </c>
    </row>
    <row r="106" spans="1:8" x14ac:dyDescent="0.25">
      <c r="A106" s="34" t="s">
        <v>374</v>
      </c>
      <c r="B106" s="34" t="s">
        <v>103</v>
      </c>
      <c r="C106" s="34" t="s">
        <v>103</v>
      </c>
      <c r="D106" s="67">
        <v>45329</v>
      </c>
      <c r="E106" s="35">
        <v>36</v>
      </c>
      <c r="F106" s="34"/>
      <c r="G106" s="116" t="s">
        <v>299</v>
      </c>
      <c r="H106" s="117" t="s">
        <v>337</v>
      </c>
    </row>
    <row r="107" spans="1:8" x14ac:dyDescent="0.25">
      <c r="A107" s="34" t="s">
        <v>376</v>
      </c>
      <c r="B107" s="34" t="s">
        <v>103</v>
      </c>
      <c r="C107" s="34" t="s">
        <v>103</v>
      </c>
      <c r="D107" s="67">
        <v>45329</v>
      </c>
      <c r="E107" s="35">
        <v>124.5</v>
      </c>
      <c r="F107" s="34"/>
      <c r="G107" s="116" t="s">
        <v>299</v>
      </c>
      <c r="H107" s="117" t="s">
        <v>337</v>
      </c>
    </row>
    <row r="108" spans="1:8" x14ac:dyDescent="0.25">
      <c r="A108" s="34" t="s">
        <v>110</v>
      </c>
      <c r="B108" s="34" t="s">
        <v>103</v>
      </c>
      <c r="C108" s="34" t="s">
        <v>103</v>
      </c>
      <c r="D108" s="67">
        <v>45330</v>
      </c>
      <c r="E108" s="35">
        <v>804.6</v>
      </c>
      <c r="F108" s="34"/>
      <c r="G108" s="116" t="s">
        <v>299</v>
      </c>
      <c r="H108" s="117" t="s">
        <v>339</v>
      </c>
    </row>
    <row r="109" spans="1:8" x14ac:dyDescent="0.25">
      <c r="A109" s="34" t="s">
        <v>376</v>
      </c>
      <c r="B109" s="34" t="s">
        <v>103</v>
      </c>
      <c r="C109" s="34" t="s">
        <v>103</v>
      </c>
      <c r="D109" s="67">
        <v>45331</v>
      </c>
      <c r="E109" s="35">
        <v>191</v>
      </c>
      <c r="F109" s="34"/>
      <c r="G109" s="116" t="s">
        <v>235</v>
      </c>
      <c r="H109" s="117" t="s">
        <v>337</v>
      </c>
    </row>
    <row r="110" spans="1:8" x14ac:dyDescent="0.25">
      <c r="A110" s="34" t="s">
        <v>68</v>
      </c>
      <c r="B110" s="34" t="s">
        <v>103</v>
      </c>
      <c r="C110" s="34" t="s">
        <v>103</v>
      </c>
      <c r="D110" s="67">
        <v>45331</v>
      </c>
      <c r="E110" s="35">
        <v>70</v>
      </c>
      <c r="F110" s="34"/>
      <c r="G110" s="116" t="s">
        <v>228</v>
      </c>
      <c r="H110" s="117" t="s">
        <v>344</v>
      </c>
    </row>
    <row r="111" spans="1:8" x14ac:dyDescent="0.25">
      <c r="A111" s="34" t="s">
        <v>423</v>
      </c>
      <c r="B111" s="34" t="s">
        <v>103</v>
      </c>
      <c r="C111" s="34" t="s">
        <v>103</v>
      </c>
      <c r="D111" s="67">
        <v>45331</v>
      </c>
      <c r="E111" s="35">
        <v>54</v>
      </c>
      <c r="F111" s="34" t="s">
        <v>424</v>
      </c>
      <c r="G111" s="116" t="s">
        <v>299</v>
      </c>
      <c r="H111" s="117" t="s">
        <v>337</v>
      </c>
    </row>
    <row r="112" spans="1:8" x14ac:dyDescent="0.25">
      <c r="A112" s="34" t="s">
        <v>375</v>
      </c>
      <c r="B112" s="34" t="s">
        <v>103</v>
      </c>
      <c r="C112" s="34" t="s">
        <v>103</v>
      </c>
      <c r="D112" s="67">
        <v>45332</v>
      </c>
      <c r="E112" s="35">
        <v>90</v>
      </c>
      <c r="F112" s="34"/>
      <c r="G112" s="116" t="s">
        <v>299</v>
      </c>
      <c r="H112" s="117" t="s">
        <v>339</v>
      </c>
    </row>
    <row r="113" spans="1:8" x14ac:dyDescent="0.25">
      <c r="A113" s="34" t="s">
        <v>68</v>
      </c>
      <c r="B113" s="34" t="s">
        <v>103</v>
      </c>
      <c r="C113" s="34" t="s">
        <v>103</v>
      </c>
      <c r="D113" s="67">
        <v>45332</v>
      </c>
      <c r="E113" s="35">
        <v>70</v>
      </c>
      <c r="F113" s="34"/>
      <c r="G113" s="116" t="s">
        <v>228</v>
      </c>
      <c r="H113" s="117" t="s">
        <v>344</v>
      </c>
    </row>
    <row r="114" spans="1:8" x14ac:dyDescent="0.25">
      <c r="A114" s="34" t="s">
        <v>171</v>
      </c>
      <c r="B114" s="34" t="s">
        <v>73</v>
      </c>
      <c r="C114" s="34" t="s">
        <v>36</v>
      </c>
      <c r="D114" s="67">
        <v>45332</v>
      </c>
      <c r="E114" s="35">
        <v>600</v>
      </c>
      <c r="F114" s="34"/>
      <c r="G114" s="116" t="s">
        <v>202</v>
      </c>
      <c r="H114" s="117" t="s">
        <v>338</v>
      </c>
    </row>
    <row r="115" spans="1:8" x14ac:dyDescent="0.25">
      <c r="A115" s="34" t="s">
        <v>417</v>
      </c>
      <c r="B115" s="34" t="s">
        <v>103</v>
      </c>
      <c r="C115" s="34" t="s">
        <v>103</v>
      </c>
      <c r="D115" s="67">
        <v>45332</v>
      </c>
      <c r="E115" s="35">
        <v>760.41</v>
      </c>
      <c r="F115" s="34"/>
      <c r="G115" s="116" t="s">
        <v>299</v>
      </c>
      <c r="H115" s="120" t="s">
        <v>339</v>
      </c>
    </row>
    <row r="116" spans="1:8" x14ac:dyDescent="0.25">
      <c r="A116" s="34" t="s">
        <v>332</v>
      </c>
      <c r="B116" s="34" t="s">
        <v>73</v>
      </c>
      <c r="C116" s="34" t="s">
        <v>71</v>
      </c>
      <c r="D116" s="67">
        <v>45333</v>
      </c>
      <c r="E116" s="35">
        <v>1665</v>
      </c>
      <c r="F116" s="34"/>
      <c r="G116" s="116" t="s">
        <v>202</v>
      </c>
      <c r="H116" s="120" t="s">
        <v>339</v>
      </c>
    </row>
    <row r="117" spans="1:8" x14ac:dyDescent="0.25">
      <c r="A117" s="34" t="s">
        <v>68</v>
      </c>
      <c r="B117" s="34" t="s">
        <v>73</v>
      </c>
      <c r="C117" s="34" t="s">
        <v>71</v>
      </c>
      <c r="D117" s="67">
        <v>45333</v>
      </c>
      <c r="E117" s="35">
        <v>400</v>
      </c>
      <c r="F117" s="34" t="s">
        <v>333</v>
      </c>
      <c r="G117" s="116" t="s">
        <v>202</v>
      </c>
      <c r="H117" s="120" t="s">
        <v>344</v>
      </c>
    </row>
    <row r="118" spans="1:8" x14ac:dyDescent="0.25">
      <c r="A118" s="34" t="s">
        <v>218</v>
      </c>
      <c r="B118" s="34" t="s">
        <v>73</v>
      </c>
      <c r="C118" s="34" t="s">
        <v>71</v>
      </c>
      <c r="D118" s="67">
        <v>45334</v>
      </c>
      <c r="E118" s="35">
        <v>70</v>
      </c>
      <c r="F118" s="34" t="s">
        <v>329</v>
      </c>
      <c r="G118" s="116" t="s">
        <v>202</v>
      </c>
      <c r="H118" s="120" t="s">
        <v>338</v>
      </c>
    </row>
    <row r="119" spans="1:8" x14ac:dyDescent="0.25">
      <c r="A119" s="34" t="s">
        <v>334</v>
      </c>
      <c r="B119" s="34" t="s">
        <v>71</v>
      </c>
      <c r="C119" s="34" t="s">
        <v>103</v>
      </c>
      <c r="D119" s="67">
        <v>45335</v>
      </c>
      <c r="E119" s="35">
        <v>63</v>
      </c>
      <c r="F119" s="34"/>
      <c r="G119" s="116" t="s">
        <v>235</v>
      </c>
      <c r="H119" s="120" t="s">
        <v>337</v>
      </c>
    </row>
    <row r="120" spans="1:8" x14ac:dyDescent="0.25">
      <c r="A120" s="34" t="s">
        <v>107</v>
      </c>
      <c r="B120" s="34" t="s">
        <v>71</v>
      </c>
      <c r="C120" s="34" t="s">
        <v>103</v>
      </c>
      <c r="D120" s="67">
        <v>45335</v>
      </c>
      <c r="E120" s="35">
        <v>2612.0300000000002</v>
      </c>
      <c r="F120" s="34"/>
      <c r="G120" s="116" t="s">
        <v>235</v>
      </c>
      <c r="H120" s="120" t="s">
        <v>339</v>
      </c>
    </row>
    <row r="121" spans="1:8" x14ac:dyDescent="0.25">
      <c r="A121" s="34" t="s">
        <v>331</v>
      </c>
      <c r="B121" s="34" t="s">
        <v>73</v>
      </c>
      <c r="C121" s="34" t="s">
        <v>32</v>
      </c>
      <c r="D121" s="67">
        <v>45335</v>
      </c>
      <c r="E121" s="35">
        <v>50</v>
      </c>
      <c r="F121" s="34"/>
      <c r="G121" s="116" t="s">
        <v>202</v>
      </c>
      <c r="H121" s="120" t="s">
        <v>338</v>
      </c>
    </row>
    <row r="122" spans="1:8" x14ac:dyDescent="0.25">
      <c r="A122" s="22" t="s">
        <v>110</v>
      </c>
      <c r="B122" s="22" t="s">
        <v>71</v>
      </c>
      <c r="C122" s="22" t="s">
        <v>103</v>
      </c>
      <c r="D122" s="66">
        <v>45336</v>
      </c>
      <c r="E122" s="30">
        <v>2891.2</v>
      </c>
      <c r="F122" s="22"/>
      <c r="G122" s="41" t="s">
        <v>235</v>
      </c>
      <c r="H122" s="117" t="s">
        <v>339</v>
      </c>
    </row>
    <row r="123" spans="1:8" x14ac:dyDescent="0.25">
      <c r="A123" s="34" t="s">
        <v>68</v>
      </c>
      <c r="B123" s="34" t="s">
        <v>73</v>
      </c>
      <c r="C123" s="34" t="s">
        <v>42</v>
      </c>
      <c r="D123" s="67">
        <v>45336</v>
      </c>
      <c r="E123" s="35">
        <v>100</v>
      </c>
      <c r="F123" s="34"/>
      <c r="G123" s="116" t="s">
        <v>202</v>
      </c>
      <c r="H123" s="120" t="s">
        <v>344</v>
      </c>
    </row>
    <row r="124" spans="1:8" x14ac:dyDescent="0.25">
      <c r="A124" s="34" t="s">
        <v>68</v>
      </c>
      <c r="B124" s="34" t="s">
        <v>42</v>
      </c>
      <c r="C124" s="34" t="s">
        <v>103</v>
      </c>
      <c r="D124" s="67">
        <v>45336</v>
      </c>
      <c r="E124" s="35">
        <v>100</v>
      </c>
      <c r="F124" s="34"/>
      <c r="G124" s="116" t="s">
        <v>228</v>
      </c>
      <c r="H124" s="120" t="s">
        <v>344</v>
      </c>
    </row>
    <row r="125" spans="1:8" x14ac:dyDescent="0.25">
      <c r="A125" s="34" t="s">
        <v>351</v>
      </c>
      <c r="B125" s="34" t="s">
        <v>73</v>
      </c>
      <c r="C125" s="34" t="s">
        <v>36</v>
      </c>
      <c r="D125" s="67">
        <v>45336</v>
      </c>
      <c r="E125" s="35">
        <v>50</v>
      </c>
      <c r="F125" s="34"/>
      <c r="G125" s="116" t="s">
        <v>202</v>
      </c>
      <c r="H125" s="120" t="s">
        <v>338</v>
      </c>
    </row>
    <row r="126" spans="1:8" x14ac:dyDescent="0.25">
      <c r="A126" s="34" t="s">
        <v>42</v>
      </c>
      <c r="B126" s="34" t="s">
        <v>73</v>
      </c>
      <c r="C126" s="34" t="s">
        <v>42</v>
      </c>
      <c r="D126" s="67">
        <v>45336</v>
      </c>
      <c r="E126" s="35">
        <v>475</v>
      </c>
      <c r="F126" s="34"/>
      <c r="G126" s="116" t="s">
        <v>228</v>
      </c>
      <c r="H126" s="120" t="s">
        <v>338</v>
      </c>
    </row>
    <row r="127" spans="1:8" x14ac:dyDescent="0.25">
      <c r="A127" s="34" t="s">
        <v>176</v>
      </c>
      <c r="B127" s="34" t="s">
        <v>73</v>
      </c>
      <c r="C127" s="34" t="s">
        <v>31</v>
      </c>
      <c r="D127" s="67">
        <v>45336</v>
      </c>
      <c r="E127" s="35">
        <v>100</v>
      </c>
      <c r="F127" s="34"/>
      <c r="G127" s="116" t="s">
        <v>202</v>
      </c>
      <c r="H127" s="120" t="s">
        <v>343</v>
      </c>
    </row>
    <row r="128" spans="1:8" x14ac:dyDescent="0.25">
      <c r="A128" s="34" t="s">
        <v>347</v>
      </c>
      <c r="B128" s="34" t="s">
        <v>182</v>
      </c>
      <c r="C128" s="34" t="s">
        <v>103</v>
      </c>
      <c r="D128" s="67">
        <v>45336</v>
      </c>
      <c r="E128" s="35">
        <v>326</v>
      </c>
      <c r="F128" s="34" t="s">
        <v>350</v>
      </c>
      <c r="G128" s="116" t="s">
        <v>202</v>
      </c>
      <c r="H128" s="120" t="s">
        <v>343</v>
      </c>
    </row>
    <row r="129" spans="1:8" x14ac:dyDescent="0.25">
      <c r="A129" s="34" t="s">
        <v>106</v>
      </c>
      <c r="B129" s="34" t="s">
        <v>71</v>
      </c>
      <c r="C129" s="34" t="s">
        <v>360</v>
      </c>
      <c r="D129" s="67">
        <v>45337</v>
      </c>
      <c r="E129" s="35">
        <v>1000</v>
      </c>
      <c r="F129" s="34" t="s">
        <v>361</v>
      </c>
      <c r="G129" s="116" t="s">
        <v>228</v>
      </c>
      <c r="H129" s="120" t="s">
        <v>345</v>
      </c>
    </row>
    <row r="130" spans="1:8" x14ac:dyDescent="0.25">
      <c r="A130" s="34" t="s">
        <v>231</v>
      </c>
      <c r="B130" s="34" t="s">
        <v>71</v>
      </c>
      <c r="C130" s="34" t="s">
        <v>182</v>
      </c>
      <c r="D130" s="67">
        <v>45337</v>
      </c>
      <c r="E130" s="35">
        <v>152</v>
      </c>
      <c r="F130" s="34"/>
      <c r="G130" s="116" t="s">
        <v>203</v>
      </c>
      <c r="H130" s="120" t="s">
        <v>337</v>
      </c>
    </row>
    <row r="131" spans="1:8" x14ac:dyDescent="0.25">
      <c r="A131" s="34" t="s">
        <v>359</v>
      </c>
      <c r="B131" s="34" t="s">
        <v>73</v>
      </c>
      <c r="C131" s="34" t="s">
        <v>31</v>
      </c>
      <c r="D131" s="67">
        <v>45337</v>
      </c>
      <c r="E131" s="35">
        <v>10</v>
      </c>
      <c r="F131" s="34"/>
      <c r="G131" s="116" t="s">
        <v>202</v>
      </c>
      <c r="H131" s="120" t="s">
        <v>339</v>
      </c>
    </row>
    <row r="132" spans="1:8" x14ac:dyDescent="0.25">
      <c r="A132" s="34" t="s">
        <v>375</v>
      </c>
      <c r="B132" s="34" t="s">
        <v>103</v>
      </c>
      <c r="C132" s="34" t="s">
        <v>103</v>
      </c>
      <c r="D132" s="67">
        <v>45337</v>
      </c>
      <c r="E132" s="35">
        <v>64</v>
      </c>
      <c r="F132" s="34"/>
      <c r="G132" s="116" t="s">
        <v>299</v>
      </c>
      <c r="H132" s="120" t="s">
        <v>339</v>
      </c>
    </row>
    <row r="133" spans="1:8" x14ac:dyDescent="0.25">
      <c r="A133" s="34" t="s">
        <v>366</v>
      </c>
      <c r="B133" s="34" t="s">
        <v>71</v>
      </c>
      <c r="C133" s="34" t="s">
        <v>103</v>
      </c>
      <c r="D133" s="67">
        <v>45337</v>
      </c>
      <c r="E133" s="35">
        <v>230</v>
      </c>
      <c r="F133" s="34"/>
      <c r="G133" s="116" t="s">
        <v>235</v>
      </c>
      <c r="H133" s="120" t="s">
        <v>344</v>
      </c>
    </row>
    <row r="134" spans="1:8" x14ac:dyDescent="0.25">
      <c r="A134" s="34" t="s">
        <v>68</v>
      </c>
      <c r="B134" s="34" t="s">
        <v>32</v>
      </c>
      <c r="C134" s="34" t="s">
        <v>103</v>
      </c>
      <c r="D134" s="67">
        <v>45338</v>
      </c>
      <c r="E134" s="35">
        <v>100</v>
      </c>
      <c r="F134" s="34"/>
      <c r="G134" s="116" t="s">
        <v>202</v>
      </c>
      <c r="H134" s="120" t="s">
        <v>344</v>
      </c>
    </row>
    <row r="135" spans="1:8" x14ac:dyDescent="0.25">
      <c r="A135" s="34" t="s">
        <v>68</v>
      </c>
      <c r="B135" s="34" t="s">
        <v>42</v>
      </c>
      <c r="C135" s="34" t="s">
        <v>103</v>
      </c>
      <c r="D135" s="67">
        <v>45338</v>
      </c>
      <c r="E135" s="35">
        <v>50</v>
      </c>
      <c r="F135" s="34"/>
      <c r="G135" s="116" t="s">
        <v>228</v>
      </c>
      <c r="H135" s="120" t="s">
        <v>344</v>
      </c>
    </row>
    <row r="136" spans="1:8" x14ac:dyDescent="0.25">
      <c r="A136" s="34" t="s">
        <v>364</v>
      </c>
      <c r="B136" s="34" t="s">
        <v>103</v>
      </c>
      <c r="C136" s="34" t="s">
        <v>103</v>
      </c>
      <c r="D136" s="67">
        <v>45338</v>
      </c>
      <c r="E136" s="35">
        <v>303.75</v>
      </c>
      <c r="F136" s="34"/>
      <c r="G136" s="116" t="s">
        <v>235</v>
      </c>
      <c r="H136" s="120" t="s">
        <v>343</v>
      </c>
    </row>
    <row r="137" spans="1:8" x14ac:dyDescent="0.25">
      <c r="A137" s="34" t="s">
        <v>365</v>
      </c>
      <c r="B137" s="34" t="s">
        <v>73</v>
      </c>
      <c r="C137" s="34" t="s">
        <v>73</v>
      </c>
      <c r="D137" s="67">
        <v>45339</v>
      </c>
      <c r="E137" s="35">
        <v>3</v>
      </c>
      <c r="F137" s="34"/>
      <c r="G137" s="116" t="s">
        <v>202</v>
      </c>
      <c r="H137" s="120" t="s">
        <v>337</v>
      </c>
    </row>
    <row r="138" spans="1:8" x14ac:dyDescent="0.25">
      <c r="A138" s="34" t="s">
        <v>363</v>
      </c>
      <c r="B138" s="34" t="s">
        <v>73</v>
      </c>
      <c r="C138" s="34" t="s">
        <v>103</v>
      </c>
      <c r="D138" s="67">
        <v>45339</v>
      </c>
      <c r="E138" s="35">
        <v>80</v>
      </c>
      <c r="F138" s="34"/>
      <c r="G138" s="116" t="s">
        <v>202</v>
      </c>
      <c r="H138" s="120" t="s">
        <v>337</v>
      </c>
    </row>
    <row r="139" spans="1:8" x14ac:dyDescent="0.25">
      <c r="A139" s="34" t="s">
        <v>367</v>
      </c>
      <c r="B139" s="34" t="s">
        <v>71</v>
      </c>
      <c r="C139" s="34" t="s">
        <v>103</v>
      </c>
      <c r="D139" s="67">
        <v>45339</v>
      </c>
      <c r="E139" s="35">
        <v>1000</v>
      </c>
      <c r="F139" s="34"/>
      <c r="G139" s="116" t="s">
        <v>228</v>
      </c>
      <c r="H139" s="120" t="s">
        <v>340</v>
      </c>
    </row>
    <row r="140" spans="1:8" x14ac:dyDescent="0.25">
      <c r="A140" s="34" t="s">
        <v>377</v>
      </c>
      <c r="B140" s="34" t="s">
        <v>71</v>
      </c>
      <c r="C140" s="34" t="s">
        <v>103</v>
      </c>
      <c r="D140" s="67">
        <v>45339</v>
      </c>
      <c r="E140" s="35">
        <v>1196.7</v>
      </c>
      <c r="F140" s="34"/>
      <c r="G140" s="116" t="s">
        <v>380</v>
      </c>
      <c r="H140" s="120" t="s">
        <v>340</v>
      </c>
    </row>
    <row r="141" spans="1:8" x14ac:dyDescent="0.25">
      <c r="A141" s="34" t="s">
        <v>383</v>
      </c>
      <c r="B141" s="34" t="s">
        <v>71</v>
      </c>
      <c r="C141" s="34" t="s">
        <v>32</v>
      </c>
      <c r="D141" s="67">
        <v>45339</v>
      </c>
      <c r="E141" s="35">
        <v>280.18</v>
      </c>
      <c r="F141" s="34"/>
      <c r="G141" s="116" t="s">
        <v>235</v>
      </c>
      <c r="H141" s="120" t="s">
        <v>344</v>
      </c>
    </row>
    <row r="142" spans="1:8" x14ac:dyDescent="0.25">
      <c r="A142" s="34" t="s">
        <v>68</v>
      </c>
      <c r="B142" s="34" t="s">
        <v>71</v>
      </c>
      <c r="C142" s="34" t="s">
        <v>42</v>
      </c>
      <c r="D142" s="67">
        <v>45339</v>
      </c>
      <c r="E142" s="35">
        <v>130</v>
      </c>
      <c r="F142" s="34"/>
      <c r="G142" s="116" t="s">
        <v>228</v>
      </c>
      <c r="H142" s="120" t="s">
        <v>344</v>
      </c>
    </row>
    <row r="143" spans="1:8" x14ac:dyDescent="0.25">
      <c r="A143" s="34" t="s">
        <v>72</v>
      </c>
      <c r="B143" s="34" t="s">
        <v>362</v>
      </c>
      <c r="C143" s="34" t="s">
        <v>31</v>
      </c>
      <c r="D143" s="67">
        <v>45339</v>
      </c>
      <c r="E143" s="35">
        <v>7.5</v>
      </c>
      <c r="F143" s="34"/>
      <c r="G143" s="116" t="s">
        <v>202</v>
      </c>
      <c r="H143" s="120" t="s">
        <v>338</v>
      </c>
    </row>
    <row r="144" spans="1:8" x14ac:dyDescent="0.25">
      <c r="A144" s="34" t="s">
        <v>171</v>
      </c>
      <c r="B144" s="34" t="s">
        <v>71</v>
      </c>
      <c r="C144" s="34" t="s">
        <v>36</v>
      </c>
      <c r="D144" s="67">
        <v>45339</v>
      </c>
      <c r="E144" s="35">
        <v>550</v>
      </c>
      <c r="F144" s="34"/>
      <c r="G144" s="116" t="s">
        <v>228</v>
      </c>
      <c r="H144" s="120" t="s">
        <v>338</v>
      </c>
    </row>
    <row r="145" spans="1:8" x14ac:dyDescent="0.25">
      <c r="A145" s="34" t="s">
        <v>379</v>
      </c>
      <c r="B145" s="34" t="s">
        <v>73</v>
      </c>
      <c r="C145" s="34" t="s">
        <v>39</v>
      </c>
      <c r="D145" s="67">
        <v>45339</v>
      </c>
      <c r="E145" s="35">
        <v>200</v>
      </c>
      <c r="F145" s="34"/>
      <c r="G145" s="116" t="s">
        <v>202</v>
      </c>
      <c r="H145" s="120" t="s">
        <v>338</v>
      </c>
    </row>
    <row r="146" spans="1:8" x14ac:dyDescent="0.25">
      <c r="A146" s="34" t="s">
        <v>387</v>
      </c>
      <c r="B146" s="34" t="s">
        <v>71</v>
      </c>
      <c r="C146" s="34" t="s">
        <v>32</v>
      </c>
      <c r="D146" s="67">
        <v>45339</v>
      </c>
      <c r="E146" s="35">
        <v>350</v>
      </c>
      <c r="F146" s="34"/>
      <c r="G146" s="116" t="s">
        <v>235</v>
      </c>
      <c r="H146" s="120" t="s">
        <v>338</v>
      </c>
    </row>
    <row r="147" spans="1:8" x14ac:dyDescent="0.25">
      <c r="A147" s="34" t="s">
        <v>42</v>
      </c>
      <c r="B147" s="34" t="s">
        <v>71</v>
      </c>
      <c r="C147" s="34" t="s">
        <v>42</v>
      </c>
      <c r="D147" s="67">
        <v>45339</v>
      </c>
      <c r="E147" s="35">
        <v>475</v>
      </c>
      <c r="F147" s="34"/>
      <c r="G147" s="116" t="s">
        <v>235</v>
      </c>
      <c r="H147" s="120" t="s">
        <v>338</v>
      </c>
    </row>
    <row r="148" spans="1:8" x14ac:dyDescent="0.25">
      <c r="A148" s="34" t="s">
        <v>176</v>
      </c>
      <c r="B148" s="34" t="s">
        <v>362</v>
      </c>
      <c r="C148" s="34" t="s">
        <v>31</v>
      </c>
      <c r="D148" s="67">
        <v>45339</v>
      </c>
      <c r="E148" s="35">
        <v>100</v>
      </c>
      <c r="F148" s="34"/>
      <c r="G148" s="116" t="s">
        <v>202</v>
      </c>
      <c r="H148" s="120" t="s">
        <v>343</v>
      </c>
    </row>
    <row r="149" spans="1:8" x14ac:dyDescent="0.25">
      <c r="A149" s="34" t="s">
        <v>384</v>
      </c>
      <c r="B149" s="34" t="s">
        <v>103</v>
      </c>
      <c r="C149" s="34" t="s">
        <v>103</v>
      </c>
      <c r="D149" s="67">
        <v>45341</v>
      </c>
      <c r="E149" s="35">
        <v>90</v>
      </c>
      <c r="F149" s="34" t="s">
        <v>385</v>
      </c>
      <c r="G149" s="116" t="s">
        <v>299</v>
      </c>
      <c r="H149" s="120" t="s">
        <v>340</v>
      </c>
    </row>
    <row r="150" spans="1:8" x14ac:dyDescent="0.25">
      <c r="A150" s="34" t="s">
        <v>393</v>
      </c>
      <c r="B150" s="34" t="s">
        <v>103</v>
      </c>
      <c r="C150" s="34" t="s">
        <v>103</v>
      </c>
      <c r="D150" s="67">
        <v>45341</v>
      </c>
      <c r="E150" s="35">
        <v>190</v>
      </c>
      <c r="F150" s="34"/>
      <c r="G150" s="116" t="s">
        <v>299</v>
      </c>
      <c r="H150" s="120" t="s">
        <v>340</v>
      </c>
    </row>
    <row r="151" spans="1:8" x14ac:dyDescent="0.25">
      <c r="A151" s="34" t="s">
        <v>68</v>
      </c>
      <c r="B151" s="34" t="s">
        <v>42</v>
      </c>
      <c r="C151" s="34" t="s">
        <v>103</v>
      </c>
      <c r="D151" s="67">
        <v>45341</v>
      </c>
      <c r="E151" s="35">
        <v>100</v>
      </c>
      <c r="F151" s="34"/>
      <c r="G151" s="116" t="s">
        <v>299</v>
      </c>
      <c r="H151" s="120" t="s">
        <v>344</v>
      </c>
    </row>
    <row r="152" spans="1:8" x14ac:dyDescent="0.25">
      <c r="A152" s="34" t="s">
        <v>102</v>
      </c>
      <c r="B152" s="34" t="s">
        <v>103</v>
      </c>
      <c r="C152" s="34" t="s">
        <v>103</v>
      </c>
      <c r="D152" s="67">
        <v>45343</v>
      </c>
      <c r="E152" s="35">
        <v>900</v>
      </c>
      <c r="F152" s="34" t="s">
        <v>386</v>
      </c>
      <c r="G152" s="116" t="s">
        <v>299</v>
      </c>
      <c r="H152" s="120" t="s">
        <v>339</v>
      </c>
    </row>
    <row r="153" spans="1:8" x14ac:dyDescent="0.25">
      <c r="A153" s="34" t="s">
        <v>305</v>
      </c>
      <c r="B153" s="34" t="s">
        <v>103</v>
      </c>
      <c r="C153" s="34" t="s">
        <v>103</v>
      </c>
      <c r="D153" s="67">
        <v>45344</v>
      </c>
      <c r="E153" s="35">
        <v>55</v>
      </c>
      <c r="F153" s="34"/>
      <c r="G153" s="116" t="s">
        <v>299</v>
      </c>
      <c r="H153" s="120" t="s">
        <v>340</v>
      </c>
    </row>
    <row r="154" spans="1:8" x14ac:dyDescent="0.25">
      <c r="A154" s="34" t="s">
        <v>390</v>
      </c>
      <c r="B154" s="34" t="s">
        <v>71</v>
      </c>
      <c r="C154" s="34" t="s">
        <v>390</v>
      </c>
      <c r="D154" s="67">
        <v>45344</v>
      </c>
      <c r="E154" s="35">
        <v>1500</v>
      </c>
      <c r="F154" s="34"/>
      <c r="G154" s="116" t="s">
        <v>202</v>
      </c>
      <c r="H154" s="120" t="s">
        <v>338</v>
      </c>
    </row>
    <row r="155" spans="1:8" x14ac:dyDescent="0.25">
      <c r="A155" s="34" t="s">
        <v>37</v>
      </c>
      <c r="B155" s="34" t="s">
        <v>71</v>
      </c>
      <c r="C155" s="34" t="s">
        <v>37</v>
      </c>
      <c r="D155" s="67">
        <v>45344</v>
      </c>
      <c r="E155" s="35">
        <v>900</v>
      </c>
      <c r="F155" s="34"/>
      <c r="G155" s="116" t="s">
        <v>202</v>
      </c>
      <c r="H155" s="120" t="s">
        <v>338</v>
      </c>
    </row>
    <row r="156" spans="1:8" x14ac:dyDescent="0.25">
      <c r="A156" s="34" t="s">
        <v>31</v>
      </c>
      <c r="B156" s="34" t="s">
        <v>71</v>
      </c>
      <c r="C156" s="34" t="s">
        <v>31</v>
      </c>
      <c r="D156" s="67">
        <v>45344</v>
      </c>
      <c r="E156" s="35">
        <v>900</v>
      </c>
      <c r="F156" s="34"/>
      <c r="G156" s="116" t="s">
        <v>202</v>
      </c>
      <c r="H156" s="120" t="s">
        <v>338</v>
      </c>
    </row>
    <row r="157" spans="1:8" x14ac:dyDescent="0.25">
      <c r="A157" s="34" t="s">
        <v>38</v>
      </c>
      <c r="B157" s="34" t="s">
        <v>71</v>
      </c>
      <c r="C157" s="34" t="s">
        <v>38</v>
      </c>
      <c r="D157" s="67">
        <v>45344</v>
      </c>
      <c r="E157" s="35">
        <v>900</v>
      </c>
      <c r="F157" s="34"/>
      <c r="G157" s="116" t="s">
        <v>202</v>
      </c>
      <c r="H157" s="120" t="s">
        <v>338</v>
      </c>
    </row>
    <row r="158" spans="1:8" x14ac:dyDescent="0.25">
      <c r="A158" s="34" t="s">
        <v>35</v>
      </c>
      <c r="B158" s="34" t="s">
        <v>71</v>
      </c>
      <c r="C158" s="34" t="s">
        <v>35</v>
      </c>
      <c r="D158" s="67">
        <v>45344</v>
      </c>
      <c r="E158" s="35">
        <v>1100</v>
      </c>
      <c r="F158" s="34"/>
      <c r="G158" s="116" t="s">
        <v>202</v>
      </c>
      <c r="H158" s="120" t="s">
        <v>338</v>
      </c>
    </row>
    <row r="159" spans="1:8" x14ac:dyDescent="0.25">
      <c r="A159" s="34" t="s">
        <v>39</v>
      </c>
      <c r="B159" s="34" t="s">
        <v>71</v>
      </c>
      <c r="C159" s="34" t="s">
        <v>39</v>
      </c>
      <c r="D159" s="67">
        <v>45344</v>
      </c>
      <c r="E159" s="35">
        <v>900</v>
      </c>
      <c r="F159" s="34"/>
      <c r="G159" s="116" t="s">
        <v>202</v>
      </c>
      <c r="H159" s="120" t="s">
        <v>338</v>
      </c>
    </row>
    <row r="160" spans="1:8" x14ac:dyDescent="0.25">
      <c r="A160" s="34" t="s">
        <v>391</v>
      </c>
      <c r="B160" s="34" t="s">
        <v>71</v>
      </c>
      <c r="C160" s="34" t="s">
        <v>391</v>
      </c>
      <c r="D160" s="67">
        <v>45344</v>
      </c>
      <c r="E160" s="35">
        <v>1350</v>
      </c>
      <c r="F160" s="34"/>
      <c r="G160" s="116" t="s">
        <v>202</v>
      </c>
      <c r="H160" s="120" t="s">
        <v>338</v>
      </c>
    </row>
    <row r="161" spans="1:8" x14ac:dyDescent="0.25">
      <c r="A161" s="34" t="s">
        <v>392</v>
      </c>
      <c r="B161" s="34" t="s">
        <v>71</v>
      </c>
      <c r="C161" s="34" t="s">
        <v>392</v>
      </c>
      <c r="D161" s="67">
        <v>45344</v>
      </c>
      <c r="E161" s="35">
        <v>300</v>
      </c>
      <c r="F161" s="34"/>
      <c r="G161" s="116" t="s">
        <v>202</v>
      </c>
      <c r="H161" s="120" t="s">
        <v>338</v>
      </c>
    </row>
    <row r="162" spans="1:8" x14ac:dyDescent="0.25">
      <c r="A162" s="34" t="s">
        <v>395</v>
      </c>
      <c r="B162" s="34" t="s">
        <v>103</v>
      </c>
      <c r="C162" s="34" t="s">
        <v>103</v>
      </c>
      <c r="D162" s="67">
        <v>45345</v>
      </c>
      <c r="E162" s="35">
        <v>30</v>
      </c>
      <c r="F162" s="34" t="s">
        <v>396</v>
      </c>
      <c r="G162" s="116" t="s">
        <v>299</v>
      </c>
      <c r="H162" s="120" t="s">
        <v>337</v>
      </c>
    </row>
    <row r="163" spans="1:8" x14ac:dyDescent="0.25">
      <c r="A163" s="34" t="s">
        <v>394</v>
      </c>
      <c r="B163" s="34" t="s">
        <v>103</v>
      </c>
      <c r="C163" s="34" t="s">
        <v>103</v>
      </c>
      <c r="D163" s="67">
        <v>45345</v>
      </c>
      <c r="E163" s="35">
        <v>260.67</v>
      </c>
      <c r="F163" s="34"/>
      <c r="G163" s="116" t="s">
        <v>299</v>
      </c>
      <c r="H163" s="120" t="s">
        <v>339</v>
      </c>
    </row>
    <row r="164" spans="1:8" x14ac:dyDescent="0.25">
      <c r="A164" s="34" t="s">
        <v>394</v>
      </c>
      <c r="B164" s="34" t="s">
        <v>103</v>
      </c>
      <c r="C164" s="34" t="s">
        <v>103</v>
      </c>
      <c r="D164" s="67">
        <v>45345</v>
      </c>
      <c r="E164" s="35">
        <v>399.8</v>
      </c>
      <c r="F164" s="34"/>
      <c r="G164" s="116" t="s">
        <v>299</v>
      </c>
      <c r="H164" s="120" t="s">
        <v>339</v>
      </c>
    </row>
    <row r="165" spans="1:8" x14ac:dyDescent="0.25">
      <c r="A165" s="34" t="s">
        <v>68</v>
      </c>
      <c r="B165" s="34" t="s">
        <v>103</v>
      </c>
      <c r="C165" s="34" t="s">
        <v>103</v>
      </c>
      <c r="D165" s="67">
        <v>45345</v>
      </c>
      <c r="E165" s="35">
        <v>100</v>
      </c>
      <c r="F165" s="34"/>
      <c r="G165" s="116" t="s">
        <v>299</v>
      </c>
      <c r="H165" s="120" t="s">
        <v>344</v>
      </c>
    </row>
    <row r="166" spans="1:8" x14ac:dyDescent="0.25">
      <c r="A166" s="34" t="s">
        <v>332</v>
      </c>
      <c r="B166" s="34" t="s">
        <v>71</v>
      </c>
      <c r="C166" s="34" t="s">
        <v>32</v>
      </c>
      <c r="D166" s="67">
        <v>45346</v>
      </c>
      <c r="E166" s="35">
        <v>500</v>
      </c>
      <c r="F166" s="34"/>
      <c r="G166" s="116" t="s">
        <v>202</v>
      </c>
      <c r="H166" s="120" t="s">
        <v>339</v>
      </c>
    </row>
    <row r="167" spans="1:8" x14ac:dyDescent="0.25">
      <c r="A167" s="34" t="s">
        <v>332</v>
      </c>
      <c r="B167" s="34" t="s">
        <v>71</v>
      </c>
      <c r="C167" s="34" t="s">
        <v>32</v>
      </c>
      <c r="D167" s="67">
        <v>45346</v>
      </c>
      <c r="E167" s="35">
        <v>300</v>
      </c>
      <c r="F167" s="34"/>
      <c r="G167" s="116" t="s">
        <v>202</v>
      </c>
      <c r="H167" s="120" t="s">
        <v>339</v>
      </c>
    </row>
    <row r="168" spans="1:8" x14ac:dyDescent="0.25">
      <c r="A168" s="34" t="s">
        <v>68</v>
      </c>
      <c r="B168" s="34" t="s">
        <v>71</v>
      </c>
      <c r="C168" s="34" t="s">
        <v>32</v>
      </c>
      <c r="D168" s="67">
        <v>45346</v>
      </c>
      <c r="E168" s="35">
        <v>200</v>
      </c>
      <c r="F168" s="34"/>
      <c r="G168" s="116" t="s">
        <v>202</v>
      </c>
      <c r="H168" s="120" t="s">
        <v>344</v>
      </c>
    </row>
    <row r="169" spans="1:8" x14ac:dyDescent="0.25">
      <c r="A169" s="34" t="s">
        <v>171</v>
      </c>
      <c r="B169" s="34" t="s">
        <v>71</v>
      </c>
      <c r="C169" s="34" t="s">
        <v>36</v>
      </c>
      <c r="D169" s="67">
        <v>45346</v>
      </c>
      <c r="E169" s="35">
        <v>600</v>
      </c>
      <c r="F169" s="34"/>
      <c r="G169" s="116" t="s">
        <v>202</v>
      </c>
      <c r="H169" s="120" t="s">
        <v>338</v>
      </c>
    </row>
    <row r="170" spans="1:8" x14ac:dyDescent="0.25">
      <c r="A170" s="34" t="s">
        <v>388</v>
      </c>
      <c r="B170" s="34" t="s">
        <v>71</v>
      </c>
      <c r="C170" s="34" t="s">
        <v>103</v>
      </c>
      <c r="D170" s="67">
        <v>45346</v>
      </c>
      <c r="E170" s="35">
        <v>200</v>
      </c>
      <c r="F170" s="34" t="s">
        <v>389</v>
      </c>
      <c r="G170" s="116" t="s">
        <v>202</v>
      </c>
      <c r="H170" s="120" t="s">
        <v>338</v>
      </c>
    </row>
    <row r="171" spans="1:8" x14ac:dyDescent="0.25">
      <c r="A171" s="34" t="s">
        <v>345</v>
      </c>
      <c r="B171" s="34" t="s">
        <v>103</v>
      </c>
      <c r="C171" s="34" t="s">
        <v>103</v>
      </c>
      <c r="D171" s="67">
        <v>45348</v>
      </c>
      <c r="E171" s="35">
        <v>1500</v>
      </c>
      <c r="F171" s="34" t="s">
        <v>399</v>
      </c>
      <c r="G171" s="116" t="s">
        <v>299</v>
      </c>
      <c r="H171" s="120" t="s">
        <v>345</v>
      </c>
    </row>
    <row r="172" spans="1:8" x14ac:dyDescent="0.25">
      <c r="A172" s="34" t="s">
        <v>218</v>
      </c>
      <c r="B172" s="34" t="s">
        <v>71</v>
      </c>
      <c r="C172" s="34" t="s">
        <v>103</v>
      </c>
      <c r="D172" s="67">
        <v>45348</v>
      </c>
      <c r="E172" s="35">
        <v>57</v>
      </c>
      <c r="F172" s="34"/>
      <c r="G172" s="116" t="s">
        <v>235</v>
      </c>
      <c r="H172" s="120" t="s">
        <v>337</v>
      </c>
    </row>
    <row r="173" spans="1:8" x14ac:dyDescent="0.25">
      <c r="A173" s="34" t="s">
        <v>68</v>
      </c>
      <c r="B173" s="34" t="s">
        <v>400</v>
      </c>
      <c r="C173" s="34" t="s">
        <v>103</v>
      </c>
      <c r="D173" s="67">
        <v>45348</v>
      </c>
      <c r="E173" s="35">
        <v>50</v>
      </c>
      <c r="F173" s="34"/>
      <c r="G173" s="116" t="s">
        <v>202</v>
      </c>
      <c r="H173" s="120" t="s">
        <v>344</v>
      </c>
    </row>
    <row r="174" spans="1:8" x14ac:dyDescent="0.25">
      <c r="A174" s="34" t="s">
        <v>402</v>
      </c>
      <c r="B174" s="34" t="s">
        <v>73</v>
      </c>
      <c r="C174" s="34" t="s">
        <v>32</v>
      </c>
      <c r="D174" s="67">
        <v>45348</v>
      </c>
      <c r="E174" s="35">
        <v>20</v>
      </c>
      <c r="F174" s="34"/>
      <c r="G174" s="116" t="s">
        <v>202</v>
      </c>
      <c r="H174" s="120" t="s">
        <v>344</v>
      </c>
    </row>
    <row r="175" spans="1:8" x14ac:dyDescent="0.25">
      <c r="A175" s="34" t="s">
        <v>41</v>
      </c>
      <c r="B175" s="34" t="s">
        <v>71</v>
      </c>
      <c r="C175" s="34" t="s">
        <v>40</v>
      </c>
      <c r="D175" s="67">
        <v>45351</v>
      </c>
      <c r="E175" s="35">
        <v>520</v>
      </c>
      <c r="F175" s="34"/>
      <c r="G175" s="116" t="s">
        <v>202</v>
      </c>
      <c r="H175" s="120" t="s">
        <v>338</v>
      </c>
    </row>
    <row r="176" spans="1:8" x14ac:dyDescent="0.25">
      <c r="A176" s="34" t="s">
        <v>68</v>
      </c>
      <c r="B176" s="34" t="s">
        <v>32</v>
      </c>
      <c r="C176" s="34" t="s">
        <v>103</v>
      </c>
      <c r="D176" s="67">
        <v>45352</v>
      </c>
      <c r="E176" s="35">
        <v>100</v>
      </c>
      <c r="F176" s="34"/>
      <c r="G176" s="116" t="s">
        <v>202</v>
      </c>
      <c r="H176" s="120" t="s">
        <v>344</v>
      </c>
    </row>
    <row r="177" spans="1:8" x14ac:dyDescent="0.25">
      <c r="A177" s="34" t="s">
        <v>68</v>
      </c>
      <c r="B177" s="34" t="s">
        <v>42</v>
      </c>
      <c r="C177" s="34" t="s">
        <v>103</v>
      </c>
      <c r="D177" s="67">
        <v>45352</v>
      </c>
      <c r="E177" s="35">
        <v>50</v>
      </c>
      <c r="F177" s="34"/>
      <c r="G177" s="116" t="s">
        <v>202</v>
      </c>
      <c r="H177" s="120" t="s">
        <v>344</v>
      </c>
    </row>
    <row r="178" spans="1:8" x14ac:dyDescent="0.25">
      <c r="A178" s="34" t="s">
        <v>176</v>
      </c>
      <c r="B178" s="34" t="s">
        <v>103</v>
      </c>
      <c r="C178" s="34" t="s">
        <v>103</v>
      </c>
      <c r="D178" s="67">
        <v>45352</v>
      </c>
      <c r="E178" s="35">
        <v>110</v>
      </c>
      <c r="F178" s="34"/>
      <c r="G178" s="116" t="s">
        <v>202</v>
      </c>
      <c r="H178" s="120" t="s">
        <v>343</v>
      </c>
    </row>
    <row r="179" spans="1:8" x14ac:dyDescent="0.25">
      <c r="A179" s="34" t="s">
        <v>403</v>
      </c>
      <c r="B179" s="34" t="s">
        <v>103</v>
      </c>
      <c r="C179" s="34" t="s">
        <v>103</v>
      </c>
      <c r="D179" s="67">
        <v>45352</v>
      </c>
      <c r="E179" s="35">
        <v>19</v>
      </c>
      <c r="F179" s="34"/>
      <c r="G179" s="116" t="s">
        <v>202</v>
      </c>
      <c r="H179" s="120" t="s">
        <v>343</v>
      </c>
    </row>
    <row r="180" spans="1:8" x14ac:dyDescent="0.25">
      <c r="A180" s="34" t="s">
        <v>404</v>
      </c>
      <c r="B180" s="34" t="s">
        <v>103</v>
      </c>
      <c r="C180" s="34" t="s">
        <v>103</v>
      </c>
      <c r="D180" s="67">
        <v>45352</v>
      </c>
      <c r="E180" s="35">
        <v>7.5</v>
      </c>
      <c r="F180" s="34"/>
      <c r="G180" s="116" t="s">
        <v>202</v>
      </c>
      <c r="H180" s="120" t="s">
        <v>343</v>
      </c>
    </row>
    <row r="181" spans="1:8" x14ac:dyDescent="0.25">
      <c r="A181" s="34" t="s">
        <v>405</v>
      </c>
      <c r="B181" s="34" t="s">
        <v>103</v>
      </c>
      <c r="C181" s="34" t="s">
        <v>103</v>
      </c>
      <c r="D181" s="67">
        <v>45352</v>
      </c>
      <c r="E181" s="35">
        <v>8.5</v>
      </c>
      <c r="F181" s="34"/>
      <c r="G181" s="116" t="s">
        <v>202</v>
      </c>
      <c r="H181" s="120" t="s">
        <v>343</v>
      </c>
    </row>
    <row r="182" spans="1:8" x14ac:dyDescent="0.25">
      <c r="A182" s="34" t="s">
        <v>176</v>
      </c>
      <c r="B182" s="34" t="s">
        <v>73</v>
      </c>
      <c r="C182" s="34" t="s">
        <v>31</v>
      </c>
      <c r="D182" s="67">
        <v>45352</v>
      </c>
      <c r="E182" s="35">
        <v>100</v>
      </c>
      <c r="F182" s="34"/>
      <c r="G182" s="116" t="s">
        <v>202</v>
      </c>
      <c r="H182" s="120" t="s">
        <v>343</v>
      </c>
    </row>
    <row r="183" spans="1:8" x14ac:dyDescent="0.25">
      <c r="A183" s="34" t="s">
        <v>410</v>
      </c>
      <c r="B183" s="34" t="s">
        <v>73</v>
      </c>
      <c r="C183" s="34" t="s">
        <v>32</v>
      </c>
      <c r="D183" s="67">
        <v>45352</v>
      </c>
      <c r="E183" s="35">
        <v>202.5</v>
      </c>
      <c r="F183" s="34"/>
      <c r="G183" s="116" t="s">
        <v>202</v>
      </c>
      <c r="H183" s="120" t="s">
        <v>343</v>
      </c>
    </row>
    <row r="184" spans="1:8" x14ac:dyDescent="0.25">
      <c r="A184" s="34" t="s">
        <v>411</v>
      </c>
      <c r="B184" s="34" t="s">
        <v>73</v>
      </c>
      <c r="C184" s="34" t="s">
        <v>32</v>
      </c>
      <c r="D184" s="67">
        <v>45352</v>
      </c>
      <c r="E184" s="35">
        <v>61.35</v>
      </c>
      <c r="F184" s="34"/>
      <c r="G184" s="116" t="s">
        <v>202</v>
      </c>
      <c r="H184" s="120" t="s">
        <v>343</v>
      </c>
    </row>
    <row r="185" spans="1:8" x14ac:dyDescent="0.25">
      <c r="A185" s="34" t="s">
        <v>417</v>
      </c>
      <c r="B185" s="34" t="s">
        <v>418</v>
      </c>
      <c r="C185" s="34" t="s">
        <v>32</v>
      </c>
      <c r="D185" s="67">
        <v>45354</v>
      </c>
      <c r="E185" s="35">
        <v>56.77</v>
      </c>
      <c r="F185" s="34"/>
      <c r="G185" s="116" t="s">
        <v>299</v>
      </c>
      <c r="H185" s="120" t="s">
        <v>339</v>
      </c>
    </row>
    <row r="186" spans="1:8" x14ac:dyDescent="0.25">
      <c r="A186" s="34" t="s">
        <v>68</v>
      </c>
      <c r="B186" s="34" t="s">
        <v>32</v>
      </c>
      <c r="C186" s="34" t="s">
        <v>103</v>
      </c>
      <c r="D186" s="67">
        <v>45354</v>
      </c>
      <c r="E186" s="35">
        <v>50</v>
      </c>
      <c r="F186" s="34"/>
      <c r="G186" s="116" t="s">
        <v>202</v>
      </c>
      <c r="H186" s="120" t="s">
        <v>344</v>
      </c>
    </row>
    <row r="187" spans="1:8" x14ac:dyDescent="0.25">
      <c r="A187" s="34" t="s">
        <v>406</v>
      </c>
      <c r="B187" s="34" t="s">
        <v>71</v>
      </c>
      <c r="C187" s="34" t="s">
        <v>103</v>
      </c>
      <c r="D187" s="67">
        <v>45355</v>
      </c>
      <c r="E187" s="35">
        <v>270</v>
      </c>
      <c r="F187" s="34" t="s">
        <v>409</v>
      </c>
      <c r="G187" s="116" t="s">
        <v>202</v>
      </c>
      <c r="H187" s="120" t="s">
        <v>339</v>
      </c>
    </row>
    <row r="188" spans="1:8" x14ac:dyDescent="0.25">
      <c r="A188" s="34" t="s">
        <v>408</v>
      </c>
      <c r="B188" s="34" t="s">
        <v>73</v>
      </c>
      <c r="C188" s="34" t="s">
        <v>31</v>
      </c>
      <c r="D188" s="67">
        <v>45355</v>
      </c>
      <c r="E188" s="35">
        <v>18.5</v>
      </c>
      <c r="F188" s="34"/>
      <c r="G188" s="116" t="s">
        <v>202</v>
      </c>
      <c r="H188" s="120" t="s">
        <v>339</v>
      </c>
    </row>
    <row r="189" spans="1:8" x14ac:dyDescent="0.25">
      <c r="A189" s="34" t="s">
        <v>358</v>
      </c>
      <c r="B189" s="34" t="s">
        <v>38</v>
      </c>
      <c r="C189" s="34" t="s">
        <v>103</v>
      </c>
      <c r="D189" s="67">
        <v>45355</v>
      </c>
      <c r="E189" s="35">
        <v>20</v>
      </c>
      <c r="F189" s="34" t="s">
        <v>412</v>
      </c>
      <c r="G189" s="116" t="s">
        <v>202</v>
      </c>
      <c r="H189" s="120" t="s">
        <v>339</v>
      </c>
    </row>
    <row r="190" spans="1:8" x14ac:dyDescent="0.25">
      <c r="A190" s="34" t="s">
        <v>415</v>
      </c>
      <c r="B190" s="34" t="s">
        <v>416</v>
      </c>
      <c r="C190" s="34" t="s">
        <v>32</v>
      </c>
      <c r="D190" s="67">
        <v>45355</v>
      </c>
      <c r="E190" s="35">
        <v>22.5</v>
      </c>
      <c r="F190" s="34"/>
      <c r="G190" s="116" t="s">
        <v>202</v>
      </c>
      <c r="H190" s="120" t="s">
        <v>339</v>
      </c>
    </row>
    <row r="191" spans="1:8" x14ac:dyDescent="0.25">
      <c r="A191" s="34" t="s">
        <v>417</v>
      </c>
      <c r="B191" s="34" t="s">
        <v>103</v>
      </c>
      <c r="C191" s="34" t="s">
        <v>103</v>
      </c>
      <c r="D191" s="67">
        <v>45355</v>
      </c>
      <c r="E191" s="35">
        <v>1315.71</v>
      </c>
      <c r="F191" s="34"/>
      <c r="G191" s="116" t="s">
        <v>202</v>
      </c>
      <c r="H191" s="120" t="s">
        <v>339</v>
      </c>
    </row>
    <row r="192" spans="1:8" x14ac:dyDescent="0.25">
      <c r="A192" s="34" t="s">
        <v>413</v>
      </c>
      <c r="B192" s="34" t="s">
        <v>103</v>
      </c>
      <c r="C192" s="34" t="s">
        <v>31</v>
      </c>
      <c r="D192" s="67">
        <v>45355</v>
      </c>
      <c r="E192" s="35">
        <v>11.4</v>
      </c>
      <c r="F192" s="34"/>
      <c r="G192" s="116" t="s">
        <v>202</v>
      </c>
      <c r="H192" s="120" t="s">
        <v>343</v>
      </c>
    </row>
    <row r="193" spans="1:8" x14ac:dyDescent="0.25">
      <c r="A193" s="34" t="s">
        <v>110</v>
      </c>
      <c r="B193" s="34" t="s">
        <v>419</v>
      </c>
      <c r="C193" s="34" t="s">
        <v>32</v>
      </c>
      <c r="D193" s="67">
        <v>45356</v>
      </c>
      <c r="E193" s="35">
        <v>593.1</v>
      </c>
      <c r="F193" s="34"/>
      <c r="G193" s="116" t="s">
        <v>202</v>
      </c>
      <c r="H193" s="120" t="s">
        <v>339</v>
      </c>
    </row>
    <row r="194" spans="1:8" x14ac:dyDescent="0.25">
      <c r="A194" s="34" t="s">
        <v>68</v>
      </c>
      <c r="B194" s="34" t="s">
        <v>422</v>
      </c>
      <c r="C194" s="34" t="s">
        <v>32</v>
      </c>
      <c r="D194" s="67">
        <v>45358</v>
      </c>
      <c r="E194" s="35">
        <v>50</v>
      </c>
      <c r="F194" s="34"/>
      <c r="G194" s="116" t="s">
        <v>202</v>
      </c>
      <c r="H194" s="120" t="s">
        <v>344</v>
      </c>
    </row>
    <row r="195" spans="1:8" x14ac:dyDescent="0.25">
      <c r="A195" s="34" t="s">
        <v>425</v>
      </c>
      <c r="B195" s="34" t="s">
        <v>426</v>
      </c>
      <c r="C195" s="34" t="s">
        <v>103</v>
      </c>
      <c r="D195" s="67">
        <v>45359</v>
      </c>
      <c r="E195" s="35">
        <v>50</v>
      </c>
      <c r="F195" s="34"/>
      <c r="G195" s="116" t="s">
        <v>202</v>
      </c>
      <c r="H195" s="120" t="s">
        <v>344</v>
      </c>
    </row>
    <row r="196" spans="1:8" x14ac:dyDescent="0.25">
      <c r="A196" s="34" t="s">
        <v>421</v>
      </c>
      <c r="B196" s="34" t="s">
        <v>73</v>
      </c>
      <c r="C196" s="34" t="s">
        <v>31</v>
      </c>
      <c r="D196" s="67">
        <v>45360</v>
      </c>
      <c r="E196" s="35">
        <v>2.8</v>
      </c>
      <c r="F196" s="34"/>
      <c r="G196" s="116" t="s">
        <v>202</v>
      </c>
      <c r="H196" s="120" t="s">
        <v>343</v>
      </c>
    </row>
    <row r="197" spans="1:8" x14ac:dyDescent="0.25">
      <c r="A197" s="34" t="s">
        <v>68</v>
      </c>
      <c r="B197" s="34" t="s">
        <v>32</v>
      </c>
      <c r="C197" s="34" t="s">
        <v>103</v>
      </c>
      <c r="D197" s="67">
        <v>45360</v>
      </c>
      <c r="E197" s="35">
        <v>50</v>
      </c>
      <c r="F197" s="34"/>
      <c r="G197" s="116" t="s">
        <v>202</v>
      </c>
      <c r="H197" s="120" t="s">
        <v>344</v>
      </c>
    </row>
    <row r="198" spans="1:8" x14ac:dyDescent="0.25">
      <c r="A198" s="34" t="s">
        <v>68</v>
      </c>
      <c r="B198" s="34" t="s">
        <v>103</v>
      </c>
      <c r="C198" s="34" t="s">
        <v>103</v>
      </c>
      <c r="D198" s="67">
        <v>45360</v>
      </c>
      <c r="E198" s="35">
        <v>50</v>
      </c>
      <c r="F198" s="34"/>
      <c r="G198" s="116" t="s">
        <v>202</v>
      </c>
      <c r="H198" s="120" t="s">
        <v>344</v>
      </c>
    </row>
    <row r="199" spans="1:8" x14ac:dyDescent="0.25">
      <c r="A199" s="34" t="s">
        <v>428</v>
      </c>
      <c r="B199" s="34" t="s">
        <v>73</v>
      </c>
      <c r="C199" s="34" t="s">
        <v>32</v>
      </c>
      <c r="D199" s="67">
        <v>45360</v>
      </c>
      <c r="E199" s="35">
        <v>100</v>
      </c>
      <c r="F199" s="34"/>
      <c r="G199" s="116" t="s">
        <v>202</v>
      </c>
      <c r="H199" s="120" t="s">
        <v>344</v>
      </c>
    </row>
    <row r="200" spans="1:8" x14ac:dyDescent="0.25">
      <c r="A200" s="34" t="s">
        <v>429</v>
      </c>
      <c r="B200" s="34" t="s">
        <v>73</v>
      </c>
      <c r="C200" s="34" t="s">
        <v>430</v>
      </c>
      <c r="D200" s="67">
        <v>45362</v>
      </c>
      <c r="E200" s="35">
        <v>40</v>
      </c>
      <c r="F200" s="34"/>
      <c r="G200" s="116" t="s">
        <v>202</v>
      </c>
      <c r="H200" s="120" t="s">
        <v>338</v>
      </c>
    </row>
    <row r="201" spans="1:8" x14ac:dyDescent="0.25">
      <c r="A201" s="34" t="s">
        <v>106</v>
      </c>
      <c r="B201" s="34" t="s">
        <v>186</v>
      </c>
      <c r="C201" s="34" t="s">
        <v>103</v>
      </c>
      <c r="D201" s="67" t="s">
        <v>179</v>
      </c>
      <c r="E201" s="35">
        <v>50</v>
      </c>
      <c r="F201" s="34" t="s">
        <v>188</v>
      </c>
      <c r="G201" s="116" t="s">
        <v>103</v>
      </c>
      <c r="H201" s="120" t="s">
        <v>345</v>
      </c>
    </row>
    <row r="202" spans="1:8" x14ac:dyDescent="0.25">
      <c r="A202" s="34" t="s">
        <v>106</v>
      </c>
      <c r="B202" s="34" t="s">
        <v>71</v>
      </c>
      <c r="C202" s="34" t="s">
        <v>178</v>
      </c>
      <c r="D202" s="253" t="s">
        <v>179</v>
      </c>
      <c r="E202" s="35">
        <v>200</v>
      </c>
      <c r="F202" s="34"/>
      <c r="G202" s="116"/>
      <c r="H202" s="120" t="s">
        <v>345</v>
      </c>
    </row>
    <row r="203" spans="1:8" x14ac:dyDescent="0.25">
      <c r="A203" s="34" t="s">
        <v>106</v>
      </c>
      <c r="B203" s="34" t="s">
        <v>186</v>
      </c>
      <c r="C203" s="34" t="s">
        <v>103</v>
      </c>
      <c r="D203" s="67" t="s">
        <v>179</v>
      </c>
      <c r="E203" s="35">
        <v>280</v>
      </c>
      <c r="F203" s="34" t="s">
        <v>187</v>
      </c>
      <c r="G203" s="116" t="s">
        <v>103</v>
      </c>
      <c r="H203" s="120" t="s">
        <v>345</v>
      </c>
    </row>
    <row r="204" spans="1:8" x14ac:dyDescent="0.25">
      <c r="A204" s="34" t="s">
        <v>106</v>
      </c>
      <c r="B204" s="34" t="s">
        <v>71</v>
      </c>
      <c r="C204" s="34" t="s">
        <v>103</v>
      </c>
      <c r="D204" s="67" t="s">
        <v>179</v>
      </c>
      <c r="E204" s="35">
        <v>400</v>
      </c>
      <c r="F204" s="34" t="s">
        <v>189</v>
      </c>
      <c r="G204" s="116" t="s">
        <v>203</v>
      </c>
      <c r="H204" s="120" t="s">
        <v>345</v>
      </c>
    </row>
    <row r="205" spans="1:8" x14ac:dyDescent="0.25">
      <c r="A205" s="34" t="s">
        <v>106</v>
      </c>
      <c r="B205" s="34" t="s">
        <v>71</v>
      </c>
      <c r="C205" s="34" t="s">
        <v>103</v>
      </c>
      <c r="D205" s="67" t="s">
        <v>179</v>
      </c>
      <c r="E205" s="35">
        <v>500</v>
      </c>
      <c r="F205" s="34" t="s">
        <v>180</v>
      </c>
      <c r="G205" s="116"/>
      <c r="H205" s="120" t="s">
        <v>345</v>
      </c>
    </row>
    <row r="206" spans="1:8" x14ac:dyDescent="0.25">
      <c r="A206" s="34" t="s">
        <v>106</v>
      </c>
      <c r="B206" s="34" t="s">
        <v>71</v>
      </c>
      <c r="C206" s="34" t="s">
        <v>103</v>
      </c>
      <c r="D206" s="67" t="s">
        <v>179</v>
      </c>
      <c r="E206" s="35">
        <v>700</v>
      </c>
      <c r="F206" s="34"/>
      <c r="G206" s="116"/>
      <c r="H206" s="120" t="s">
        <v>345</v>
      </c>
    </row>
    <row r="207" spans="1:8" x14ac:dyDescent="0.25">
      <c r="A207" s="34" t="s">
        <v>106</v>
      </c>
      <c r="B207" s="34" t="s">
        <v>71</v>
      </c>
      <c r="C207" s="34" t="s">
        <v>103</v>
      </c>
      <c r="D207" s="67" t="s">
        <v>179</v>
      </c>
      <c r="E207" s="35">
        <v>1000</v>
      </c>
      <c r="F207" s="34" t="s">
        <v>181</v>
      </c>
      <c r="G207" s="116"/>
      <c r="H207" s="120" t="s">
        <v>345</v>
      </c>
    </row>
    <row r="208" spans="1:8" x14ac:dyDescent="0.25">
      <c r="A208" s="34" t="s">
        <v>106</v>
      </c>
      <c r="B208" s="34" t="s">
        <v>71</v>
      </c>
      <c r="C208" s="34" t="s">
        <v>103</v>
      </c>
      <c r="D208" s="67" t="s">
        <v>179</v>
      </c>
      <c r="E208" s="35">
        <v>2450</v>
      </c>
      <c r="F208" s="34" t="s">
        <v>185</v>
      </c>
      <c r="G208" s="116" t="s">
        <v>201</v>
      </c>
      <c r="H208" s="120" t="s">
        <v>345</v>
      </c>
    </row>
    <row r="209" spans="1:8" x14ac:dyDescent="0.25">
      <c r="A209" s="34" t="s">
        <v>106</v>
      </c>
      <c r="B209" s="34" t="s">
        <v>182</v>
      </c>
      <c r="C209" s="34" t="s">
        <v>103</v>
      </c>
      <c r="D209" s="67" t="s">
        <v>179</v>
      </c>
      <c r="E209" s="35">
        <v>4000</v>
      </c>
      <c r="F209" s="34" t="s">
        <v>183</v>
      </c>
      <c r="G209" s="116" t="s">
        <v>103</v>
      </c>
      <c r="H209" s="120" t="s">
        <v>345</v>
      </c>
    </row>
    <row r="210" spans="1:8" x14ac:dyDescent="0.25">
      <c r="A210" s="34" t="s">
        <v>106</v>
      </c>
      <c r="B210" s="34" t="s">
        <v>71</v>
      </c>
      <c r="C210" s="34" t="s">
        <v>103</v>
      </c>
      <c r="D210" s="67" t="s">
        <v>179</v>
      </c>
      <c r="E210" s="35">
        <v>8000</v>
      </c>
      <c r="F210" s="34" t="s">
        <v>184</v>
      </c>
      <c r="G210" s="116" t="s">
        <v>103</v>
      </c>
      <c r="H210" s="120" t="s">
        <v>345</v>
      </c>
    </row>
    <row r="211" spans="1:8" x14ac:dyDescent="0.25">
      <c r="A211" s="34" t="s">
        <v>302</v>
      </c>
      <c r="B211" s="34" t="s">
        <v>303</v>
      </c>
      <c r="C211" s="34" t="s">
        <v>103</v>
      </c>
      <c r="D211" s="67" t="s">
        <v>304</v>
      </c>
      <c r="E211" s="75">
        <v>313.36</v>
      </c>
      <c r="F211" s="34"/>
      <c r="G211" s="116" t="s">
        <v>202</v>
      </c>
      <c r="H211" s="120" t="s">
        <v>337</v>
      </c>
    </row>
    <row r="212" spans="1:8" x14ac:dyDescent="0.25">
      <c r="A212" s="34" t="s">
        <v>305</v>
      </c>
      <c r="B212" s="34" t="s">
        <v>306</v>
      </c>
      <c r="C212" s="34" t="s">
        <v>103</v>
      </c>
      <c r="D212" s="67" t="s">
        <v>304</v>
      </c>
      <c r="E212" s="75">
        <v>250</v>
      </c>
      <c r="F212" s="34"/>
      <c r="G212" s="116" t="s">
        <v>202</v>
      </c>
      <c r="H212" s="120" t="s">
        <v>340</v>
      </c>
    </row>
    <row r="213" spans="1:8" x14ac:dyDescent="0.25">
      <c r="A213" s="34" t="s">
        <v>401</v>
      </c>
      <c r="B213" s="34" t="s">
        <v>103</v>
      </c>
      <c r="C213" s="34" t="s">
        <v>103</v>
      </c>
      <c r="D213" s="67" t="s">
        <v>304</v>
      </c>
      <c r="E213" s="35">
        <v>13.6</v>
      </c>
      <c r="F213" s="34"/>
      <c r="G213" s="116" t="s">
        <v>202</v>
      </c>
      <c r="H213" s="120" t="s">
        <v>338</v>
      </c>
    </row>
    <row r="214" spans="1:8" x14ac:dyDescent="0.25">
      <c r="A214" s="34" t="s">
        <v>398</v>
      </c>
      <c r="B214" s="34" t="s">
        <v>103</v>
      </c>
      <c r="C214" s="34" t="s">
        <v>103</v>
      </c>
      <c r="D214" s="67" t="s">
        <v>304</v>
      </c>
      <c r="E214" s="35">
        <v>850</v>
      </c>
      <c r="F214" s="34"/>
      <c r="G214" s="116" t="s">
        <v>299</v>
      </c>
      <c r="H214" s="120" t="s">
        <v>343</v>
      </c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E715-0976-4EDF-BBB7-C570051B223F}">
  <sheetPr codeName="Planilha2"/>
  <dimension ref="A1:U75"/>
  <sheetViews>
    <sheetView workbookViewId="0">
      <selection activeCell="C12" sqref="C12"/>
    </sheetView>
  </sheetViews>
  <sheetFormatPr defaultRowHeight="15" x14ac:dyDescent="0.25"/>
  <cols>
    <col min="1" max="1" width="40.85546875" bestFit="1" customWidth="1"/>
    <col min="2" max="2" width="17.5703125" style="3" bestFit="1" customWidth="1"/>
    <col min="3" max="3" width="28.42578125" bestFit="1" customWidth="1"/>
    <col min="4" max="4" width="28.140625" style="1" bestFit="1" customWidth="1"/>
    <col min="5" max="5" width="18" bestFit="1" customWidth="1"/>
    <col min="6" max="6" width="18.42578125" bestFit="1" customWidth="1"/>
    <col min="7" max="7" width="20.140625" style="2" bestFit="1" customWidth="1"/>
    <col min="8" max="8" width="15.28515625" bestFit="1" customWidth="1"/>
    <col min="9" max="9" width="17.5703125" bestFit="1" customWidth="1"/>
    <col min="10" max="10" width="11.28515625" bestFit="1" customWidth="1"/>
    <col min="11" max="11" width="14.140625" bestFit="1" customWidth="1"/>
    <col min="12" max="12" width="9.7109375" bestFit="1" customWidth="1"/>
    <col min="13" max="13" width="11.7109375" bestFit="1" customWidth="1"/>
    <col min="14" max="14" width="7.7109375" bestFit="1" customWidth="1"/>
    <col min="15" max="15" width="9.7109375" bestFit="1" customWidth="1"/>
    <col min="16" max="16" width="8.7109375" bestFit="1" customWidth="1"/>
    <col min="17" max="17" width="10.7109375" bestFit="1" customWidth="1"/>
    <col min="18" max="18" width="14.28515625" bestFit="1" customWidth="1"/>
    <col min="19" max="19" width="12.28515625" bestFit="1" customWidth="1"/>
    <col min="20" max="20" width="15.140625" bestFit="1" customWidth="1"/>
    <col min="21" max="21" width="15" bestFit="1" customWidth="1"/>
    <col min="22" max="22" width="11.28515625" bestFit="1" customWidth="1"/>
    <col min="23" max="23" width="14.140625" bestFit="1" customWidth="1"/>
    <col min="24" max="24" width="9.28515625" customWidth="1"/>
    <col min="25" max="25" width="7.42578125" bestFit="1" customWidth="1"/>
    <col min="26" max="26" width="9.42578125" customWidth="1"/>
    <col min="27" max="27" width="9.7109375" bestFit="1" customWidth="1"/>
    <col min="28" max="28" width="8.7109375" bestFit="1" customWidth="1"/>
    <col min="29" max="29" width="10.7109375" bestFit="1" customWidth="1"/>
    <col min="30" max="30" width="14.28515625" bestFit="1" customWidth="1"/>
    <col min="31" max="31" width="12.28515625" bestFit="1" customWidth="1"/>
    <col min="32" max="32" width="15.140625" bestFit="1" customWidth="1"/>
    <col min="33" max="33" width="15" bestFit="1" customWidth="1"/>
  </cols>
  <sheetData>
    <row r="1" spans="1:21" ht="24" thickBot="1" x14ac:dyDescent="0.3">
      <c r="A1" s="294" t="s">
        <v>3</v>
      </c>
      <c r="B1" s="20" t="s">
        <v>33</v>
      </c>
      <c r="C1" s="294" t="s">
        <v>5</v>
      </c>
      <c r="D1" s="294" t="s">
        <v>6</v>
      </c>
      <c r="E1" s="294" t="s">
        <v>7</v>
      </c>
      <c r="F1" s="294" t="s">
        <v>8</v>
      </c>
      <c r="G1" s="294" t="s">
        <v>9</v>
      </c>
      <c r="H1" s="294" t="s">
        <v>4</v>
      </c>
      <c r="I1" s="121" t="s">
        <v>228</v>
      </c>
      <c r="J1" s="121" t="s">
        <v>463</v>
      </c>
      <c r="K1" s="121" t="s">
        <v>464</v>
      </c>
      <c r="L1" s="121" t="s">
        <v>465</v>
      </c>
      <c r="M1" s="121" t="s">
        <v>466</v>
      </c>
      <c r="N1" s="121" t="s">
        <v>467</v>
      </c>
      <c r="O1" s="121" t="s">
        <v>468</v>
      </c>
      <c r="P1" s="121" t="s">
        <v>469</v>
      </c>
      <c r="Q1" s="121" t="s">
        <v>470</v>
      </c>
      <c r="R1" s="121" t="s">
        <v>471</v>
      </c>
      <c r="S1" s="121" t="s">
        <v>472</v>
      </c>
      <c r="T1" s="121" t="s">
        <v>473</v>
      </c>
      <c r="U1" s="121" t="s">
        <v>474</v>
      </c>
    </row>
    <row r="2" spans="1:21" ht="16.5" thickBot="1" x14ac:dyDescent="0.3">
      <c r="A2" s="295" t="s">
        <v>488</v>
      </c>
      <c r="B2" s="295" t="s">
        <v>488</v>
      </c>
      <c r="C2" s="296"/>
      <c r="D2" s="297"/>
      <c r="E2" s="298" t="s">
        <v>10</v>
      </c>
      <c r="F2" s="299"/>
      <c r="G2" s="295"/>
      <c r="H2" s="300"/>
      <c r="I2" s="293"/>
      <c r="J2" s="306" t="s">
        <v>475</v>
      </c>
      <c r="K2" s="306" t="s">
        <v>475</v>
      </c>
      <c r="L2" s="306" t="s">
        <v>475</v>
      </c>
      <c r="M2" s="307"/>
      <c r="N2" s="307"/>
      <c r="O2" s="307"/>
      <c r="P2" s="307"/>
      <c r="Q2" s="307"/>
      <c r="R2" s="307"/>
      <c r="S2" s="307"/>
      <c r="T2" s="307"/>
      <c r="U2" s="307"/>
    </row>
    <row r="3" spans="1:21" ht="16.5" thickBot="1" x14ac:dyDescent="0.3">
      <c r="A3" s="295" t="s">
        <v>489</v>
      </c>
      <c r="B3" s="295" t="s">
        <v>489</v>
      </c>
      <c r="C3" s="296"/>
      <c r="D3" s="297"/>
      <c r="E3" s="298" t="s">
        <v>10</v>
      </c>
      <c r="F3" s="299"/>
      <c r="G3" s="295"/>
      <c r="H3" s="300"/>
      <c r="I3" s="293"/>
      <c r="J3" s="306" t="s">
        <v>475</v>
      </c>
      <c r="K3" s="306" t="s">
        <v>475</v>
      </c>
      <c r="L3" s="306" t="s">
        <v>475</v>
      </c>
      <c r="M3" s="307"/>
      <c r="N3" s="307"/>
      <c r="O3" s="307"/>
      <c r="P3" s="307"/>
      <c r="Q3" s="307"/>
      <c r="R3" s="307"/>
      <c r="S3" s="307"/>
      <c r="T3" s="307"/>
      <c r="U3" s="307"/>
    </row>
    <row r="4" spans="1:21" ht="16.5" thickBot="1" x14ac:dyDescent="0.3">
      <c r="A4" s="295" t="s">
        <v>490</v>
      </c>
      <c r="B4" s="295" t="s">
        <v>490</v>
      </c>
      <c r="C4" s="296"/>
      <c r="D4" s="297"/>
      <c r="E4" s="298" t="s">
        <v>10</v>
      </c>
      <c r="F4" s="299"/>
      <c r="G4" s="295"/>
      <c r="H4" s="300"/>
      <c r="I4" s="293"/>
      <c r="J4" s="306" t="s">
        <v>475</v>
      </c>
      <c r="K4" s="306" t="s">
        <v>475</v>
      </c>
      <c r="L4" s="306" t="s">
        <v>475</v>
      </c>
      <c r="M4" s="307"/>
      <c r="N4" s="307"/>
      <c r="O4" s="307"/>
      <c r="P4" s="307"/>
      <c r="Q4" s="307"/>
      <c r="R4" s="307"/>
      <c r="S4" s="307"/>
      <c r="T4" s="307"/>
      <c r="U4" s="307"/>
    </row>
    <row r="5" spans="1:21" ht="16.5" thickBot="1" x14ac:dyDescent="0.3">
      <c r="A5" s="295" t="s">
        <v>491</v>
      </c>
      <c r="B5" s="295" t="s">
        <v>491</v>
      </c>
      <c r="C5" s="296"/>
      <c r="D5" s="297"/>
      <c r="E5" s="298" t="s">
        <v>10</v>
      </c>
      <c r="F5" s="299"/>
      <c r="G5" s="301"/>
      <c r="H5" s="300"/>
      <c r="I5" s="293"/>
      <c r="J5" s="306" t="s">
        <v>475</v>
      </c>
      <c r="K5" s="306" t="s">
        <v>475</v>
      </c>
      <c r="L5" s="306" t="s">
        <v>475</v>
      </c>
      <c r="M5" s="307"/>
      <c r="N5" s="307"/>
      <c r="O5" s="307"/>
      <c r="P5" s="307"/>
      <c r="Q5" s="307"/>
      <c r="R5" s="307"/>
      <c r="S5" s="307"/>
      <c r="T5" s="307"/>
      <c r="U5" s="307"/>
    </row>
    <row r="6" spans="1:21" ht="16.5" thickBot="1" x14ac:dyDescent="0.3">
      <c r="A6" s="295" t="s">
        <v>492</v>
      </c>
      <c r="B6" s="295" t="s">
        <v>492</v>
      </c>
      <c r="C6" s="296"/>
      <c r="D6" s="297"/>
      <c r="E6" s="298" t="s">
        <v>10</v>
      </c>
      <c r="F6" s="299"/>
      <c r="G6" s="295"/>
      <c r="H6" s="300"/>
      <c r="I6" s="293"/>
      <c r="J6" s="306" t="s">
        <v>475</v>
      </c>
      <c r="K6" s="306" t="s">
        <v>475</v>
      </c>
      <c r="L6" s="306" t="s">
        <v>475</v>
      </c>
      <c r="M6" s="307"/>
      <c r="N6" s="307"/>
      <c r="O6" s="307"/>
      <c r="P6" s="307"/>
      <c r="Q6" s="307"/>
      <c r="R6" s="307"/>
      <c r="S6" s="307"/>
      <c r="T6" s="307"/>
      <c r="U6" s="307"/>
    </row>
    <row r="7" spans="1:21" ht="16.5" thickBot="1" x14ac:dyDescent="0.3">
      <c r="A7" s="295"/>
      <c r="B7" s="296"/>
      <c r="C7" s="296"/>
      <c r="D7" s="298"/>
      <c r="E7" s="298" t="s">
        <v>10</v>
      </c>
      <c r="F7" s="295"/>
      <c r="G7" s="300"/>
      <c r="H7" s="302"/>
      <c r="I7" s="293"/>
      <c r="J7" s="306" t="s">
        <v>475</v>
      </c>
      <c r="K7" s="306" t="s">
        <v>475</v>
      </c>
      <c r="L7" s="306" t="s">
        <v>475</v>
      </c>
      <c r="M7" s="307"/>
      <c r="N7" s="307"/>
      <c r="O7" s="307"/>
      <c r="P7" s="307"/>
      <c r="Q7" s="307"/>
      <c r="R7" s="307"/>
      <c r="S7" s="307"/>
      <c r="T7" s="307"/>
      <c r="U7" s="307"/>
    </row>
    <row r="8" spans="1:21" ht="16.5" thickBot="1" x14ac:dyDescent="0.3">
      <c r="A8" s="295"/>
      <c r="B8" s="296"/>
      <c r="C8" s="296"/>
      <c r="D8" s="298"/>
      <c r="E8" s="303" t="s">
        <v>43</v>
      </c>
      <c r="F8" s="295"/>
      <c r="G8" s="300"/>
      <c r="H8" s="302"/>
      <c r="I8" s="296"/>
      <c r="J8" s="306" t="s">
        <v>475</v>
      </c>
      <c r="K8" s="306" t="s">
        <v>475</v>
      </c>
      <c r="L8" s="306" t="s">
        <v>475</v>
      </c>
      <c r="M8" s="307"/>
      <c r="N8" s="307"/>
      <c r="O8" s="307"/>
      <c r="P8" s="307"/>
      <c r="Q8" s="307"/>
      <c r="R8" s="307"/>
      <c r="S8" s="307"/>
      <c r="T8" s="307"/>
      <c r="U8" s="307"/>
    </row>
    <row r="9" spans="1:21" ht="16.5" thickBot="1" x14ac:dyDescent="0.3">
      <c r="A9" s="295"/>
      <c r="B9" s="296"/>
      <c r="C9" s="296"/>
      <c r="D9" s="298"/>
      <c r="E9" s="298" t="s">
        <v>10</v>
      </c>
      <c r="F9" s="295"/>
      <c r="G9" s="300"/>
      <c r="H9" s="302"/>
      <c r="I9" s="293"/>
      <c r="J9" s="306" t="s">
        <v>475</v>
      </c>
      <c r="K9" s="306" t="s">
        <v>475</v>
      </c>
      <c r="L9" s="306" t="s">
        <v>475</v>
      </c>
      <c r="M9" s="307"/>
      <c r="N9" s="307"/>
      <c r="O9" s="307"/>
      <c r="P9" s="307"/>
      <c r="Q9" s="307"/>
      <c r="R9" s="307"/>
      <c r="S9" s="307"/>
      <c r="T9" s="307"/>
      <c r="U9" s="307"/>
    </row>
    <row r="10" spans="1:21" ht="16.5" thickBot="1" x14ac:dyDescent="0.3">
      <c r="A10" s="295"/>
      <c r="B10" s="296"/>
      <c r="C10" s="296"/>
      <c r="D10" s="298"/>
      <c r="E10" s="303" t="s">
        <v>10</v>
      </c>
      <c r="F10" s="295"/>
      <c r="G10" s="300"/>
      <c r="H10" s="302"/>
      <c r="I10" s="293"/>
      <c r="J10" s="306" t="s">
        <v>475</v>
      </c>
      <c r="K10" s="306" t="s">
        <v>475</v>
      </c>
      <c r="L10" s="306" t="s">
        <v>475</v>
      </c>
      <c r="M10" s="307"/>
      <c r="N10" s="307"/>
      <c r="O10" s="307"/>
      <c r="P10" s="307"/>
      <c r="Q10" s="307"/>
      <c r="R10" s="307"/>
      <c r="S10" s="307"/>
      <c r="T10" s="307"/>
      <c r="U10" s="307"/>
    </row>
    <row r="11" spans="1:21" ht="16.5" thickBot="1" x14ac:dyDescent="0.3">
      <c r="A11" s="295"/>
      <c r="B11" s="296"/>
      <c r="C11" s="296"/>
      <c r="D11" s="298"/>
      <c r="E11" s="303" t="s">
        <v>43</v>
      </c>
      <c r="F11" s="295"/>
      <c r="G11" s="300"/>
      <c r="H11" s="302"/>
      <c r="I11" s="304"/>
      <c r="J11" s="306" t="s">
        <v>475</v>
      </c>
      <c r="K11" s="306" t="s">
        <v>475</v>
      </c>
      <c r="L11" s="306" t="s">
        <v>475</v>
      </c>
      <c r="M11" s="307"/>
      <c r="N11" s="307"/>
      <c r="O11" s="307"/>
      <c r="P11" s="307"/>
      <c r="Q11" s="307"/>
      <c r="R11" s="307"/>
      <c r="S11" s="307"/>
      <c r="T11" s="307"/>
      <c r="U11" s="307"/>
    </row>
    <row r="12" spans="1:21" ht="16.5" thickBot="1" x14ac:dyDescent="0.3">
      <c r="A12" s="295"/>
      <c r="B12" s="296"/>
      <c r="C12" s="296"/>
      <c r="D12" s="298"/>
      <c r="E12" s="303" t="s">
        <v>44</v>
      </c>
      <c r="F12" s="295"/>
      <c r="G12" s="300"/>
      <c r="H12" s="293"/>
      <c r="I12" s="293"/>
      <c r="J12" s="306" t="s">
        <v>475</v>
      </c>
      <c r="K12" s="306" t="s">
        <v>475</v>
      </c>
      <c r="L12" s="306" t="s">
        <v>475</v>
      </c>
      <c r="M12" s="307"/>
      <c r="N12" s="307"/>
      <c r="O12" s="307"/>
      <c r="P12" s="307"/>
      <c r="Q12" s="307"/>
      <c r="R12" s="307"/>
      <c r="S12" s="307"/>
      <c r="T12" s="307"/>
      <c r="U12" s="307"/>
    </row>
    <row r="13" spans="1:21" ht="16.5" thickBot="1" x14ac:dyDescent="0.3">
      <c r="A13" s="295"/>
      <c r="B13" s="296"/>
      <c r="C13" s="297"/>
      <c r="D13" s="298"/>
      <c r="E13" s="299"/>
      <c r="F13" s="295"/>
      <c r="G13" s="305"/>
      <c r="H13" s="293"/>
      <c r="I13" s="293"/>
      <c r="J13" s="306" t="s">
        <v>475</v>
      </c>
      <c r="K13" s="306" t="s">
        <v>475</v>
      </c>
      <c r="L13" s="306" t="s">
        <v>475</v>
      </c>
      <c r="M13" s="307"/>
      <c r="N13" s="307"/>
      <c r="O13" s="307"/>
      <c r="P13" s="307"/>
      <c r="Q13" s="307"/>
      <c r="R13" s="307"/>
      <c r="S13" s="307"/>
      <c r="T13" s="307"/>
      <c r="U13" s="307"/>
    </row>
    <row r="14" spans="1:21" ht="15.75" x14ac:dyDescent="0.25">
      <c r="A14" s="7"/>
      <c r="B14" s="8"/>
      <c r="C14" s="9"/>
      <c r="D14" s="10"/>
      <c r="E14" s="11"/>
      <c r="F14" s="7"/>
    </row>
    <row r="15" spans="1:21" ht="15.75" x14ac:dyDescent="0.25">
      <c r="A15" s="7"/>
      <c r="B15" s="8"/>
      <c r="C15" s="9"/>
      <c r="D15" s="10"/>
      <c r="E15" s="11"/>
      <c r="F15" s="7"/>
      <c r="G15" s="12"/>
    </row>
    <row r="16" spans="1:21" ht="15.75" x14ac:dyDescent="0.25">
      <c r="A16" s="7"/>
      <c r="B16" s="8"/>
      <c r="C16" s="9"/>
      <c r="D16" s="10"/>
      <c r="E16" s="11"/>
      <c r="F16" s="7"/>
      <c r="G16" s="12"/>
    </row>
    <row r="17" spans="1:8" ht="15.75" x14ac:dyDescent="0.25">
      <c r="A17" s="7"/>
      <c r="B17" s="8"/>
      <c r="C17" s="9"/>
      <c r="D17" s="10"/>
      <c r="E17" s="11"/>
      <c r="F17" s="7"/>
      <c r="G17" s="31" t="s">
        <v>45</v>
      </c>
      <c r="H17" s="21"/>
    </row>
    <row r="18" spans="1:8" ht="15.75" x14ac:dyDescent="0.25">
      <c r="A18" s="7"/>
      <c r="B18" s="8"/>
      <c r="C18" s="9"/>
      <c r="D18" s="10"/>
      <c r="E18" s="11"/>
      <c r="F18" s="7"/>
      <c r="G18" s="12"/>
    </row>
    <row r="19" spans="1:8" ht="15.75" x14ac:dyDescent="0.25">
      <c r="A19" s="7"/>
      <c r="B19" s="8"/>
      <c r="C19" s="9"/>
      <c r="D19" s="10"/>
      <c r="E19" s="11"/>
      <c r="F19" s="7"/>
      <c r="G19" s="12"/>
    </row>
    <row r="20" spans="1:8" ht="15.75" x14ac:dyDescent="0.25">
      <c r="A20" s="7"/>
      <c r="B20" s="8"/>
      <c r="C20" s="9"/>
      <c r="D20" s="10"/>
      <c r="E20" s="11"/>
      <c r="F20" s="7"/>
      <c r="G20" s="12"/>
    </row>
    <row r="21" spans="1:8" ht="15.75" x14ac:dyDescent="0.25">
      <c r="A21" s="7"/>
      <c r="B21" s="8"/>
      <c r="C21" s="9"/>
      <c r="D21" s="10"/>
      <c r="E21" s="11"/>
      <c r="F21" s="7"/>
      <c r="G21" s="12"/>
    </row>
    <row r="22" spans="1:8" ht="15.75" x14ac:dyDescent="0.25">
      <c r="A22" s="7"/>
      <c r="B22" s="8"/>
      <c r="C22" s="9"/>
      <c r="D22" s="10"/>
      <c r="E22" s="11"/>
      <c r="F22" s="7"/>
      <c r="G22" s="12"/>
    </row>
    <row r="23" spans="1:8" ht="15.75" x14ac:dyDescent="0.25">
      <c r="A23" s="13"/>
      <c r="B23" s="8"/>
      <c r="C23" s="9"/>
      <c r="D23" s="10"/>
      <c r="E23" s="11"/>
      <c r="F23" s="7"/>
      <c r="G23" s="12"/>
    </row>
    <row r="24" spans="1:8" ht="15.75" x14ac:dyDescent="0.25">
      <c r="A24" s="13"/>
      <c r="B24" s="8"/>
      <c r="C24" s="9"/>
      <c r="D24" s="14"/>
      <c r="E24" s="11"/>
      <c r="F24" s="13"/>
      <c r="G24" s="15"/>
    </row>
    <row r="25" spans="1:8" ht="15.75" x14ac:dyDescent="0.25">
      <c r="A25" s="13"/>
      <c r="B25" s="8"/>
      <c r="C25" s="9"/>
      <c r="D25" s="14"/>
      <c r="E25" s="11"/>
      <c r="F25" s="13"/>
      <c r="G25" s="15"/>
    </row>
    <row r="26" spans="1:8" ht="15.75" x14ac:dyDescent="0.25">
      <c r="A26" s="13"/>
      <c r="B26" s="8"/>
      <c r="C26" s="9"/>
      <c r="D26" s="14"/>
      <c r="E26" s="11"/>
      <c r="F26" s="13"/>
      <c r="G26" s="15"/>
    </row>
    <row r="27" spans="1:8" ht="15.75" x14ac:dyDescent="0.25">
      <c r="A27" s="13"/>
      <c r="B27" s="8"/>
      <c r="C27" s="9"/>
      <c r="D27" s="14"/>
      <c r="E27" s="11"/>
      <c r="F27" s="13"/>
      <c r="G27" s="15"/>
    </row>
    <row r="28" spans="1:8" ht="15.75" x14ac:dyDescent="0.25">
      <c r="A28" s="13"/>
      <c r="B28" s="8"/>
      <c r="C28" s="9"/>
      <c r="D28" s="14"/>
      <c r="E28" s="11"/>
      <c r="F28" s="13"/>
      <c r="G28" s="15"/>
    </row>
    <row r="29" spans="1:8" ht="15.75" x14ac:dyDescent="0.25">
      <c r="A29" s="13"/>
      <c r="B29" s="8"/>
      <c r="C29" s="9"/>
      <c r="D29" s="14"/>
      <c r="E29" s="11"/>
      <c r="F29" s="13"/>
      <c r="G29" s="15"/>
    </row>
    <row r="30" spans="1:8" ht="15.75" x14ac:dyDescent="0.25">
      <c r="A30" s="13"/>
      <c r="B30" s="8"/>
      <c r="C30" s="9"/>
      <c r="D30" s="14"/>
      <c r="E30" s="11"/>
      <c r="F30" s="13"/>
      <c r="G30" s="15"/>
    </row>
    <row r="31" spans="1:8" ht="15.75" x14ac:dyDescent="0.25">
      <c r="A31" s="13"/>
      <c r="B31" s="8"/>
      <c r="C31" s="9"/>
      <c r="D31" s="14"/>
      <c r="E31" s="11"/>
      <c r="F31" s="13"/>
      <c r="G31" s="15"/>
    </row>
    <row r="32" spans="1:8" ht="15.75" x14ac:dyDescent="0.25">
      <c r="A32" s="13"/>
      <c r="B32" s="8"/>
      <c r="C32" s="9"/>
      <c r="D32" s="14"/>
      <c r="E32" s="11"/>
      <c r="F32" s="13"/>
      <c r="G32" s="15"/>
    </row>
    <row r="33" spans="1:7" ht="15.75" x14ac:dyDescent="0.25">
      <c r="A33" s="13"/>
      <c r="B33" s="8"/>
      <c r="C33" s="9"/>
      <c r="D33" s="14"/>
      <c r="E33" s="11"/>
      <c r="F33" s="13"/>
      <c r="G33" s="15"/>
    </row>
    <row r="34" spans="1:7" x14ac:dyDescent="0.25">
      <c r="B34" s="6"/>
      <c r="C34" s="4"/>
      <c r="E34" s="5"/>
    </row>
    <row r="35" spans="1:7" x14ac:dyDescent="0.25">
      <c r="B35" s="6"/>
      <c r="C35" s="4"/>
      <c r="E35" s="5"/>
    </row>
    <row r="36" spans="1:7" x14ac:dyDescent="0.25">
      <c r="B36" s="6"/>
      <c r="C36" s="4"/>
      <c r="E36" s="5"/>
    </row>
    <row r="37" spans="1:7" x14ac:dyDescent="0.25">
      <c r="B37" s="6"/>
      <c r="C37" s="4"/>
      <c r="E37" s="5"/>
    </row>
    <row r="38" spans="1:7" x14ac:dyDescent="0.25">
      <c r="B38" s="6"/>
      <c r="C38" s="4"/>
      <c r="E38" s="5"/>
    </row>
    <row r="39" spans="1:7" x14ac:dyDescent="0.25">
      <c r="B39" s="6"/>
      <c r="C39" s="4"/>
      <c r="E39" s="5"/>
    </row>
    <row r="40" spans="1:7" x14ac:dyDescent="0.25">
      <c r="B40" s="6"/>
      <c r="C40" s="4"/>
      <c r="E40" s="5"/>
    </row>
    <row r="41" spans="1:7" x14ac:dyDescent="0.25">
      <c r="B41" s="6"/>
      <c r="C41" s="4"/>
      <c r="E41" s="5"/>
    </row>
    <row r="42" spans="1:7" x14ac:dyDescent="0.25">
      <c r="B42" s="6"/>
      <c r="C42" s="4"/>
      <c r="E42" s="5"/>
    </row>
    <row r="43" spans="1:7" x14ac:dyDescent="0.25">
      <c r="B43" s="6"/>
      <c r="C43" s="4"/>
      <c r="E43" s="5"/>
    </row>
    <row r="44" spans="1:7" x14ac:dyDescent="0.25">
      <c r="B44" s="6"/>
      <c r="C44" s="4"/>
      <c r="E44" s="5"/>
    </row>
    <row r="45" spans="1:7" x14ac:dyDescent="0.25">
      <c r="B45" s="6"/>
      <c r="C45" s="4"/>
      <c r="E45" s="5"/>
    </row>
    <row r="46" spans="1:7" x14ac:dyDescent="0.25">
      <c r="B46" s="6"/>
      <c r="C46" s="4"/>
      <c r="E46" s="5"/>
    </row>
    <row r="47" spans="1:7" x14ac:dyDescent="0.25">
      <c r="B47" s="6"/>
      <c r="C47" s="4"/>
      <c r="E47" s="5"/>
    </row>
    <row r="48" spans="1:7" x14ac:dyDescent="0.25">
      <c r="B48" s="6"/>
      <c r="C48" s="4"/>
      <c r="E48" s="5"/>
    </row>
    <row r="49" spans="2:5" x14ac:dyDescent="0.25">
      <c r="B49" s="6"/>
      <c r="C49" s="4"/>
      <c r="E49" s="5"/>
    </row>
    <row r="50" spans="2:5" x14ac:dyDescent="0.25">
      <c r="B50" s="6"/>
      <c r="C50" s="4"/>
      <c r="E50" s="5"/>
    </row>
    <row r="51" spans="2:5" x14ac:dyDescent="0.25">
      <c r="B51" s="6"/>
      <c r="C51" s="4"/>
      <c r="E51" s="5"/>
    </row>
    <row r="52" spans="2:5" x14ac:dyDescent="0.25">
      <c r="B52" s="6"/>
      <c r="C52" s="4"/>
      <c r="E52" s="5"/>
    </row>
    <row r="53" spans="2:5" x14ac:dyDescent="0.25">
      <c r="B53" s="6"/>
      <c r="C53" s="4"/>
      <c r="E53" s="5"/>
    </row>
    <row r="54" spans="2:5" x14ac:dyDescent="0.25">
      <c r="B54" s="6"/>
      <c r="C54" s="4"/>
      <c r="E54" s="5"/>
    </row>
    <row r="55" spans="2:5" x14ac:dyDescent="0.25">
      <c r="B55" s="6"/>
      <c r="C55" s="4"/>
      <c r="E55" s="5"/>
    </row>
    <row r="56" spans="2:5" x14ac:dyDescent="0.25">
      <c r="B56" s="6"/>
      <c r="C56" s="4"/>
      <c r="E56" s="5"/>
    </row>
    <row r="57" spans="2:5" x14ac:dyDescent="0.25">
      <c r="B57" s="6"/>
      <c r="C57" s="4"/>
      <c r="E57" s="5"/>
    </row>
    <row r="58" spans="2:5" x14ac:dyDescent="0.25">
      <c r="B58" s="6"/>
      <c r="C58" s="4"/>
      <c r="E58" s="5"/>
    </row>
    <row r="59" spans="2:5" x14ac:dyDescent="0.25">
      <c r="B59" s="6"/>
      <c r="C59" s="4"/>
      <c r="E59" s="5"/>
    </row>
    <row r="60" spans="2:5" x14ac:dyDescent="0.25">
      <c r="B60" s="6"/>
      <c r="C60" s="4"/>
      <c r="E60" s="5"/>
    </row>
    <row r="61" spans="2:5" x14ac:dyDescent="0.25">
      <c r="B61" s="6"/>
      <c r="C61" s="4"/>
      <c r="E61" s="5"/>
    </row>
    <row r="62" spans="2:5" x14ac:dyDescent="0.25">
      <c r="B62" s="6"/>
      <c r="C62" s="4"/>
      <c r="E62" s="5"/>
    </row>
    <row r="63" spans="2:5" x14ac:dyDescent="0.25">
      <c r="B63" s="6"/>
      <c r="C63" s="4"/>
      <c r="E63" s="5"/>
    </row>
    <row r="64" spans="2:5" x14ac:dyDescent="0.25">
      <c r="B64" s="6"/>
      <c r="C64" s="4"/>
      <c r="E64" s="5"/>
    </row>
    <row r="65" spans="2:5" x14ac:dyDescent="0.25">
      <c r="B65" s="6"/>
      <c r="C65" s="4"/>
      <c r="E65" s="5"/>
    </row>
    <row r="66" spans="2:5" x14ac:dyDescent="0.25">
      <c r="B66" s="6"/>
      <c r="C66" s="4"/>
      <c r="E66" s="5"/>
    </row>
    <row r="67" spans="2:5" x14ac:dyDescent="0.25">
      <c r="B67" s="6"/>
      <c r="C67" s="4"/>
      <c r="E67" s="5"/>
    </row>
    <row r="68" spans="2:5" x14ac:dyDescent="0.25">
      <c r="B68" s="6"/>
      <c r="C68" s="4"/>
      <c r="E68" s="5"/>
    </row>
    <row r="69" spans="2:5" x14ac:dyDescent="0.25">
      <c r="B69" s="6"/>
      <c r="E69" s="5"/>
    </row>
    <row r="70" spans="2:5" x14ac:dyDescent="0.25">
      <c r="E70" s="5"/>
    </row>
    <row r="71" spans="2:5" x14ac:dyDescent="0.25">
      <c r="E71" s="5"/>
    </row>
    <row r="72" spans="2:5" x14ac:dyDescent="0.25">
      <c r="E72" s="5"/>
    </row>
    <row r="73" spans="2:5" x14ac:dyDescent="0.25">
      <c r="E73" s="5"/>
    </row>
    <row r="74" spans="2:5" x14ac:dyDescent="0.25">
      <c r="E74" s="5"/>
    </row>
    <row r="75" spans="2:5" x14ac:dyDescent="0.25">
      <c r="E75" s="5"/>
    </row>
  </sheetData>
  <phoneticPr fontId="20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1AA51-BFF9-4006-9E95-295C1D146E58}">
  <sheetPr codeName="Planilha18"/>
  <dimension ref="A1:O214"/>
  <sheetViews>
    <sheetView zoomScale="84" zoomScaleNormal="84" workbookViewId="0">
      <selection activeCell="F15" sqref="F15"/>
    </sheetView>
  </sheetViews>
  <sheetFormatPr defaultRowHeight="15.75" x14ac:dyDescent="0.25"/>
  <cols>
    <col min="1" max="1" width="23.7109375" bestFit="1" customWidth="1"/>
    <col min="2" max="2" width="20.28515625" bestFit="1" customWidth="1"/>
    <col min="3" max="3" width="20.140625" customWidth="1"/>
    <col min="4" max="4" width="12.28515625" style="99" bestFit="1" customWidth="1"/>
    <col min="5" max="5" width="13.42578125" style="2" bestFit="1" customWidth="1"/>
    <col min="6" max="6" width="54.7109375" bestFit="1" customWidth="1"/>
    <col min="7" max="7" width="18.85546875" style="27" bestFit="1" customWidth="1"/>
    <col min="8" max="8" width="19.42578125" style="117" customWidth="1"/>
    <col min="14" max="14" width="14.7109375" bestFit="1" customWidth="1"/>
    <col min="15" max="15" width="12.7109375" bestFit="1" customWidth="1"/>
  </cols>
  <sheetData>
    <row r="1" spans="1:15" ht="18.75" x14ac:dyDescent="0.3">
      <c r="A1" s="26" t="s">
        <v>65</v>
      </c>
      <c r="B1" s="29" t="s">
        <v>69</v>
      </c>
      <c r="C1" s="29" t="s">
        <v>70</v>
      </c>
      <c r="D1" s="26" t="s">
        <v>67</v>
      </c>
      <c r="E1" s="26" t="s">
        <v>66</v>
      </c>
      <c r="F1" s="26" t="s">
        <v>200</v>
      </c>
      <c r="G1" s="26" t="s">
        <v>341</v>
      </c>
      <c r="H1" s="26" t="s">
        <v>342</v>
      </c>
      <c r="N1" s="118" t="s">
        <v>342</v>
      </c>
      <c r="O1" s="118" t="s">
        <v>45</v>
      </c>
    </row>
    <row r="2" spans="1:15" x14ac:dyDescent="0.25">
      <c r="A2" s="34"/>
      <c r="B2" s="34"/>
      <c r="C2" s="34"/>
      <c r="D2" s="67"/>
      <c r="E2" s="75"/>
      <c r="F2" s="34"/>
      <c r="G2" s="116"/>
      <c r="H2" s="120"/>
      <c r="N2" s="101" t="s">
        <v>346</v>
      </c>
      <c r="O2" s="30">
        <v>0</v>
      </c>
    </row>
    <row r="3" spans="1:15" x14ac:dyDescent="0.25">
      <c r="A3" s="34"/>
      <c r="B3" s="34"/>
      <c r="C3" s="34"/>
      <c r="D3" s="67"/>
      <c r="E3" s="35"/>
      <c r="F3" s="34"/>
      <c r="G3" s="116"/>
      <c r="H3" s="120"/>
      <c r="N3" s="101" t="s">
        <v>68</v>
      </c>
      <c r="O3" s="30">
        <v>0</v>
      </c>
    </row>
    <row r="4" spans="1:15" x14ac:dyDescent="0.25">
      <c r="A4" s="34"/>
      <c r="B4" s="34"/>
      <c r="C4" s="34"/>
      <c r="D4" s="67"/>
      <c r="E4" s="35"/>
      <c r="F4" s="34"/>
      <c r="G4" s="116"/>
      <c r="H4" s="120"/>
      <c r="N4" s="101" t="s">
        <v>305</v>
      </c>
      <c r="O4" s="30">
        <v>0</v>
      </c>
    </row>
    <row r="5" spans="1:15" x14ac:dyDescent="0.25">
      <c r="A5" s="34"/>
      <c r="B5" s="34"/>
      <c r="C5" s="34"/>
      <c r="D5" s="67"/>
      <c r="E5" s="35"/>
      <c r="F5" s="34"/>
      <c r="G5" s="116"/>
      <c r="H5" s="120"/>
      <c r="L5" s="99">
        <v>45390</v>
      </c>
      <c r="N5" s="101" t="s">
        <v>347</v>
      </c>
      <c r="O5" s="30">
        <v>0</v>
      </c>
    </row>
    <row r="6" spans="1:15" x14ac:dyDescent="0.25">
      <c r="A6" s="34"/>
      <c r="B6" s="34"/>
      <c r="C6" s="34"/>
      <c r="D6" s="67"/>
      <c r="E6" s="35"/>
      <c r="F6" s="34"/>
      <c r="G6" s="116"/>
      <c r="H6" s="120"/>
      <c r="N6" s="101" t="s">
        <v>106</v>
      </c>
      <c r="O6" s="30">
        <v>0</v>
      </c>
    </row>
    <row r="7" spans="1:15" x14ac:dyDescent="0.25">
      <c r="A7" s="34"/>
      <c r="B7" s="34"/>
      <c r="C7" s="34"/>
      <c r="D7" s="67"/>
      <c r="E7" s="35"/>
      <c r="F7" s="34"/>
      <c r="G7" s="116"/>
      <c r="H7" s="120"/>
      <c r="N7" s="101" t="s">
        <v>282</v>
      </c>
      <c r="O7" s="119">
        <v>0</v>
      </c>
    </row>
    <row r="8" spans="1:15" x14ac:dyDescent="0.25">
      <c r="A8" s="34"/>
      <c r="B8" s="34"/>
      <c r="C8" s="34"/>
      <c r="D8" s="67"/>
      <c r="E8" s="35"/>
      <c r="F8" s="34"/>
      <c r="G8" s="116"/>
      <c r="H8" s="120"/>
      <c r="N8" s="101" t="s">
        <v>348</v>
      </c>
      <c r="O8" s="30">
        <v>0</v>
      </c>
    </row>
    <row r="9" spans="1:15" x14ac:dyDescent="0.25">
      <c r="A9" s="34"/>
      <c r="B9" s="34"/>
      <c r="C9" s="34"/>
      <c r="D9" s="67"/>
      <c r="E9" s="35"/>
      <c r="F9" s="34"/>
      <c r="G9" s="116"/>
      <c r="H9" s="120"/>
    </row>
    <row r="10" spans="1:15" x14ac:dyDescent="0.25">
      <c r="A10" s="34"/>
      <c r="B10" s="34"/>
      <c r="C10" s="34"/>
      <c r="D10" s="67"/>
      <c r="E10" s="35"/>
      <c r="F10" s="34"/>
      <c r="G10" s="116"/>
      <c r="H10" s="120"/>
    </row>
    <row r="11" spans="1:15" x14ac:dyDescent="0.25">
      <c r="A11" s="34"/>
      <c r="B11" s="34"/>
      <c r="C11" s="34"/>
      <c r="D11" s="67"/>
      <c r="E11" s="35"/>
      <c r="F11" s="34"/>
      <c r="G11" s="116"/>
      <c r="H11" s="120"/>
    </row>
    <row r="12" spans="1:15" x14ac:dyDescent="0.25">
      <c r="A12" s="34"/>
      <c r="B12" s="34"/>
      <c r="C12" s="34"/>
      <c r="D12" s="67"/>
      <c r="E12" s="35"/>
      <c r="F12" s="34"/>
      <c r="G12" s="116"/>
      <c r="H12" s="120"/>
    </row>
    <row r="13" spans="1:15" x14ac:dyDescent="0.25">
      <c r="A13" s="34"/>
      <c r="B13" s="34"/>
      <c r="C13" s="34"/>
      <c r="D13" s="67"/>
      <c r="E13" s="35"/>
      <c r="F13" s="34"/>
      <c r="G13" s="116"/>
      <c r="H13" s="120"/>
    </row>
    <row r="14" spans="1:15" x14ac:dyDescent="0.25">
      <c r="A14" s="34"/>
      <c r="B14" s="34"/>
      <c r="C14" s="34"/>
      <c r="D14" s="67"/>
      <c r="E14" s="75"/>
      <c r="F14" s="34"/>
      <c r="G14" s="116"/>
      <c r="H14" s="120"/>
    </row>
    <row r="15" spans="1:15" x14ac:dyDescent="0.25">
      <c r="A15" s="34"/>
      <c r="B15" s="34"/>
      <c r="C15" s="34"/>
      <c r="D15" s="67"/>
      <c r="E15" s="35"/>
      <c r="F15" s="34"/>
      <c r="G15" s="116"/>
      <c r="H15" s="120"/>
    </row>
    <row r="16" spans="1:15" x14ac:dyDescent="0.25">
      <c r="A16" s="34"/>
      <c r="B16" s="34"/>
      <c r="C16" s="34"/>
      <c r="D16" s="67"/>
      <c r="E16" s="75"/>
      <c r="F16" s="34"/>
      <c r="G16" s="116"/>
      <c r="H16" s="120"/>
    </row>
    <row r="17" spans="1:8" x14ac:dyDescent="0.25">
      <c r="A17" s="34"/>
      <c r="B17" s="34"/>
      <c r="C17" s="34"/>
      <c r="D17" s="67"/>
      <c r="E17" s="35"/>
      <c r="F17" s="34"/>
      <c r="G17" s="116"/>
      <c r="H17" s="120"/>
    </row>
    <row r="18" spans="1:8" x14ac:dyDescent="0.25">
      <c r="A18" s="34"/>
      <c r="B18" s="34"/>
      <c r="C18" s="34"/>
      <c r="D18" s="67"/>
      <c r="E18" s="35"/>
      <c r="F18" s="34"/>
      <c r="G18" s="116"/>
      <c r="H18" s="120"/>
    </row>
    <row r="19" spans="1:8" x14ac:dyDescent="0.25">
      <c r="A19" s="34"/>
      <c r="B19" s="34"/>
      <c r="C19" s="34"/>
      <c r="D19" s="67"/>
      <c r="E19" s="35"/>
      <c r="F19" s="34"/>
      <c r="G19" s="116"/>
      <c r="H19" s="120"/>
    </row>
    <row r="20" spans="1:8" x14ac:dyDescent="0.25">
      <c r="A20" s="34"/>
      <c r="B20" s="34"/>
      <c r="C20" s="34"/>
      <c r="D20" s="67"/>
      <c r="E20" s="35"/>
      <c r="F20" s="34"/>
      <c r="G20" s="116"/>
      <c r="H20" s="120"/>
    </row>
    <row r="21" spans="1:8" x14ac:dyDescent="0.25">
      <c r="A21" s="34"/>
      <c r="B21" s="34"/>
      <c r="C21" s="34"/>
      <c r="D21" s="67"/>
      <c r="E21" s="35"/>
      <c r="F21" s="34"/>
      <c r="G21" s="116"/>
      <c r="H21" s="120"/>
    </row>
    <row r="22" spans="1:8" x14ac:dyDescent="0.25">
      <c r="A22" s="34"/>
      <c r="B22" s="34"/>
      <c r="C22" s="34"/>
      <c r="D22" s="67"/>
      <c r="E22" s="35"/>
      <c r="F22" s="34"/>
      <c r="G22" s="116"/>
      <c r="H22" s="120"/>
    </row>
    <row r="23" spans="1:8" x14ac:dyDescent="0.25">
      <c r="A23" s="34"/>
      <c r="B23" s="34"/>
      <c r="C23" s="34"/>
      <c r="D23" s="67"/>
      <c r="E23" s="35"/>
      <c r="F23" s="34"/>
      <c r="G23" s="116"/>
      <c r="H23" s="120"/>
    </row>
    <row r="24" spans="1:8" x14ac:dyDescent="0.25">
      <c r="A24" s="34"/>
      <c r="B24" s="34"/>
      <c r="C24" s="34"/>
      <c r="D24" s="67"/>
      <c r="E24" s="35"/>
      <c r="F24" s="34"/>
      <c r="G24" s="116"/>
      <c r="H24" s="120"/>
    </row>
    <row r="25" spans="1:8" x14ac:dyDescent="0.25">
      <c r="A25" s="34"/>
      <c r="B25" s="34"/>
      <c r="C25" s="34"/>
      <c r="D25" s="67"/>
      <c r="E25" s="35"/>
      <c r="F25" s="34"/>
      <c r="G25" s="116"/>
      <c r="H25" s="120"/>
    </row>
    <row r="26" spans="1:8" x14ac:dyDescent="0.25">
      <c r="A26" s="34"/>
      <c r="B26" s="34"/>
      <c r="C26" s="34"/>
      <c r="D26" s="67"/>
      <c r="E26" s="35"/>
      <c r="F26" s="34"/>
      <c r="G26" s="116"/>
      <c r="H26" s="120"/>
    </row>
    <row r="27" spans="1:8" x14ac:dyDescent="0.25">
      <c r="A27" s="22"/>
      <c r="B27" s="22"/>
      <c r="C27" s="22"/>
      <c r="D27" s="66"/>
      <c r="E27" s="30"/>
      <c r="F27" s="22"/>
      <c r="G27" s="115"/>
    </row>
    <row r="28" spans="1:8" x14ac:dyDescent="0.25">
      <c r="A28" s="22"/>
      <c r="B28" s="22"/>
      <c r="C28" s="22"/>
      <c r="D28" s="66"/>
      <c r="E28" s="30"/>
      <c r="F28" s="22"/>
      <c r="G28" s="115"/>
    </row>
    <row r="29" spans="1:8" x14ac:dyDescent="0.25">
      <c r="A29" s="22"/>
      <c r="B29" s="22"/>
      <c r="C29" s="22"/>
      <c r="D29" s="66"/>
      <c r="E29" s="30"/>
      <c r="F29" s="22"/>
      <c r="G29" s="115"/>
    </row>
    <row r="30" spans="1:8" x14ac:dyDescent="0.25">
      <c r="A30" s="22"/>
      <c r="B30" s="22"/>
      <c r="C30" s="22"/>
      <c r="D30" s="66"/>
      <c r="E30" s="30"/>
      <c r="F30" s="22"/>
      <c r="G30" s="115"/>
    </row>
    <row r="31" spans="1:8" x14ac:dyDescent="0.25">
      <c r="A31" s="34"/>
      <c r="B31" s="34"/>
      <c r="C31" s="34"/>
      <c r="D31" s="67"/>
      <c r="E31" s="35"/>
      <c r="F31" s="34"/>
      <c r="G31" s="115"/>
    </row>
    <row r="32" spans="1:8" x14ac:dyDescent="0.25">
      <c r="A32" s="22"/>
      <c r="B32" s="22"/>
      <c r="C32" s="22"/>
      <c r="D32" s="66"/>
      <c r="E32" s="30"/>
      <c r="F32" s="22"/>
      <c r="G32" s="115"/>
    </row>
    <row r="33" spans="1:7" x14ac:dyDescent="0.25">
      <c r="A33" s="22"/>
      <c r="B33" s="22"/>
      <c r="C33" s="22"/>
      <c r="D33" s="66"/>
      <c r="E33" s="30"/>
      <c r="F33" s="22"/>
      <c r="G33" s="115"/>
    </row>
    <row r="34" spans="1:7" x14ac:dyDescent="0.25">
      <c r="A34" s="22"/>
      <c r="B34" s="22"/>
      <c r="C34" s="22"/>
      <c r="D34" s="66"/>
      <c r="E34" s="30"/>
      <c r="F34" s="22"/>
      <c r="G34" s="115"/>
    </row>
    <row r="35" spans="1:7" x14ac:dyDescent="0.25">
      <c r="A35" s="22"/>
      <c r="B35" s="22"/>
      <c r="C35" s="22"/>
      <c r="D35" s="66"/>
      <c r="E35" s="30"/>
      <c r="F35" s="22"/>
      <c r="G35" s="115"/>
    </row>
    <row r="36" spans="1:7" x14ac:dyDescent="0.25">
      <c r="A36" s="22"/>
      <c r="B36" s="22"/>
      <c r="C36" s="22"/>
      <c r="D36" s="66"/>
      <c r="E36" s="30"/>
      <c r="F36" s="22"/>
      <c r="G36" s="115"/>
    </row>
    <row r="37" spans="1:7" x14ac:dyDescent="0.25">
      <c r="A37" s="22"/>
      <c r="B37" s="22"/>
      <c r="C37" s="22"/>
      <c r="D37" s="66"/>
      <c r="E37" s="30"/>
      <c r="F37" s="22"/>
      <c r="G37" s="115"/>
    </row>
    <row r="38" spans="1:7" x14ac:dyDescent="0.25">
      <c r="A38" s="22"/>
      <c r="B38" s="22"/>
      <c r="C38" s="22"/>
      <c r="D38" s="66"/>
      <c r="E38" s="30"/>
      <c r="F38" s="22"/>
      <c r="G38" s="115"/>
    </row>
    <row r="39" spans="1:7" x14ac:dyDescent="0.25">
      <c r="A39" s="22"/>
      <c r="B39" s="22"/>
      <c r="C39" s="22"/>
      <c r="D39" s="66"/>
      <c r="E39" s="60"/>
      <c r="F39" s="22"/>
      <c r="G39" s="115"/>
    </row>
    <row r="40" spans="1:7" x14ac:dyDescent="0.25">
      <c r="A40" s="34"/>
      <c r="B40" s="34"/>
      <c r="C40" s="34"/>
      <c r="D40" s="67"/>
      <c r="E40" s="35"/>
      <c r="F40" s="34"/>
      <c r="G40" s="115"/>
    </row>
    <row r="41" spans="1:7" x14ac:dyDescent="0.25">
      <c r="A41" s="22"/>
      <c r="B41" s="22"/>
      <c r="C41" s="22"/>
      <c r="D41" s="66"/>
      <c r="E41" s="30"/>
      <c r="F41" s="22"/>
      <c r="G41" s="115"/>
    </row>
    <row r="42" spans="1:7" x14ac:dyDescent="0.25">
      <c r="A42" s="22"/>
      <c r="B42" s="22"/>
      <c r="C42" s="22"/>
      <c r="D42" s="66"/>
      <c r="E42" s="30"/>
      <c r="F42" s="22"/>
      <c r="G42" s="115"/>
    </row>
    <row r="43" spans="1:7" x14ac:dyDescent="0.25">
      <c r="A43" s="22"/>
      <c r="B43" s="22"/>
      <c r="C43" s="22"/>
      <c r="D43" s="66"/>
      <c r="E43" s="30"/>
      <c r="F43" s="22"/>
      <c r="G43" s="115"/>
    </row>
    <row r="44" spans="1:7" x14ac:dyDescent="0.25">
      <c r="A44" s="22"/>
      <c r="B44" s="22"/>
      <c r="C44" s="22"/>
      <c r="D44" s="66"/>
      <c r="E44" s="30"/>
      <c r="F44" s="22"/>
      <c r="G44" s="115"/>
    </row>
    <row r="45" spans="1:7" x14ac:dyDescent="0.25">
      <c r="A45" s="22"/>
      <c r="B45" s="22"/>
      <c r="C45" s="22"/>
      <c r="D45" s="66"/>
      <c r="E45" s="30"/>
      <c r="F45" s="22"/>
      <c r="G45" s="115"/>
    </row>
    <row r="46" spans="1:7" x14ac:dyDescent="0.25">
      <c r="A46" s="22"/>
      <c r="B46" s="22"/>
      <c r="C46" s="22"/>
      <c r="D46" s="66"/>
      <c r="E46" s="30"/>
      <c r="F46" s="22"/>
      <c r="G46" s="115"/>
    </row>
    <row r="47" spans="1:7" x14ac:dyDescent="0.25">
      <c r="A47" s="34"/>
      <c r="B47" s="34"/>
      <c r="C47" s="34"/>
      <c r="D47" s="67"/>
      <c r="E47" s="35"/>
      <c r="F47" s="34"/>
      <c r="G47" s="115"/>
    </row>
    <row r="48" spans="1:7" x14ac:dyDescent="0.25">
      <c r="A48" s="22"/>
      <c r="B48" s="22"/>
      <c r="C48" s="22"/>
      <c r="D48" s="66"/>
      <c r="E48" s="60"/>
      <c r="F48" s="22"/>
      <c r="G48" s="115"/>
    </row>
    <row r="49" spans="1:7" x14ac:dyDescent="0.25">
      <c r="A49" s="34"/>
      <c r="B49" s="34"/>
      <c r="C49" s="34"/>
      <c r="D49" s="67"/>
      <c r="E49" s="35"/>
      <c r="F49" s="34"/>
      <c r="G49" s="115"/>
    </row>
    <row r="50" spans="1:7" x14ac:dyDescent="0.25">
      <c r="A50" s="22"/>
      <c r="B50" s="22"/>
      <c r="C50" s="22"/>
      <c r="D50" s="66"/>
      <c r="E50" s="30"/>
      <c r="F50" s="22"/>
      <c r="G50" s="115"/>
    </row>
    <row r="51" spans="1:7" x14ac:dyDescent="0.25">
      <c r="A51" s="22"/>
      <c r="B51" s="22"/>
      <c r="C51" s="22"/>
      <c r="D51" s="66"/>
      <c r="E51" s="30"/>
      <c r="F51" s="22"/>
      <c r="G51" s="115"/>
    </row>
    <row r="52" spans="1:7" x14ac:dyDescent="0.25">
      <c r="A52" s="22"/>
      <c r="B52" s="22"/>
      <c r="C52" s="22"/>
      <c r="D52" s="66"/>
      <c r="E52" s="30"/>
      <c r="F52" s="22"/>
      <c r="G52" s="115"/>
    </row>
    <row r="53" spans="1:7" x14ac:dyDescent="0.25">
      <c r="A53" s="22"/>
      <c r="B53" s="22"/>
      <c r="C53" s="22"/>
      <c r="D53" s="66"/>
      <c r="E53" s="30"/>
      <c r="F53" s="22"/>
      <c r="G53" s="115"/>
    </row>
    <row r="54" spans="1:7" x14ac:dyDescent="0.25">
      <c r="A54" s="22"/>
      <c r="B54" s="22"/>
      <c r="C54" s="22"/>
      <c r="D54" s="66"/>
      <c r="E54" s="60"/>
      <c r="F54" s="22"/>
      <c r="G54" s="115"/>
    </row>
    <row r="55" spans="1:7" x14ac:dyDescent="0.25">
      <c r="A55" s="22"/>
      <c r="B55" s="22"/>
      <c r="C55" s="22"/>
      <c r="D55" s="66"/>
      <c r="E55" s="60"/>
      <c r="F55" s="22"/>
      <c r="G55" s="115"/>
    </row>
    <row r="56" spans="1:7" x14ac:dyDescent="0.25">
      <c r="A56" s="22"/>
      <c r="B56" s="22"/>
      <c r="C56" s="22"/>
      <c r="D56" s="66"/>
      <c r="E56" s="60"/>
      <c r="F56" s="22"/>
      <c r="G56" s="115"/>
    </row>
    <row r="57" spans="1:7" x14ac:dyDescent="0.25">
      <c r="A57" s="22"/>
      <c r="B57" s="22"/>
      <c r="C57" s="22"/>
      <c r="D57" s="66"/>
      <c r="E57" s="30"/>
      <c r="F57" s="22"/>
      <c r="G57" s="115"/>
    </row>
    <row r="58" spans="1:7" x14ac:dyDescent="0.25">
      <c r="A58" s="22"/>
      <c r="B58" s="22"/>
      <c r="C58" s="22"/>
      <c r="D58" s="66"/>
      <c r="E58" s="30"/>
      <c r="F58" s="22"/>
      <c r="G58" s="115"/>
    </row>
    <row r="59" spans="1:7" x14ac:dyDescent="0.25">
      <c r="A59" s="22"/>
      <c r="B59" s="22"/>
      <c r="C59" s="22"/>
      <c r="D59" s="66"/>
      <c r="E59" s="30"/>
      <c r="F59" s="22"/>
      <c r="G59" s="115"/>
    </row>
    <row r="60" spans="1:7" x14ac:dyDescent="0.25">
      <c r="A60" s="22"/>
      <c r="B60" s="22"/>
      <c r="C60" s="22"/>
      <c r="D60" s="66"/>
      <c r="E60" s="30"/>
      <c r="F60" s="22"/>
      <c r="G60" s="115"/>
    </row>
    <row r="61" spans="1:7" x14ac:dyDescent="0.25">
      <c r="A61" s="22"/>
      <c r="B61" s="22"/>
      <c r="C61" s="22"/>
      <c r="D61" s="66"/>
      <c r="E61" s="30"/>
      <c r="F61" s="22"/>
      <c r="G61" s="115"/>
    </row>
    <row r="62" spans="1:7" x14ac:dyDescent="0.25">
      <c r="A62" s="34"/>
      <c r="B62" s="34"/>
      <c r="C62" s="34"/>
      <c r="D62" s="67"/>
      <c r="E62" s="35"/>
      <c r="F62" s="34"/>
      <c r="G62" s="115"/>
    </row>
    <row r="63" spans="1:7" x14ac:dyDescent="0.25">
      <c r="A63" s="34"/>
      <c r="B63" s="34"/>
      <c r="C63" s="34"/>
      <c r="D63" s="67"/>
      <c r="E63" s="75"/>
      <c r="F63" s="34"/>
      <c r="G63" s="116"/>
    </row>
    <row r="64" spans="1:7" x14ac:dyDescent="0.25">
      <c r="A64" s="22"/>
      <c r="B64" s="22"/>
      <c r="C64" s="22"/>
      <c r="D64" s="66"/>
      <c r="E64" s="30"/>
      <c r="F64" s="22"/>
      <c r="G64" s="115"/>
    </row>
    <row r="65" spans="1:7" x14ac:dyDescent="0.25">
      <c r="A65" s="22"/>
      <c r="B65" s="22"/>
      <c r="C65" s="22"/>
      <c r="D65" s="66"/>
      <c r="E65" s="60"/>
      <c r="F65" s="22"/>
      <c r="G65" s="115"/>
    </row>
    <row r="66" spans="1:7" x14ac:dyDescent="0.25">
      <c r="A66" s="22"/>
      <c r="B66" s="22"/>
      <c r="C66" s="22"/>
      <c r="D66" s="66"/>
      <c r="E66" s="60"/>
      <c r="F66" s="22"/>
      <c r="G66" s="115"/>
    </row>
    <row r="67" spans="1:7" x14ac:dyDescent="0.25">
      <c r="A67" s="22"/>
      <c r="B67" s="22"/>
      <c r="C67" s="22"/>
      <c r="D67" s="66"/>
      <c r="E67" s="30"/>
      <c r="F67" s="22"/>
      <c r="G67" s="115"/>
    </row>
    <row r="68" spans="1:7" x14ac:dyDescent="0.25">
      <c r="A68" s="22"/>
      <c r="B68" s="22"/>
      <c r="C68" s="22"/>
      <c r="D68" s="66"/>
      <c r="E68" s="60"/>
      <c r="F68" s="22"/>
      <c r="G68" s="115"/>
    </row>
    <row r="69" spans="1:7" x14ac:dyDescent="0.25">
      <c r="A69" s="22"/>
      <c r="B69" s="22"/>
      <c r="C69" s="22"/>
      <c r="D69" s="66"/>
      <c r="E69" s="30"/>
      <c r="F69" s="22"/>
      <c r="G69" s="115"/>
    </row>
    <row r="70" spans="1:7" x14ac:dyDescent="0.25">
      <c r="A70" s="22"/>
      <c r="B70" s="22"/>
      <c r="C70" s="22"/>
      <c r="D70" s="66"/>
      <c r="E70" s="30"/>
      <c r="F70" s="22"/>
      <c r="G70" s="115"/>
    </row>
    <row r="71" spans="1:7" x14ac:dyDescent="0.25">
      <c r="A71" s="22"/>
      <c r="B71" s="22"/>
      <c r="C71" s="22"/>
      <c r="D71" s="66"/>
      <c r="E71" s="30"/>
      <c r="F71" s="22"/>
      <c r="G71" s="115"/>
    </row>
    <row r="72" spans="1:7" x14ac:dyDescent="0.25">
      <c r="A72" s="22"/>
      <c r="B72" s="22"/>
      <c r="C72" s="22"/>
      <c r="D72" s="66"/>
      <c r="E72" s="60"/>
      <c r="F72" s="22"/>
      <c r="G72" s="115"/>
    </row>
    <row r="73" spans="1:7" x14ac:dyDescent="0.25">
      <c r="A73" s="22"/>
      <c r="B73" s="22"/>
      <c r="C73" s="22"/>
      <c r="D73" s="66"/>
      <c r="E73" s="30"/>
      <c r="F73" s="22"/>
      <c r="G73" s="115"/>
    </row>
    <row r="74" spans="1:7" x14ac:dyDescent="0.25">
      <c r="A74" s="22"/>
      <c r="B74" s="22"/>
      <c r="C74" s="22"/>
      <c r="D74" s="66"/>
      <c r="E74" s="30"/>
      <c r="F74" s="22"/>
      <c r="G74" s="115"/>
    </row>
    <row r="75" spans="1:7" x14ac:dyDescent="0.25">
      <c r="A75" s="22"/>
      <c r="B75" s="22"/>
      <c r="C75" s="22"/>
      <c r="D75" s="66"/>
      <c r="E75" s="30"/>
      <c r="F75" s="22"/>
      <c r="G75" s="115"/>
    </row>
    <row r="76" spans="1:7" x14ac:dyDescent="0.25">
      <c r="A76" s="22"/>
      <c r="B76" s="22"/>
      <c r="C76" s="22"/>
      <c r="D76" s="66"/>
      <c r="E76" s="30"/>
      <c r="F76" s="22"/>
      <c r="G76" s="115"/>
    </row>
    <row r="77" spans="1:7" x14ac:dyDescent="0.25">
      <c r="A77" s="34"/>
      <c r="B77" s="34"/>
      <c r="C77" s="34"/>
      <c r="D77" s="67"/>
      <c r="E77" s="75"/>
      <c r="F77" s="34"/>
      <c r="G77" s="116"/>
    </row>
    <row r="78" spans="1:7" x14ac:dyDescent="0.25">
      <c r="A78" s="34"/>
      <c r="B78" s="34"/>
      <c r="C78" s="34"/>
      <c r="D78" s="67"/>
      <c r="E78" s="35"/>
      <c r="F78" s="34"/>
      <c r="G78" s="116"/>
    </row>
    <row r="79" spans="1:7" x14ac:dyDescent="0.25">
      <c r="A79" s="34"/>
      <c r="B79" s="34"/>
      <c r="C79" s="34"/>
      <c r="D79" s="67"/>
      <c r="E79" s="35"/>
      <c r="F79" s="34"/>
      <c r="G79" s="116"/>
    </row>
    <row r="80" spans="1:7" x14ac:dyDescent="0.25">
      <c r="A80" s="34"/>
      <c r="B80" s="34"/>
      <c r="C80" s="34"/>
      <c r="D80" s="67"/>
      <c r="E80" s="35"/>
      <c r="F80" s="34"/>
      <c r="G80" s="116"/>
    </row>
    <row r="81" spans="1:7" x14ac:dyDescent="0.25">
      <c r="A81" s="34"/>
      <c r="B81" s="34"/>
      <c r="C81" s="34"/>
      <c r="D81" s="67"/>
      <c r="E81" s="35"/>
      <c r="F81" s="34"/>
      <c r="G81" s="116"/>
    </row>
    <row r="82" spans="1:7" x14ac:dyDescent="0.25">
      <c r="A82" s="34"/>
      <c r="B82" s="34"/>
      <c r="C82" s="34"/>
      <c r="D82" s="67"/>
      <c r="E82" s="35"/>
      <c r="F82" s="34"/>
      <c r="G82" s="116"/>
    </row>
    <row r="83" spans="1:7" x14ac:dyDescent="0.25">
      <c r="A83" s="34"/>
      <c r="B83" s="34"/>
      <c r="C83" s="34"/>
      <c r="D83" s="67"/>
      <c r="E83" s="75"/>
      <c r="F83" s="34"/>
      <c r="G83" s="116"/>
    </row>
    <row r="84" spans="1:7" x14ac:dyDescent="0.25">
      <c r="A84" s="34"/>
      <c r="B84" s="34"/>
      <c r="C84" s="34"/>
      <c r="D84" s="67"/>
      <c r="E84" s="35"/>
      <c r="F84" s="34"/>
      <c r="G84" s="116"/>
    </row>
    <row r="85" spans="1:7" x14ac:dyDescent="0.25">
      <c r="A85" s="34"/>
      <c r="B85" s="34"/>
      <c r="C85" s="34"/>
      <c r="D85" s="67"/>
      <c r="E85" s="35"/>
      <c r="F85" s="34"/>
      <c r="G85" s="116"/>
    </row>
    <row r="86" spans="1:7" x14ac:dyDescent="0.25">
      <c r="A86" s="34"/>
      <c r="B86" s="34"/>
      <c r="C86" s="34"/>
      <c r="D86" s="67"/>
      <c r="E86" s="75"/>
      <c r="F86" s="34"/>
      <c r="G86" s="116"/>
    </row>
    <row r="87" spans="1:7" x14ac:dyDescent="0.25">
      <c r="A87" s="34"/>
      <c r="B87" s="34"/>
      <c r="C87" s="34"/>
      <c r="D87" s="67"/>
      <c r="E87" s="35"/>
      <c r="F87" s="34"/>
      <c r="G87" s="116"/>
    </row>
    <row r="88" spans="1:7" x14ac:dyDescent="0.25">
      <c r="A88" s="34"/>
      <c r="B88" s="34"/>
      <c r="C88" s="34"/>
      <c r="D88" s="67"/>
      <c r="E88" s="75"/>
      <c r="F88" s="34"/>
      <c r="G88" s="116"/>
    </row>
    <row r="89" spans="1:7" x14ac:dyDescent="0.25">
      <c r="A89" s="34"/>
      <c r="B89" s="34"/>
      <c r="C89" s="34"/>
      <c r="D89" s="67"/>
      <c r="E89" s="35"/>
      <c r="F89" s="34"/>
      <c r="G89" s="116"/>
    </row>
    <row r="90" spans="1:7" x14ac:dyDescent="0.25">
      <c r="A90" s="34"/>
      <c r="B90" s="34"/>
      <c r="C90" s="34"/>
      <c r="D90" s="67"/>
      <c r="E90" s="35"/>
      <c r="F90" s="34"/>
      <c r="G90" s="116"/>
    </row>
    <row r="91" spans="1:7" x14ac:dyDescent="0.25">
      <c r="A91" s="34"/>
      <c r="B91" s="34"/>
      <c r="C91" s="34"/>
      <c r="D91" s="67"/>
      <c r="E91" s="75"/>
      <c r="F91" s="34"/>
      <c r="G91" s="116"/>
    </row>
    <row r="92" spans="1:7" x14ac:dyDescent="0.25">
      <c r="A92" s="34"/>
      <c r="B92" s="34"/>
      <c r="C92" s="34"/>
      <c r="D92" s="67"/>
      <c r="E92" s="75"/>
      <c r="F92" s="34"/>
      <c r="G92" s="116"/>
    </row>
    <row r="93" spans="1:7" x14ac:dyDescent="0.25">
      <c r="A93" s="34"/>
      <c r="B93" s="34"/>
      <c r="C93" s="34"/>
      <c r="D93" s="67"/>
      <c r="E93" s="75"/>
      <c r="F93" s="34"/>
      <c r="G93" s="116"/>
    </row>
    <row r="94" spans="1:7" x14ac:dyDescent="0.25">
      <c r="A94" s="34"/>
      <c r="B94" s="34"/>
      <c r="C94" s="34"/>
      <c r="D94" s="67"/>
      <c r="E94" s="75"/>
      <c r="F94" s="34"/>
      <c r="G94" s="116"/>
    </row>
    <row r="95" spans="1:7" x14ac:dyDescent="0.25">
      <c r="A95" s="34"/>
      <c r="B95" s="34"/>
      <c r="C95" s="34"/>
      <c r="D95" s="67"/>
      <c r="E95" s="75"/>
      <c r="F95" s="34"/>
      <c r="G95" s="116"/>
    </row>
    <row r="96" spans="1:7" x14ac:dyDescent="0.25">
      <c r="A96" s="34"/>
      <c r="B96" s="34"/>
      <c r="C96" s="34"/>
      <c r="D96" s="67"/>
      <c r="E96" s="75"/>
      <c r="F96" s="34"/>
      <c r="G96" s="116"/>
    </row>
    <row r="97" spans="1:7" x14ac:dyDescent="0.25">
      <c r="A97" s="34"/>
      <c r="B97" s="34"/>
      <c r="C97" s="34"/>
      <c r="D97" s="67"/>
      <c r="E97" s="75"/>
      <c r="F97" s="34"/>
      <c r="G97" s="116"/>
    </row>
    <row r="98" spans="1:7" x14ac:dyDescent="0.25">
      <c r="A98" s="34"/>
      <c r="B98" s="34"/>
      <c r="C98" s="34"/>
      <c r="D98" s="67"/>
      <c r="E98" s="75"/>
      <c r="F98" s="34"/>
      <c r="G98" s="116"/>
    </row>
    <row r="99" spans="1:7" x14ac:dyDescent="0.25">
      <c r="A99" s="34"/>
      <c r="B99" s="34"/>
      <c r="C99" s="34"/>
      <c r="D99" s="67"/>
      <c r="E99" s="35"/>
      <c r="F99" s="34"/>
      <c r="G99" s="116"/>
    </row>
    <row r="100" spans="1:7" x14ac:dyDescent="0.25">
      <c r="A100" s="34"/>
      <c r="B100" s="34"/>
      <c r="C100" s="34"/>
      <c r="D100" s="67"/>
      <c r="E100" s="75"/>
      <c r="F100" s="34"/>
      <c r="G100" s="116"/>
    </row>
    <row r="101" spans="1:7" x14ac:dyDescent="0.25">
      <c r="A101" s="34"/>
      <c r="B101" s="34"/>
      <c r="C101" s="34"/>
      <c r="D101" s="67"/>
      <c r="E101" s="75"/>
      <c r="F101" s="34"/>
      <c r="G101" s="116"/>
    </row>
    <row r="102" spans="1:7" x14ac:dyDescent="0.25">
      <c r="A102" s="34"/>
      <c r="B102" s="34"/>
      <c r="C102" s="34"/>
      <c r="D102" s="67"/>
      <c r="E102" s="35"/>
      <c r="F102" s="34"/>
      <c r="G102" s="116"/>
    </row>
    <row r="103" spans="1:7" x14ac:dyDescent="0.25">
      <c r="A103" s="34"/>
      <c r="B103" s="34"/>
      <c r="C103" s="34"/>
      <c r="D103" s="67"/>
      <c r="E103" s="75"/>
      <c r="F103" s="34"/>
      <c r="G103" s="116"/>
    </row>
    <row r="104" spans="1:7" x14ac:dyDescent="0.25">
      <c r="A104" s="34"/>
      <c r="B104" s="34"/>
      <c r="C104" s="34"/>
      <c r="D104" s="67"/>
      <c r="E104" s="35"/>
      <c r="F104" s="34"/>
      <c r="G104" s="116"/>
    </row>
    <row r="105" spans="1:7" x14ac:dyDescent="0.25">
      <c r="A105" s="34"/>
      <c r="B105" s="34"/>
      <c r="C105" s="34"/>
      <c r="D105" s="67"/>
      <c r="E105" s="35"/>
      <c r="F105" s="34"/>
      <c r="G105" s="116"/>
    </row>
    <row r="106" spans="1:7" x14ac:dyDescent="0.25">
      <c r="A106" s="34"/>
      <c r="B106" s="34"/>
      <c r="C106" s="34"/>
      <c r="D106" s="67"/>
      <c r="E106" s="35"/>
      <c r="F106" s="34"/>
      <c r="G106" s="116"/>
    </row>
    <row r="107" spans="1:7" x14ac:dyDescent="0.25">
      <c r="A107" s="34"/>
      <c r="B107" s="34"/>
      <c r="C107" s="34"/>
      <c r="D107" s="67"/>
      <c r="E107" s="75"/>
      <c r="F107" s="34"/>
      <c r="G107" s="116"/>
    </row>
    <row r="108" spans="1:7" x14ac:dyDescent="0.25">
      <c r="A108" s="34"/>
      <c r="B108" s="34"/>
      <c r="C108" s="34"/>
      <c r="D108" s="67"/>
      <c r="E108" s="75"/>
      <c r="F108" s="34"/>
      <c r="G108" s="116"/>
    </row>
    <row r="109" spans="1:7" x14ac:dyDescent="0.25">
      <c r="A109" s="34"/>
      <c r="B109" s="34"/>
      <c r="C109" s="34"/>
      <c r="D109" s="67"/>
      <c r="E109" s="35"/>
      <c r="F109" s="34"/>
      <c r="G109" s="116"/>
    </row>
    <row r="110" spans="1:7" x14ac:dyDescent="0.25">
      <c r="A110" s="34"/>
      <c r="B110" s="34"/>
      <c r="C110" s="34"/>
      <c r="D110" s="67"/>
      <c r="E110" s="35"/>
      <c r="F110" s="34"/>
      <c r="G110" s="116"/>
    </row>
    <row r="111" spans="1:7" x14ac:dyDescent="0.25">
      <c r="A111" s="34"/>
      <c r="B111" s="34"/>
      <c r="C111" s="34"/>
      <c r="D111" s="67"/>
      <c r="E111" s="35"/>
      <c r="F111" s="34"/>
      <c r="G111" s="116"/>
    </row>
    <row r="112" spans="1:7" x14ac:dyDescent="0.25">
      <c r="A112" s="34"/>
      <c r="B112" s="34"/>
      <c r="C112" s="34"/>
      <c r="D112" s="67"/>
      <c r="E112" s="75"/>
      <c r="F112" s="34"/>
      <c r="G112" s="116"/>
    </row>
    <row r="113" spans="1:8" x14ac:dyDescent="0.25">
      <c r="A113" s="34"/>
      <c r="B113" s="34"/>
      <c r="C113" s="34"/>
      <c r="D113" s="67"/>
      <c r="E113" s="35"/>
      <c r="F113" s="34"/>
      <c r="G113" s="116"/>
    </row>
    <row r="114" spans="1:8" x14ac:dyDescent="0.25">
      <c r="A114" s="34"/>
      <c r="B114" s="34"/>
      <c r="C114" s="34"/>
      <c r="D114" s="67"/>
      <c r="E114" s="35"/>
      <c r="F114" s="34"/>
      <c r="G114" s="116"/>
    </row>
    <row r="115" spans="1:8" x14ac:dyDescent="0.25">
      <c r="A115" s="34"/>
      <c r="B115" s="34"/>
      <c r="C115" s="34"/>
      <c r="D115" s="67"/>
      <c r="E115" s="35"/>
      <c r="F115" s="34"/>
      <c r="G115" s="116"/>
      <c r="H115" s="120"/>
    </row>
    <row r="116" spans="1:8" x14ac:dyDescent="0.25">
      <c r="A116" s="34"/>
      <c r="B116" s="34"/>
      <c r="C116" s="34"/>
      <c r="D116" s="67"/>
      <c r="E116" s="75"/>
      <c r="F116" s="34"/>
      <c r="G116" s="116"/>
      <c r="H116" s="120"/>
    </row>
    <row r="117" spans="1:8" x14ac:dyDescent="0.25">
      <c r="A117" s="34"/>
      <c r="B117" s="34"/>
      <c r="C117" s="34"/>
      <c r="D117" s="67"/>
      <c r="E117" s="35"/>
      <c r="F117" s="34"/>
      <c r="G117" s="116"/>
      <c r="H117" s="120"/>
    </row>
    <row r="118" spans="1:8" x14ac:dyDescent="0.25">
      <c r="A118" s="34"/>
      <c r="B118" s="34"/>
      <c r="C118" s="34"/>
      <c r="D118" s="67"/>
      <c r="E118" s="35"/>
      <c r="F118" s="34"/>
      <c r="G118" s="116"/>
      <c r="H118" s="120"/>
    </row>
    <row r="119" spans="1:8" x14ac:dyDescent="0.25">
      <c r="A119" s="34"/>
      <c r="B119" s="34"/>
      <c r="C119" s="34"/>
      <c r="D119" s="67"/>
      <c r="E119" s="35"/>
      <c r="F119" s="34"/>
      <c r="G119" s="116"/>
      <c r="H119" s="120"/>
    </row>
    <row r="120" spans="1:8" x14ac:dyDescent="0.25">
      <c r="A120" s="34"/>
      <c r="B120" s="34"/>
      <c r="C120" s="34"/>
      <c r="D120" s="67"/>
      <c r="E120" s="35"/>
      <c r="F120" s="34"/>
      <c r="G120" s="116"/>
      <c r="H120" s="120"/>
    </row>
    <row r="121" spans="1:8" x14ac:dyDescent="0.25">
      <c r="A121" s="34"/>
      <c r="B121" s="34"/>
      <c r="C121" s="34"/>
      <c r="D121" s="67"/>
      <c r="E121" s="75"/>
      <c r="F121" s="34"/>
      <c r="G121" s="116"/>
      <c r="H121" s="120"/>
    </row>
    <row r="122" spans="1:8" x14ac:dyDescent="0.25">
      <c r="A122" s="22"/>
      <c r="B122" s="22"/>
      <c r="C122" s="22"/>
      <c r="D122" s="66"/>
      <c r="E122" s="60"/>
      <c r="F122" s="22"/>
      <c r="G122" s="41"/>
    </row>
    <row r="123" spans="1:8" x14ac:dyDescent="0.25">
      <c r="A123" s="34"/>
      <c r="B123" s="34"/>
      <c r="C123" s="34"/>
      <c r="D123" s="67"/>
      <c r="E123" s="75"/>
      <c r="F123" s="34"/>
      <c r="G123" s="116"/>
      <c r="H123" s="120"/>
    </row>
    <row r="124" spans="1:8" x14ac:dyDescent="0.25">
      <c r="A124" s="34"/>
      <c r="B124" s="34"/>
      <c r="C124" s="34"/>
      <c r="D124" s="67"/>
      <c r="E124" s="75"/>
      <c r="F124" s="34"/>
      <c r="G124" s="116"/>
      <c r="H124" s="120"/>
    </row>
    <row r="125" spans="1:8" x14ac:dyDescent="0.25">
      <c r="A125" s="34"/>
      <c r="B125" s="34"/>
      <c r="C125" s="34"/>
      <c r="D125" s="67"/>
      <c r="E125" s="75"/>
      <c r="F125" s="34"/>
      <c r="G125" s="116"/>
      <c r="H125" s="120"/>
    </row>
    <row r="126" spans="1:8" x14ac:dyDescent="0.25">
      <c r="A126" s="34"/>
      <c r="B126" s="34"/>
      <c r="C126" s="34"/>
      <c r="D126" s="67"/>
      <c r="E126" s="35"/>
      <c r="F126" s="34"/>
      <c r="G126" s="116"/>
      <c r="H126" s="120"/>
    </row>
    <row r="127" spans="1:8" x14ac:dyDescent="0.25">
      <c r="A127" s="34"/>
      <c r="B127" s="34"/>
      <c r="C127" s="34"/>
      <c r="D127" s="67"/>
      <c r="E127" s="75"/>
      <c r="F127" s="34"/>
      <c r="G127" s="116"/>
      <c r="H127" s="120"/>
    </row>
    <row r="128" spans="1:8" x14ac:dyDescent="0.25">
      <c r="A128" s="34"/>
      <c r="B128" s="34"/>
      <c r="C128" s="34"/>
      <c r="D128" s="67"/>
      <c r="E128" s="75"/>
      <c r="F128" s="34"/>
      <c r="G128" s="116"/>
      <c r="H128" s="120"/>
    </row>
    <row r="129" spans="1:8" x14ac:dyDescent="0.25">
      <c r="A129" s="34"/>
      <c r="B129" s="34"/>
      <c r="C129" s="34"/>
      <c r="D129" s="67"/>
      <c r="E129" s="75"/>
      <c r="F129" s="34"/>
      <c r="G129" s="116"/>
      <c r="H129" s="120"/>
    </row>
    <row r="130" spans="1:8" x14ac:dyDescent="0.25">
      <c r="A130" s="34"/>
      <c r="B130" s="34"/>
      <c r="C130" s="34"/>
      <c r="D130" s="67"/>
      <c r="E130" s="35"/>
      <c r="F130" s="34"/>
      <c r="G130" s="116"/>
      <c r="H130" s="120"/>
    </row>
    <row r="131" spans="1:8" x14ac:dyDescent="0.25">
      <c r="A131" s="34"/>
      <c r="B131" s="34"/>
      <c r="C131" s="34"/>
      <c r="D131" s="67"/>
      <c r="E131" s="35"/>
      <c r="F131" s="34"/>
      <c r="G131" s="116"/>
      <c r="H131" s="120"/>
    </row>
    <row r="132" spans="1:8" x14ac:dyDescent="0.25">
      <c r="A132" s="34"/>
      <c r="B132" s="34"/>
      <c r="C132" s="34"/>
      <c r="D132" s="67"/>
      <c r="E132" s="35"/>
      <c r="F132" s="34"/>
      <c r="G132" s="116"/>
      <c r="H132" s="120"/>
    </row>
    <row r="133" spans="1:8" x14ac:dyDescent="0.25">
      <c r="A133" s="34"/>
      <c r="B133" s="34"/>
      <c r="C133" s="34"/>
      <c r="D133" s="67"/>
      <c r="E133" s="35"/>
      <c r="F133" s="34"/>
      <c r="G133" s="116"/>
      <c r="H133" s="120"/>
    </row>
    <row r="134" spans="1:8" x14ac:dyDescent="0.25">
      <c r="A134" s="34"/>
      <c r="B134" s="34"/>
      <c r="C134" s="34"/>
      <c r="D134" s="67"/>
      <c r="E134" s="35"/>
      <c r="F134" s="34"/>
      <c r="G134" s="116"/>
      <c r="H134" s="120"/>
    </row>
    <row r="135" spans="1:8" x14ac:dyDescent="0.25">
      <c r="A135" s="34"/>
      <c r="B135" s="34"/>
      <c r="C135" s="34"/>
      <c r="D135" s="67"/>
      <c r="E135" s="35"/>
      <c r="F135" s="34"/>
      <c r="G135" s="116"/>
      <c r="H135" s="120"/>
    </row>
    <row r="136" spans="1:8" x14ac:dyDescent="0.25">
      <c r="A136" s="34"/>
      <c r="B136" s="34"/>
      <c r="C136" s="34"/>
      <c r="D136" s="67"/>
      <c r="E136" s="35"/>
      <c r="F136" s="34"/>
      <c r="G136" s="116"/>
      <c r="H136" s="120"/>
    </row>
    <row r="137" spans="1:8" x14ac:dyDescent="0.25">
      <c r="A137" s="34"/>
      <c r="B137" s="34"/>
      <c r="C137" s="34"/>
      <c r="D137" s="67"/>
      <c r="E137" s="35"/>
      <c r="F137" s="34"/>
      <c r="G137" s="116"/>
      <c r="H137" s="120"/>
    </row>
    <row r="138" spans="1:8" x14ac:dyDescent="0.25">
      <c r="A138" s="34"/>
      <c r="B138" s="34"/>
      <c r="C138" s="34"/>
      <c r="D138" s="67"/>
      <c r="E138" s="75"/>
      <c r="F138" s="34"/>
      <c r="G138" s="116"/>
      <c r="H138" s="120"/>
    </row>
    <row r="139" spans="1:8" x14ac:dyDescent="0.25">
      <c r="A139" s="34"/>
      <c r="B139" s="34"/>
      <c r="C139" s="34"/>
      <c r="D139" s="67"/>
      <c r="E139" s="35"/>
      <c r="F139" s="34"/>
      <c r="G139" s="116"/>
      <c r="H139" s="120"/>
    </row>
    <row r="140" spans="1:8" x14ac:dyDescent="0.25">
      <c r="A140" s="34"/>
      <c r="B140" s="34"/>
      <c r="C140" s="34"/>
      <c r="D140" s="67"/>
      <c r="E140" s="35"/>
      <c r="F140" s="34"/>
      <c r="G140" s="116"/>
      <c r="H140" s="120"/>
    </row>
    <row r="141" spans="1:8" x14ac:dyDescent="0.25">
      <c r="A141" s="34"/>
      <c r="B141" s="34"/>
      <c r="C141" s="34"/>
      <c r="D141" s="67"/>
      <c r="E141" s="35"/>
      <c r="F141" s="34"/>
      <c r="G141" s="116"/>
      <c r="H141" s="120"/>
    </row>
    <row r="142" spans="1:8" x14ac:dyDescent="0.25">
      <c r="A142" s="34"/>
      <c r="B142" s="34"/>
      <c r="C142" s="34"/>
      <c r="D142" s="67"/>
      <c r="E142" s="35"/>
      <c r="F142" s="34"/>
      <c r="G142" s="116"/>
      <c r="H142" s="120"/>
    </row>
    <row r="143" spans="1:8" x14ac:dyDescent="0.25">
      <c r="A143" s="34"/>
      <c r="B143" s="34"/>
      <c r="C143" s="34"/>
      <c r="D143" s="67"/>
      <c r="E143" s="35"/>
      <c r="F143" s="34"/>
      <c r="G143" s="116"/>
      <c r="H143" s="120"/>
    </row>
    <row r="144" spans="1:8" x14ac:dyDescent="0.25">
      <c r="A144" s="34"/>
      <c r="B144" s="34"/>
      <c r="C144" s="34"/>
      <c r="D144" s="67"/>
      <c r="E144" s="35"/>
      <c r="F144" s="34"/>
      <c r="G144" s="116"/>
      <c r="H144" s="120"/>
    </row>
    <row r="145" spans="1:8" x14ac:dyDescent="0.25">
      <c r="A145" s="34"/>
      <c r="B145" s="34"/>
      <c r="C145" s="34"/>
      <c r="D145" s="67"/>
      <c r="E145" s="35"/>
      <c r="F145" s="34"/>
      <c r="G145" s="116"/>
      <c r="H145" s="120"/>
    </row>
    <row r="146" spans="1:8" x14ac:dyDescent="0.25">
      <c r="A146" s="34"/>
      <c r="B146" s="34"/>
      <c r="C146" s="34"/>
      <c r="D146" s="67"/>
      <c r="E146" s="35"/>
      <c r="F146" s="34"/>
      <c r="G146" s="116"/>
      <c r="H146" s="120"/>
    </row>
    <row r="147" spans="1:8" x14ac:dyDescent="0.25">
      <c r="A147" s="34"/>
      <c r="B147" s="34"/>
      <c r="C147" s="34"/>
      <c r="D147" s="67"/>
      <c r="E147" s="35"/>
      <c r="F147" s="34"/>
      <c r="G147" s="116"/>
      <c r="H147" s="120"/>
    </row>
    <row r="148" spans="1:8" x14ac:dyDescent="0.25">
      <c r="A148" s="34"/>
      <c r="B148" s="34"/>
      <c r="C148" s="34"/>
      <c r="D148" s="67"/>
      <c r="E148" s="35"/>
      <c r="F148" s="34"/>
      <c r="G148" s="116"/>
      <c r="H148" s="120"/>
    </row>
    <row r="149" spans="1:8" x14ac:dyDescent="0.25">
      <c r="A149" s="34"/>
      <c r="B149" s="34"/>
      <c r="C149" s="34"/>
      <c r="D149" s="67"/>
      <c r="E149" s="75"/>
      <c r="F149" s="34"/>
      <c r="G149" s="116"/>
      <c r="H149" s="120"/>
    </row>
    <row r="150" spans="1:8" x14ac:dyDescent="0.25">
      <c r="A150" s="34"/>
      <c r="B150" s="34"/>
      <c r="C150" s="34"/>
      <c r="D150" s="67"/>
      <c r="E150" s="35"/>
      <c r="F150" s="34"/>
      <c r="G150" s="116"/>
      <c r="H150" s="120"/>
    </row>
    <row r="151" spans="1:8" x14ac:dyDescent="0.25">
      <c r="A151" s="34"/>
      <c r="B151" s="34"/>
      <c r="C151" s="34"/>
      <c r="D151" s="67"/>
      <c r="E151" s="35"/>
      <c r="F151" s="34"/>
      <c r="G151" s="116"/>
      <c r="H151" s="120"/>
    </row>
    <row r="152" spans="1:8" x14ac:dyDescent="0.25">
      <c r="A152" s="34"/>
      <c r="B152" s="34"/>
      <c r="C152" s="34"/>
      <c r="D152" s="67"/>
      <c r="E152" s="35"/>
      <c r="F152" s="34"/>
      <c r="G152" s="116"/>
      <c r="H152" s="120"/>
    </row>
    <row r="153" spans="1:8" x14ac:dyDescent="0.25">
      <c r="A153" s="34"/>
      <c r="B153" s="34"/>
      <c r="C153" s="34"/>
      <c r="D153" s="67"/>
      <c r="E153" s="35"/>
      <c r="F153" s="34"/>
      <c r="G153" s="116"/>
      <c r="H153" s="120"/>
    </row>
    <row r="154" spans="1:8" x14ac:dyDescent="0.25">
      <c r="A154" s="34"/>
      <c r="B154" s="34"/>
      <c r="C154" s="34"/>
      <c r="D154" s="67"/>
      <c r="E154" s="35"/>
      <c r="F154" s="34"/>
      <c r="G154" s="116"/>
      <c r="H154" s="120"/>
    </row>
    <row r="155" spans="1:8" x14ac:dyDescent="0.25">
      <c r="A155" s="34"/>
      <c r="B155" s="34"/>
      <c r="C155" s="34"/>
      <c r="D155" s="67"/>
      <c r="E155" s="35"/>
      <c r="F155" s="34"/>
      <c r="G155" s="116"/>
      <c r="H155" s="120"/>
    </row>
    <row r="156" spans="1:8" x14ac:dyDescent="0.25">
      <c r="A156" s="34"/>
      <c r="B156" s="34"/>
      <c r="C156" s="34"/>
      <c r="D156" s="67"/>
      <c r="E156" s="35"/>
      <c r="F156" s="34"/>
      <c r="G156" s="116"/>
      <c r="H156" s="120"/>
    </row>
    <row r="157" spans="1:8" x14ac:dyDescent="0.25">
      <c r="A157" s="34"/>
      <c r="B157" s="34"/>
      <c r="C157" s="34"/>
      <c r="D157" s="67"/>
      <c r="E157" s="35"/>
      <c r="F157" s="34"/>
      <c r="G157" s="116"/>
      <c r="H157" s="120"/>
    </row>
    <row r="158" spans="1:8" x14ac:dyDescent="0.25">
      <c r="A158" s="34"/>
      <c r="B158" s="34"/>
      <c r="C158" s="34"/>
      <c r="D158" s="67"/>
      <c r="E158" s="75"/>
      <c r="F158" s="34"/>
      <c r="G158" s="116"/>
      <c r="H158" s="120"/>
    </row>
    <row r="159" spans="1:8" x14ac:dyDescent="0.25">
      <c r="A159" s="34"/>
      <c r="B159" s="34"/>
      <c r="C159" s="34"/>
      <c r="D159" s="67"/>
      <c r="E159" s="75"/>
      <c r="F159" s="34"/>
      <c r="G159" s="116"/>
      <c r="H159" s="120"/>
    </row>
    <row r="160" spans="1:8" x14ac:dyDescent="0.25">
      <c r="A160" s="34"/>
      <c r="B160" s="34"/>
      <c r="C160" s="34"/>
      <c r="D160" s="67"/>
      <c r="E160" s="75"/>
      <c r="F160" s="34"/>
      <c r="G160" s="116"/>
      <c r="H160" s="120"/>
    </row>
    <row r="161" spans="1:8" x14ac:dyDescent="0.25">
      <c r="A161" s="34"/>
      <c r="B161" s="34"/>
      <c r="C161" s="34"/>
      <c r="D161" s="67"/>
      <c r="E161" s="75"/>
      <c r="F161" s="34"/>
      <c r="G161" s="116"/>
      <c r="H161" s="120"/>
    </row>
    <row r="162" spans="1:8" x14ac:dyDescent="0.25">
      <c r="A162" s="34"/>
      <c r="B162" s="34"/>
      <c r="C162" s="34"/>
      <c r="D162" s="67"/>
      <c r="E162" s="75"/>
      <c r="F162" s="34"/>
      <c r="G162" s="116"/>
      <c r="H162" s="120"/>
    </row>
    <row r="163" spans="1:8" x14ac:dyDescent="0.25">
      <c r="A163" s="34"/>
      <c r="B163" s="34"/>
      <c r="C163" s="34"/>
      <c r="D163" s="67"/>
      <c r="E163" s="75"/>
      <c r="F163" s="34"/>
      <c r="G163" s="116"/>
      <c r="H163" s="120"/>
    </row>
    <row r="164" spans="1:8" x14ac:dyDescent="0.25">
      <c r="A164" s="34"/>
      <c r="B164" s="34"/>
      <c r="C164" s="34"/>
      <c r="D164" s="67"/>
      <c r="E164" s="35"/>
      <c r="F164" s="34"/>
      <c r="G164" s="116"/>
      <c r="H164" s="120"/>
    </row>
    <row r="165" spans="1:8" x14ac:dyDescent="0.25">
      <c r="A165" s="34"/>
      <c r="B165" s="34"/>
      <c r="C165" s="34"/>
      <c r="D165" s="67"/>
      <c r="E165" s="35"/>
      <c r="F165" s="34"/>
      <c r="G165" s="116"/>
      <c r="H165" s="120"/>
    </row>
    <row r="166" spans="1:8" x14ac:dyDescent="0.25">
      <c r="A166" s="34"/>
      <c r="B166" s="34"/>
      <c r="C166" s="34"/>
      <c r="D166" s="67"/>
      <c r="E166" s="35"/>
      <c r="F166" s="34"/>
      <c r="G166" s="116"/>
      <c r="H166" s="120"/>
    </row>
    <row r="167" spans="1:8" x14ac:dyDescent="0.25">
      <c r="A167" s="34"/>
      <c r="B167" s="34"/>
      <c r="C167" s="34"/>
      <c r="D167" s="67"/>
      <c r="E167" s="35"/>
      <c r="F167" s="34"/>
      <c r="G167" s="116"/>
      <c r="H167" s="120"/>
    </row>
    <row r="168" spans="1:8" x14ac:dyDescent="0.25">
      <c r="A168" s="34"/>
      <c r="B168" s="34"/>
      <c r="C168" s="34"/>
      <c r="D168" s="67"/>
      <c r="E168" s="35"/>
      <c r="F168" s="34"/>
      <c r="G168" s="116"/>
      <c r="H168" s="120"/>
    </row>
    <row r="169" spans="1:8" x14ac:dyDescent="0.25">
      <c r="A169" s="34"/>
      <c r="B169" s="34"/>
      <c r="C169" s="34"/>
      <c r="D169" s="67"/>
      <c r="E169" s="35"/>
      <c r="F169" s="34"/>
      <c r="G169" s="116"/>
      <c r="H169" s="120"/>
    </row>
    <row r="170" spans="1:8" x14ac:dyDescent="0.25">
      <c r="A170" s="34"/>
      <c r="B170" s="34"/>
      <c r="C170" s="34"/>
      <c r="D170" s="67"/>
      <c r="E170" s="35"/>
      <c r="F170" s="34"/>
      <c r="G170" s="116"/>
      <c r="H170" s="120"/>
    </row>
    <row r="171" spans="1:8" x14ac:dyDescent="0.25">
      <c r="A171" s="34"/>
      <c r="B171" s="34"/>
      <c r="C171" s="34"/>
      <c r="D171" s="67"/>
      <c r="E171" s="35"/>
      <c r="F171" s="34"/>
      <c r="G171" s="116"/>
      <c r="H171" s="120"/>
    </row>
    <row r="172" spans="1:8" x14ac:dyDescent="0.25">
      <c r="A172" s="34"/>
      <c r="B172" s="34"/>
      <c r="C172" s="34"/>
      <c r="D172" s="67"/>
      <c r="E172" s="35"/>
      <c r="F172" s="34"/>
      <c r="G172" s="116"/>
      <c r="H172" s="120"/>
    </row>
    <row r="173" spans="1:8" x14ac:dyDescent="0.25">
      <c r="A173" s="34"/>
      <c r="B173" s="34"/>
      <c r="C173" s="34"/>
      <c r="D173" s="67"/>
      <c r="E173" s="35"/>
      <c r="F173" s="34"/>
      <c r="G173" s="116"/>
      <c r="H173" s="120"/>
    </row>
    <row r="174" spans="1:8" x14ac:dyDescent="0.25">
      <c r="A174" s="34"/>
      <c r="B174" s="34"/>
      <c r="C174" s="34"/>
      <c r="D174" s="67"/>
      <c r="E174" s="35"/>
      <c r="F174" s="34"/>
      <c r="G174" s="116"/>
      <c r="H174" s="120"/>
    </row>
    <row r="175" spans="1:8" x14ac:dyDescent="0.25">
      <c r="A175" s="34"/>
      <c r="B175" s="34"/>
      <c r="C175" s="34"/>
      <c r="D175" s="67"/>
      <c r="E175" s="35"/>
      <c r="F175" s="34"/>
      <c r="G175" s="116"/>
      <c r="H175" s="120"/>
    </row>
    <row r="176" spans="1:8" x14ac:dyDescent="0.25">
      <c r="A176" s="34"/>
      <c r="B176" s="34"/>
      <c r="C176" s="34"/>
      <c r="D176" s="67"/>
      <c r="E176" s="35"/>
      <c r="F176" s="34"/>
      <c r="G176" s="116"/>
      <c r="H176" s="120"/>
    </row>
    <row r="177" spans="1:8" x14ac:dyDescent="0.25">
      <c r="A177" s="34"/>
      <c r="B177" s="34"/>
      <c r="C177" s="34"/>
      <c r="D177" s="67"/>
      <c r="E177" s="35"/>
      <c r="F177" s="34"/>
      <c r="G177" s="116"/>
      <c r="H177" s="120"/>
    </row>
    <row r="178" spans="1:8" x14ac:dyDescent="0.25">
      <c r="A178" s="34"/>
      <c r="B178" s="34"/>
      <c r="C178" s="34"/>
      <c r="D178" s="67"/>
      <c r="E178" s="35"/>
      <c r="F178" s="34"/>
      <c r="G178" s="116"/>
      <c r="H178" s="120"/>
    </row>
    <row r="179" spans="1:8" x14ac:dyDescent="0.25">
      <c r="A179" s="34"/>
      <c r="B179" s="34"/>
      <c r="C179" s="34"/>
      <c r="D179" s="67"/>
      <c r="E179" s="35"/>
      <c r="F179" s="34"/>
      <c r="G179" s="116"/>
      <c r="H179" s="120"/>
    </row>
    <row r="180" spans="1:8" x14ac:dyDescent="0.25">
      <c r="A180" s="34"/>
      <c r="B180" s="34"/>
      <c r="C180" s="34"/>
      <c r="D180" s="67"/>
      <c r="E180" s="35"/>
      <c r="F180" s="34"/>
      <c r="G180" s="116"/>
      <c r="H180" s="120"/>
    </row>
    <row r="181" spans="1:8" x14ac:dyDescent="0.25">
      <c r="A181" s="34"/>
      <c r="B181" s="34"/>
      <c r="C181" s="34"/>
      <c r="D181" s="67"/>
      <c r="E181" s="35"/>
      <c r="F181" s="34"/>
      <c r="G181" s="116"/>
      <c r="H181" s="120"/>
    </row>
    <row r="182" spans="1:8" x14ac:dyDescent="0.25">
      <c r="A182" s="34"/>
      <c r="B182" s="34"/>
      <c r="C182" s="34"/>
      <c r="D182" s="67"/>
      <c r="E182" s="35"/>
      <c r="F182" s="34"/>
      <c r="G182" s="116"/>
      <c r="H182" s="120"/>
    </row>
    <row r="183" spans="1:8" x14ac:dyDescent="0.25">
      <c r="A183" s="34"/>
      <c r="B183" s="34"/>
      <c r="C183" s="34"/>
      <c r="D183" s="67"/>
      <c r="E183" s="35"/>
      <c r="F183" s="34"/>
      <c r="G183" s="116"/>
      <c r="H183" s="120"/>
    </row>
    <row r="184" spans="1:8" x14ac:dyDescent="0.25">
      <c r="A184" s="34"/>
      <c r="B184" s="34"/>
      <c r="C184" s="34"/>
      <c r="D184" s="67"/>
      <c r="E184" s="35"/>
      <c r="F184" s="34"/>
      <c r="G184" s="116"/>
      <c r="H184" s="120"/>
    </row>
    <row r="185" spans="1:8" x14ac:dyDescent="0.25">
      <c r="A185" s="34"/>
      <c r="B185" s="34"/>
      <c r="C185" s="34"/>
      <c r="D185" s="67"/>
      <c r="E185" s="35"/>
      <c r="F185" s="34"/>
      <c r="G185" s="116"/>
      <c r="H185" s="120"/>
    </row>
    <row r="186" spans="1:8" x14ac:dyDescent="0.25">
      <c r="A186" s="34"/>
      <c r="B186" s="34"/>
      <c r="C186" s="34"/>
      <c r="D186" s="67"/>
      <c r="E186" s="35"/>
      <c r="F186" s="34"/>
      <c r="G186" s="116"/>
      <c r="H186" s="120"/>
    </row>
    <row r="187" spans="1:8" x14ac:dyDescent="0.25">
      <c r="A187" s="34"/>
      <c r="B187" s="34"/>
      <c r="C187" s="34"/>
      <c r="D187" s="67"/>
      <c r="E187" s="35"/>
      <c r="F187" s="34"/>
      <c r="G187" s="116"/>
      <c r="H187" s="120"/>
    </row>
    <row r="188" spans="1:8" x14ac:dyDescent="0.25">
      <c r="A188" s="34"/>
      <c r="B188" s="34"/>
      <c r="C188" s="34"/>
      <c r="D188" s="67"/>
      <c r="E188" s="35"/>
      <c r="F188" s="34"/>
      <c r="G188" s="116"/>
      <c r="H188" s="120"/>
    </row>
    <row r="189" spans="1:8" x14ac:dyDescent="0.25">
      <c r="A189" s="34"/>
      <c r="B189" s="34"/>
      <c r="C189" s="34"/>
      <c r="D189" s="67"/>
      <c r="E189" s="75"/>
      <c r="F189" s="34"/>
      <c r="G189" s="116"/>
      <c r="H189" s="120"/>
    </row>
    <row r="190" spans="1:8" x14ac:dyDescent="0.25">
      <c r="A190" s="34"/>
      <c r="B190" s="34"/>
      <c r="C190" s="34"/>
      <c r="D190" s="67"/>
      <c r="E190" s="75"/>
      <c r="F190" s="34"/>
      <c r="G190" s="116"/>
      <c r="H190" s="120"/>
    </row>
    <row r="191" spans="1:8" x14ac:dyDescent="0.25">
      <c r="A191" s="34"/>
      <c r="B191" s="34"/>
      <c r="C191" s="34"/>
      <c r="D191" s="67"/>
      <c r="E191" s="75"/>
      <c r="F191" s="34"/>
      <c r="G191" s="116"/>
      <c r="H191" s="120"/>
    </row>
    <row r="192" spans="1:8" x14ac:dyDescent="0.25">
      <c r="A192" s="34"/>
      <c r="B192" s="34"/>
      <c r="C192" s="34"/>
      <c r="D192" s="67"/>
      <c r="E192" s="75"/>
      <c r="F192" s="34"/>
      <c r="G192" s="116"/>
      <c r="H192" s="120"/>
    </row>
    <row r="193" spans="1:8" x14ac:dyDescent="0.25">
      <c r="A193" s="34"/>
      <c r="B193" s="34"/>
      <c r="C193" s="34"/>
      <c r="D193" s="67"/>
      <c r="E193" s="35"/>
      <c r="F193" s="34"/>
      <c r="G193" s="116"/>
      <c r="H193" s="120"/>
    </row>
    <row r="194" spans="1:8" x14ac:dyDescent="0.25">
      <c r="A194" s="34"/>
      <c r="B194" s="34"/>
      <c r="C194" s="34"/>
      <c r="D194" s="67"/>
      <c r="E194" s="35"/>
      <c r="F194" s="34"/>
      <c r="G194" s="116"/>
      <c r="H194" s="120"/>
    </row>
    <row r="195" spans="1:8" x14ac:dyDescent="0.25">
      <c r="A195" s="34"/>
      <c r="B195" s="34"/>
      <c r="C195" s="34"/>
      <c r="D195" s="67"/>
      <c r="E195" s="35"/>
      <c r="F195" s="34"/>
      <c r="G195" s="116"/>
      <c r="H195" s="120"/>
    </row>
    <row r="196" spans="1:8" x14ac:dyDescent="0.25">
      <c r="A196" s="34"/>
      <c r="B196" s="34"/>
      <c r="C196" s="34"/>
      <c r="D196" s="67"/>
      <c r="E196" s="35"/>
      <c r="F196" s="34"/>
      <c r="G196" s="116"/>
      <c r="H196" s="120"/>
    </row>
    <row r="197" spans="1:8" x14ac:dyDescent="0.25">
      <c r="A197" s="34"/>
      <c r="B197" s="34"/>
      <c r="C197" s="34"/>
      <c r="D197" s="67"/>
      <c r="E197" s="35"/>
      <c r="F197" s="34"/>
      <c r="G197" s="116"/>
      <c r="H197" s="120"/>
    </row>
    <row r="198" spans="1:8" x14ac:dyDescent="0.25">
      <c r="A198" s="34"/>
      <c r="B198" s="34"/>
      <c r="C198" s="34"/>
      <c r="D198" s="67"/>
      <c r="E198" s="35"/>
      <c r="F198" s="34"/>
      <c r="G198" s="116"/>
      <c r="H198" s="120"/>
    </row>
    <row r="199" spans="1:8" x14ac:dyDescent="0.25">
      <c r="A199" s="34"/>
      <c r="B199" s="34"/>
      <c r="C199" s="34"/>
      <c r="D199" s="67"/>
      <c r="E199" s="35"/>
      <c r="F199" s="34"/>
      <c r="G199" s="116"/>
      <c r="H199" s="120"/>
    </row>
    <row r="200" spans="1:8" x14ac:dyDescent="0.25">
      <c r="A200" s="34"/>
      <c r="B200" s="34"/>
      <c r="C200" s="34"/>
      <c r="D200" s="67"/>
      <c r="E200" s="35"/>
      <c r="F200" s="34"/>
      <c r="G200" s="116"/>
      <c r="H200" s="120"/>
    </row>
    <row r="201" spans="1:8" x14ac:dyDescent="0.25">
      <c r="A201" s="34"/>
      <c r="B201" s="34"/>
      <c r="C201" s="34"/>
      <c r="D201" s="67"/>
      <c r="E201" s="35"/>
      <c r="F201" s="34"/>
      <c r="G201" s="116"/>
      <c r="H201" s="120"/>
    </row>
    <row r="202" spans="1:8" x14ac:dyDescent="0.25">
      <c r="A202" s="34"/>
      <c r="B202" s="34"/>
      <c r="C202" s="34"/>
      <c r="D202" s="67"/>
      <c r="E202" s="35"/>
      <c r="F202" s="34"/>
      <c r="G202" s="116"/>
      <c r="H202" s="120"/>
    </row>
    <row r="203" spans="1:8" x14ac:dyDescent="0.25">
      <c r="A203" s="34"/>
      <c r="B203" s="34"/>
      <c r="C203" s="34"/>
      <c r="D203" s="67"/>
      <c r="E203" s="35"/>
      <c r="F203" s="34"/>
      <c r="G203" s="116"/>
      <c r="H203" s="120"/>
    </row>
    <row r="204" spans="1:8" x14ac:dyDescent="0.25">
      <c r="A204" s="34"/>
      <c r="B204" s="34"/>
      <c r="C204" s="34"/>
      <c r="D204" s="67"/>
      <c r="E204" s="35"/>
      <c r="F204" s="34"/>
      <c r="G204" s="116"/>
      <c r="H204" s="120"/>
    </row>
    <row r="205" spans="1:8" x14ac:dyDescent="0.25">
      <c r="A205" s="34"/>
      <c r="B205" s="34"/>
      <c r="C205" s="34"/>
      <c r="D205" s="67"/>
      <c r="E205" s="35"/>
      <c r="F205" s="34"/>
      <c r="G205" s="116"/>
      <c r="H205" s="120"/>
    </row>
    <row r="206" spans="1:8" x14ac:dyDescent="0.25">
      <c r="A206" s="34"/>
      <c r="B206" s="34"/>
      <c r="C206" s="34"/>
      <c r="D206" s="67"/>
      <c r="E206" s="35"/>
      <c r="F206" s="34"/>
      <c r="G206" s="116"/>
      <c r="H206" s="120"/>
    </row>
    <row r="207" spans="1:8" x14ac:dyDescent="0.25">
      <c r="A207" s="34"/>
      <c r="B207" s="34"/>
      <c r="C207" s="34"/>
      <c r="D207" s="67"/>
      <c r="E207" s="35"/>
      <c r="F207" s="34"/>
      <c r="G207" s="116"/>
      <c r="H207" s="120"/>
    </row>
    <row r="208" spans="1:8" x14ac:dyDescent="0.25">
      <c r="A208" s="34"/>
      <c r="B208" s="34"/>
      <c r="C208" s="34"/>
      <c r="D208" s="67"/>
      <c r="E208" s="35"/>
      <c r="F208" s="34"/>
      <c r="G208" s="116"/>
      <c r="H208" s="120"/>
    </row>
    <row r="209" spans="1:8" x14ac:dyDescent="0.25">
      <c r="A209" s="34"/>
      <c r="B209" s="34"/>
      <c r="C209" s="34"/>
      <c r="D209" s="67"/>
      <c r="E209" s="35"/>
      <c r="F209" s="34"/>
      <c r="G209" s="116"/>
      <c r="H209" s="120"/>
    </row>
    <row r="210" spans="1:8" x14ac:dyDescent="0.25">
      <c r="A210" s="34"/>
      <c r="B210" s="34"/>
      <c r="C210" s="34"/>
      <c r="D210" s="67"/>
      <c r="E210" s="35"/>
      <c r="F210" s="34"/>
      <c r="G210" s="116"/>
      <c r="H210" s="120"/>
    </row>
    <row r="211" spans="1:8" x14ac:dyDescent="0.25">
      <c r="A211" s="34"/>
      <c r="B211" s="34"/>
      <c r="C211" s="34"/>
      <c r="D211" s="67"/>
      <c r="E211" s="35"/>
      <c r="F211" s="34"/>
      <c r="G211" s="116"/>
      <c r="H211" s="120"/>
    </row>
    <row r="212" spans="1:8" x14ac:dyDescent="0.25">
      <c r="A212" s="34"/>
      <c r="B212" s="34"/>
      <c r="C212" s="34"/>
      <c r="D212" s="67"/>
      <c r="E212" s="35"/>
      <c r="F212" s="34"/>
      <c r="G212" s="116"/>
      <c r="H212" s="120"/>
    </row>
    <row r="213" spans="1:8" x14ac:dyDescent="0.25">
      <c r="A213" s="34"/>
      <c r="B213" s="34"/>
      <c r="C213" s="34"/>
      <c r="D213" s="67"/>
      <c r="E213" s="35"/>
      <c r="F213" s="34"/>
      <c r="G213" s="116"/>
      <c r="H213" s="120"/>
    </row>
    <row r="214" spans="1:8" x14ac:dyDescent="0.25">
      <c r="A214" s="34"/>
      <c r="B214" s="34"/>
      <c r="C214" s="34"/>
      <c r="D214" s="67"/>
      <c r="E214" s="35"/>
      <c r="F214" s="34"/>
      <c r="G214" s="116"/>
      <c r="H214" s="12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EFE2E-37F9-467C-B7A7-99C8589E027C}">
  <sheetPr codeName="Planilha11"/>
  <dimension ref="B2:L17"/>
  <sheetViews>
    <sheetView zoomScale="55" zoomScaleNormal="55" workbookViewId="0">
      <selection activeCell="D63" sqref="D63"/>
    </sheetView>
  </sheetViews>
  <sheetFormatPr defaultRowHeight="15" x14ac:dyDescent="0.25"/>
  <cols>
    <col min="1" max="1" width="9.140625" style="17"/>
    <col min="2" max="2" width="31.140625" style="17" bestFit="1" customWidth="1"/>
    <col min="3" max="3" width="9.140625" style="17"/>
    <col min="4" max="4" width="27.28515625" style="17" bestFit="1" customWidth="1"/>
    <col min="5" max="5" width="9.140625" style="17"/>
    <col min="6" max="6" width="27" style="17" bestFit="1" customWidth="1"/>
    <col min="7" max="16384" width="9.140625" style="17"/>
  </cols>
  <sheetData>
    <row r="2" spans="2:12" ht="15.75" thickBot="1" x14ac:dyDescent="0.3"/>
    <row r="3" spans="2:12" ht="30" thickTop="1" thickBot="1" x14ac:dyDescent="0.5">
      <c r="B3" s="71" t="s">
        <v>205</v>
      </c>
      <c r="D3" s="71" t="s">
        <v>206</v>
      </c>
      <c r="F3" s="71" t="s">
        <v>207</v>
      </c>
    </row>
    <row r="4" spans="2:12" ht="21" customHeight="1" thickTop="1" thickBot="1" x14ac:dyDescent="0.4">
      <c r="B4" s="259"/>
      <c r="D4" s="260"/>
      <c r="F4" s="260"/>
    </row>
    <row r="5" spans="2:12" ht="15.75" thickTop="1" x14ac:dyDescent="0.25">
      <c r="L5" s="335">
        <v>45389</v>
      </c>
    </row>
    <row r="7" spans="2:12" ht="15.75" thickBot="1" x14ac:dyDescent="0.3"/>
    <row r="8" spans="2:12" ht="30" thickTop="1" thickBot="1" x14ac:dyDescent="0.5">
      <c r="B8" s="71" t="s">
        <v>47</v>
      </c>
      <c r="D8" s="71" t="s">
        <v>208</v>
      </c>
      <c r="F8" s="71" t="s">
        <v>195</v>
      </c>
    </row>
    <row r="9" spans="2:12" ht="24" customHeight="1" thickTop="1" thickBot="1" x14ac:dyDescent="0.4">
      <c r="B9" s="258"/>
      <c r="D9" s="262"/>
      <c r="F9" s="261"/>
    </row>
    <row r="10" spans="2:12" ht="29.25" thickTop="1" x14ac:dyDescent="0.45">
      <c r="F10" s="59"/>
    </row>
    <row r="12" spans="2:12" ht="15.75" thickBot="1" x14ac:dyDescent="0.3"/>
    <row r="13" spans="2:12" ht="30" thickTop="1" thickBot="1" x14ac:dyDescent="0.5">
      <c r="B13" s="71" t="s">
        <v>209</v>
      </c>
      <c r="D13" s="71" t="s">
        <v>336</v>
      </c>
    </row>
    <row r="14" spans="2:12" ht="24" customHeight="1" thickTop="1" thickBot="1" x14ac:dyDescent="0.3">
      <c r="B14" s="353"/>
      <c r="D14" s="261"/>
    </row>
    <row r="15" spans="2:12" ht="22.5" customHeight="1" thickTop="1" thickBot="1" x14ac:dyDescent="0.3">
      <c r="B15" s="353"/>
    </row>
    <row r="16" spans="2:12" ht="18" customHeight="1" thickTop="1" thickBot="1" x14ac:dyDescent="0.3">
      <c r="B16" s="353"/>
    </row>
    <row r="17" ht="31.5" customHeight="1" thickTop="1" x14ac:dyDescent="0.25"/>
  </sheetData>
  <mergeCells count="1">
    <mergeCell ref="B14:B16"/>
  </mergeCells>
  <dataValidations count="2">
    <dataValidation type="list" allowBlank="1" showInputMessage="1" showErrorMessage="1" sqref="F9" xr:uid="{36F4E2B8-516F-4CE7-B531-711ABBCDBA8A}">
      <formula1>"CAIXA, CREDITO , DEBITO , DINHEIRO, PIX, NÃO INFORMADO,JURIDICA,FISICA"</formula1>
    </dataValidation>
    <dataValidation type="list" allowBlank="1" showInputMessage="1" showErrorMessage="1" sqref="D14" xr:uid="{825F50B9-8B17-42A9-8B19-532EEB592E50}">
      <formula1>"INGREDIENTES, GASOLINA, MECÂNICO, FUNCIONÁRIO,COMPRESSÍVEIS, OUTROS, QUIOSQUE"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1E9D1-6435-4CCC-9237-828F9C022E5A}">
  <sheetPr codeName="Planilha5">
    <pageSetUpPr fitToPage="1"/>
  </sheetPr>
  <dimension ref="A1:BW2017"/>
  <sheetViews>
    <sheetView zoomScale="73" zoomScaleNormal="73" workbookViewId="0">
      <selection activeCell="G59" sqref="G59"/>
    </sheetView>
  </sheetViews>
  <sheetFormatPr defaultRowHeight="15.75" x14ac:dyDescent="0.25"/>
  <cols>
    <col min="1" max="1" width="24.85546875" style="27" customWidth="1"/>
    <col min="2" max="2" width="13" style="27" customWidth="1"/>
    <col min="3" max="3" width="30.85546875" style="27" customWidth="1"/>
    <col min="4" max="4" width="13.28515625" style="27" customWidth="1"/>
    <col min="5" max="5" width="13.85546875" bestFit="1" customWidth="1"/>
    <col min="6" max="6" width="19.5703125" customWidth="1"/>
    <col min="7" max="7" width="15.85546875" bestFit="1" customWidth="1"/>
    <col min="8" max="8" width="16.85546875" bestFit="1" customWidth="1"/>
    <col min="9" max="9" width="14.28515625" bestFit="1" customWidth="1"/>
    <col min="10" max="11" width="14.28515625" customWidth="1"/>
    <col min="12" max="12" width="14.28515625" style="562" customWidth="1"/>
    <col min="13" max="13" width="16.140625" customWidth="1"/>
    <col min="14" max="14" width="14.5703125" bestFit="1" customWidth="1"/>
    <col min="15" max="15" width="14.28515625" customWidth="1"/>
    <col min="16" max="16" width="18.5703125" style="185" customWidth="1"/>
    <col min="17" max="17" width="16.85546875" bestFit="1" customWidth="1"/>
    <col min="18" max="18" width="11" bestFit="1" customWidth="1"/>
    <col min="19" max="19" width="21.28515625" bestFit="1" customWidth="1"/>
    <col min="20" max="20" width="24.42578125" bestFit="1" customWidth="1"/>
    <col min="21" max="23" width="19.42578125" bestFit="1" customWidth="1"/>
    <col min="24" max="24" width="14" customWidth="1"/>
    <col min="25" max="25" width="13.7109375" customWidth="1"/>
    <col min="26" max="26" width="24.42578125" bestFit="1" customWidth="1"/>
    <col min="27" max="27" width="15.28515625" bestFit="1" customWidth="1"/>
    <col min="28" max="30" width="16" bestFit="1" customWidth="1"/>
    <col min="31" max="31" width="13.85546875" bestFit="1" customWidth="1"/>
    <col min="32" max="32" width="26.5703125" bestFit="1" customWidth="1"/>
    <col min="33" max="33" width="15.28515625" bestFit="1" customWidth="1"/>
    <col min="34" max="34" width="15.85546875" bestFit="1" customWidth="1"/>
    <col min="35" max="36" width="17.28515625" bestFit="1" customWidth="1"/>
    <col min="37" max="37" width="17.7109375" bestFit="1" customWidth="1"/>
    <col min="38" max="39" width="14.28515625" bestFit="1" customWidth="1"/>
    <col min="40" max="40" width="15.140625" style="44" bestFit="1" customWidth="1"/>
    <col min="41" max="41" width="25.5703125" style="331" customWidth="1"/>
    <col min="42" max="42" width="18.5703125" bestFit="1" customWidth="1"/>
    <col min="43" max="43" width="24" style="2" bestFit="1" customWidth="1"/>
    <col min="44" max="44" width="13.5703125" style="2" bestFit="1" customWidth="1"/>
    <col min="45" max="45" width="18.28515625" style="36" bestFit="1" customWidth="1"/>
    <col min="46" max="46" width="88.7109375" bestFit="1" customWidth="1"/>
  </cols>
  <sheetData>
    <row r="1" spans="1:46" s="1" customFormat="1" ht="47.25" x14ac:dyDescent="0.25">
      <c r="A1" s="45" t="s">
        <v>46</v>
      </c>
      <c r="B1" s="45" t="s">
        <v>47</v>
      </c>
      <c r="C1" s="46" t="s">
        <v>48</v>
      </c>
      <c r="D1" s="350" t="s">
        <v>49</v>
      </c>
      <c r="E1" s="25" t="s">
        <v>2</v>
      </c>
      <c r="F1" s="25" t="s">
        <v>30</v>
      </c>
      <c r="G1" s="25" t="s">
        <v>11</v>
      </c>
      <c r="H1" s="25" t="s">
        <v>50</v>
      </c>
      <c r="I1" s="25" t="s">
        <v>431</v>
      </c>
      <c r="J1" s="216" t="s">
        <v>432</v>
      </c>
      <c r="K1" s="25" t="s">
        <v>433</v>
      </c>
      <c r="L1" s="560" t="s">
        <v>434</v>
      </c>
      <c r="M1" s="25" t="s">
        <v>435</v>
      </c>
      <c r="N1" s="24" t="s">
        <v>12</v>
      </c>
      <c r="O1" s="25" t="s">
        <v>438</v>
      </c>
      <c r="P1" s="25" t="s">
        <v>55</v>
      </c>
      <c r="Q1" s="25" t="s">
        <v>56</v>
      </c>
      <c r="R1" s="25" t="s">
        <v>13</v>
      </c>
      <c r="S1" s="24" t="s">
        <v>14</v>
      </c>
      <c r="T1" s="25" t="s">
        <v>51</v>
      </c>
      <c r="U1" s="25" t="s">
        <v>16</v>
      </c>
      <c r="V1" s="25" t="s">
        <v>15</v>
      </c>
      <c r="W1" s="25" t="s">
        <v>17</v>
      </c>
      <c r="X1" s="25" t="s">
        <v>18</v>
      </c>
      <c r="Y1" s="25" t="s">
        <v>62</v>
      </c>
      <c r="Z1" s="25" t="s">
        <v>63</v>
      </c>
      <c r="AA1" s="25" t="s">
        <v>64</v>
      </c>
      <c r="AB1" s="25" t="s">
        <v>19</v>
      </c>
      <c r="AC1" s="25" t="s">
        <v>20</v>
      </c>
      <c r="AD1" s="25" t="s">
        <v>21</v>
      </c>
      <c r="AE1" s="25" t="s">
        <v>22</v>
      </c>
      <c r="AF1" s="25" t="s">
        <v>23</v>
      </c>
      <c r="AG1" s="25" t="s">
        <v>24</v>
      </c>
      <c r="AH1" s="25" t="s">
        <v>25</v>
      </c>
      <c r="AI1" s="25" t="s">
        <v>26</v>
      </c>
      <c r="AJ1" s="25" t="s">
        <v>27</v>
      </c>
      <c r="AK1" s="25" t="s">
        <v>28</v>
      </c>
      <c r="AL1" s="25" t="s">
        <v>52</v>
      </c>
      <c r="AM1" s="25" t="s">
        <v>262</v>
      </c>
      <c r="AN1" s="25" t="s">
        <v>92</v>
      </c>
      <c r="AO1" s="62" t="s">
        <v>119</v>
      </c>
      <c r="AP1" s="25" t="s">
        <v>120</v>
      </c>
      <c r="AQ1" s="25" t="s">
        <v>170</v>
      </c>
      <c r="AR1" s="55" t="s">
        <v>193</v>
      </c>
      <c r="AS1" s="55" t="s">
        <v>194</v>
      </c>
      <c r="AT1" s="25" t="s">
        <v>283</v>
      </c>
    </row>
    <row r="2" spans="1:46" s="23" customFormat="1" x14ac:dyDescent="0.25">
      <c r="A2" s="27" t="s">
        <v>58</v>
      </c>
      <c r="B2" s="64">
        <v>45897</v>
      </c>
      <c r="C2" s="27">
        <v>50</v>
      </c>
      <c r="D2" s="58">
        <v>125</v>
      </c>
      <c r="E2" s="33"/>
      <c r="F2" s="33"/>
      <c r="G2" s="33"/>
      <c r="H2" s="33"/>
      <c r="I2" s="33"/>
      <c r="J2" s="33">
        <v>0</v>
      </c>
      <c r="K2" s="33"/>
      <c r="L2" s="561"/>
      <c r="M2" s="33"/>
      <c r="N2" s="33">
        <v>10</v>
      </c>
      <c r="O2" s="33"/>
      <c r="P2" s="33"/>
      <c r="Q2" s="33"/>
      <c r="R2" s="33"/>
      <c r="S2" s="33"/>
      <c r="T2" s="33">
        <v>20</v>
      </c>
      <c r="U2" s="33"/>
      <c r="V2" s="33"/>
      <c r="W2" s="33"/>
      <c r="X2" s="33"/>
      <c r="Y2" s="33"/>
      <c r="Z2" s="33"/>
      <c r="AA2" s="33"/>
      <c r="AB2" s="33">
        <v>10</v>
      </c>
      <c r="AC2" s="33">
        <v>10</v>
      </c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44">
        <v>45897.551446759258</v>
      </c>
      <c r="AP2" s="37" t="s">
        <v>203</v>
      </c>
      <c r="AQ2" s="44">
        <v>45897.570659722223</v>
      </c>
      <c r="AR2" s="56">
        <v>100</v>
      </c>
      <c r="AS2" s="56">
        <f>Tabela4[[#This Row],[Total R$]]-Tabela4[[#This Row],[Total Pago]]</f>
        <v>25</v>
      </c>
      <c r="AT2" s="36"/>
    </row>
    <row r="3" spans="1:46" x14ac:dyDescent="0.25">
      <c r="A3" s="27" t="s">
        <v>58</v>
      </c>
      <c r="B3" s="44">
        <v>45897</v>
      </c>
      <c r="C3" s="27">
        <v>52</v>
      </c>
      <c r="D3" s="349">
        <v>130</v>
      </c>
      <c r="E3" s="33"/>
      <c r="F3" s="33"/>
      <c r="G3" s="33"/>
      <c r="H3" s="33"/>
      <c r="I3" s="33"/>
      <c r="J3" s="33">
        <v>10</v>
      </c>
      <c r="K3" s="33"/>
      <c r="L3" s="561"/>
      <c r="M3" s="33"/>
      <c r="N3" s="33">
        <v>10</v>
      </c>
      <c r="O3" s="33"/>
      <c r="P3" s="33"/>
      <c r="Q3" s="33"/>
      <c r="R3" s="33"/>
      <c r="S3" s="33"/>
      <c r="T3" s="33">
        <v>20</v>
      </c>
      <c r="U3" s="33"/>
      <c r="V3" s="33"/>
      <c r="W3" s="33"/>
      <c r="X3" s="33"/>
      <c r="Y3" s="33"/>
      <c r="Z3" s="33"/>
      <c r="AA3" s="33"/>
      <c r="AB3" s="33">
        <v>10</v>
      </c>
      <c r="AC3" s="33">
        <v>10</v>
      </c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44"/>
      <c r="AP3" s="37"/>
      <c r="AQ3" s="44">
        <v>45897.550266203703</v>
      </c>
      <c r="AR3" s="56"/>
      <c r="AS3" s="56">
        <f>Tabela4[[#This Row],[Total R$]]-Tabela4[[#This Row],[Total Pago]]</f>
        <v>130</v>
      </c>
      <c r="AT3" s="96"/>
    </row>
    <row r="4" spans="1:46" x14ac:dyDescent="0.25">
      <c r="B4" s="44"/>
      <c r="D4" s="349"/>
      <c r="E4" s="33"/>
      <c r="F4" s="33"/>
      <c r="G4" s="33"/>
      <c r="H4" s="33"/>
      <c r="I4" s="33"/>
      <c r="J4" s="33"/>
      <c r="K4" s="33"/>
      <c r="L4" s="561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44"/>
      <c r="AP4" s="37"/>
      <c r="AQ4" s="44"/>
      <c r="AR4" s="56"/>
      <c r="AS4" s="56">
        <f>Tabela4[[#This Row],[Total R$]]-Tabela4[[#This Row],[Total Pago]]</f>
        <v>0</v>
      </c>
      <c r="AT4" s="36"/>
    </row>
    <row r="5" spans="1:46" x14ac:dyDescent="0.25">
      <c r="B5" s="44"/>
      <c r="D5" s="349"/>
      <c r="E5" s="33"/>
      <c r="F5" s="33"/>
      <c r="G5" s="33"/>
      <c r="H5" s="33"/>
      <c r="I5" s="33"/>
      <c r="J5" s="33"/>
      <c r="K5" s="33"/>
      <c r="L5" s="561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44"/>
      <c r="AP5" s="37"/>
      <c r="AQ5" s="44"/>
      <c r="AR5" s="56"/>
      <c r="AS5" s="56">
        <f>Tabela4[[#This Row],[Total R$]]-Tabela4[[#This Row],[Total Pago]]</f>
        <v>0</v>
      </c>
      <c r="AT5" s="36"/>
    </row>
    <row r="6" spans="1:46" x14ac:dyDescent="0.25">
      <c r="B6" s="44"/>
      <c r="D6" s="349"/>
      <c r="E6" s="33"/>
      <c r="F6" s="33"/>
      <c r="G6" s="33"/>
      <c r="H6" s="33"/>
      <c r="I6" s="33"/>
      <c r="J6" s="33"/>
      <c r="K6" s="33"/>
      <c r="L6" s="561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44"/>
      <c r="AP6" s="37"/>
      <c r="AQ6" s="44"/>
      <c r="AR6" s="56"/>
      <c r="AS6" s="56">
        <f>Tabela4[[#This Row],[Total R$]]-Tabela4[[#This Row],[Total Pago]]</f>
        <v>0</v>
      </c>
      <c r="AT6" s="36"/>
    </row>
    <row r="7" spans="1:46" x14ac:dyDescent="0.25">
      <c r="B7" s="44"/>
      <c r="D7" s="349"/>
      <c r="E7" s="33"/>
      <c r="F7" s="33"/>
      <c r="G7" s="33"/>
      <c r="H7" s="33"/>
      <c r="I7" s="33"/>
      <c r="J7" s="33"/>
      <c r="K7" s="33"/>
      <c r="L7" s="561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44"/>
      <c r="AP7" s="37"/>
      <c r="AQ7" s="44"/>
      <c r="AR7" s="56"/>
      <c r="AS7" s="56">
        <f>Tabela4[[#This Row],[Total R$]]-Tabela4[[#This Row],[Total Pago]]</f>
        <v>0</v>
      </c>
      <c r="AT7" s="36"/>
    </row>
    <row r="8" spans="1:46" x14ac:dyDescent="0.25">
      <c r="B8" s="44"/>
      <c r="D8" s="349"/>
      <c r="E8" s="33"/>
      <c r="F8" s="33"/>
      <c r="G8" s="33"/>
      <c r="H8" s="33"/>
      <c r="I8" s="33"/>
      <c r="J8" s="33"/>
      <c r="K8" s="33"/>
      <c r="L8" s="561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44"/>
      <c r="AP8" s="37"/>
      <c r="AQ8" s="44"/>
      <c r="AR8" s="56"/>
      <c r="AS8" s="56">
        <f>Tabela4[[#This Row],[Total R$]]-Tabela4[[#This Row],[Total Pago]]</f>
        <v>0</v>
      </c>
      <c r="AT8" s="36"/>
    </row>
    <row r="9" spans="1:46" x14ac:dyDescent="0.25">
      <c r="B9" s="44"/>
      <c r="D9" s="349"/>
      <c r="E9" s="33"/>
      <c r="F9" s="33"/>
      <c r="G9" s="33"/>
      <c r="H9" s="33"/>
      <c r="I9" s="33"/>
      <c r="J9" s="33"/>
      <c r="K9" s="33"/>
      <c r="L9" s="561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44"/>
      <c r="AP9" s="37"/>
      <c r="AQ9" s="44"/>
      <c r="AR9" s="56"/>
      <c r="AS9" s="56">
        <f>Tabela4[[#This Row],[Total R$]]-Tabela4[[#This Row],[Total Pago]]</f>
        <v>0</v>
      </c>
      <c r="AT9" s="36"/>
    </row>
    <row r="10" spans="1:46" x14ac:dyDescent="0.25">
      <c r="B10" s="44"/>
      <c r="D10" s="349"/>
      <c r="E10" s="33"/>
      <c r="F10" s="33"/>
      <c r="G10" s="33"/>
      <c r="H10" s="33"/>
      <c r="I10" s="33"/>
      <c r="J10" s="33"/>
      <c r="K10" s="33"/>
      <c r="L10" s="561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44"/>
      <c r="AP10" s="37"/>
      <c r="AQ10" s="44"/>
      <c r="AR10" s="56"/>
      <c r="AS10" s="56">
        <f>Tabela4[[#This Row],[Total R$]]-Tabela4[[#This Row],[Total Pago]]</f>
        <v>0</v>
      </c>
      <c r="AT10" s="36"/>
    </row>
    <row r="11" spans="1:46" x14ac:dyDescent="0.25">
      <c r="B11" s="44"/>
      <c r="D11" s="349"/>
      <c r="E11" s="33"/>
      <c r="F11" s="33"/>
      <c r="G11" s="33"/>
      <c r="H11" s="33"/>
      <c r="I11" s="33"/>
      <c r="J11" s="33"/>
      <c r="K11" s="33"/>
      <c r="L11" s="561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44"/>
      <c r="AP11" s="37"/>
      <c r="AQ11" s="44"/>
      <c r="AR11" s="56"/>
      <c r="AS11" s="56">
        <f>Tabela4[[#This Row],[Total R$]]-Tabela4[[#This Row],[Total Pago]]</f>
        <v>0</v>
      </c>
      <c r="AT11" s="36"/>
    </row>
    <row r="12" spans="1:46" x14ac:dyDescent="0.25">
      <c r="B12" s="44"/>
      <c r="D12" s="349"/>
      <c r="E12" s="33"/>
      <c r="F12" s="33"/>
      <c r="G12" s="33"/>
      <c r="H12" s="33"/>
      <c r="I12" s="33"/>
      <c r="J12" s="33"/>
      <c r="K12" s="33"/>
      <c r="L12" s="561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44"/>
      <c r="AP12" s="37"/>
      <c r="AQ12" s="44"/>
      <c r="AR12" s="56"/>
      <c r="AS12" s="56">
        <f>Tabela4[[#This Row],[Total R$]]-Tabela4[[#This Row],[Total Pago]]</f>
        <v>0</v>
      </c>
      <c r="AT12" s="36"/>
    </row>
    <row r="13" spans="1:46" x14ac:dyDescent="0.25">
      <c r="B13" s="44"/>
      <c r="D13" s="349"/>
      <c r="E13" s="33"/>
      <c r="F13" s="33"/>
      <c r="G13" s="33"/>
      <c r="H13" s="33"/>
      <c r="I13" s="33"/>
      <c r="J13" s="33"/>
      <c r="K13" s="33"/>
      <c r="L13" s="561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44"/>
      <c r="AP13" s="37"/>
      <c r="AQ13" s="44"/>
      <c r="AR13" s="56"/>
      <c r="AS13" s="56">
        <f>Tabela4[[#This Row],[Total R$]]-Tabela4[[#This Row],[Total Pago]]</f>
        <v>0</v>
      </c>
      <c r="AT13" s="36"/>
    </row>
    <row r="14" spans="1:46" x14ac:dyDescent="0.25">
      <c r="B14" s="44"/>
      <c r="D14" s="349"/>
      <c r="E14" s="33"/>
      <c r="F14" s="33"/>
      <c r="G14" s="33"/>
      <c r="H14" s="33"/>
      <c r="I14" s="33"/>
      <c r="J14" s="33"/>
      <c r="K14" s="33"/>
      <c r="L14" s="561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44"/>
      <c r="AP14" s="37"/>
      <c r="AQ14" s="44"/>
      <c r="AR14" s="56"/>
      <c r="AS14" s="56">
        <f>Tabela4[[#This Row],[Total R$]]-Tabela4[[#This Row],[Total Pago]]</f>
        <v>0</v>
      </c>
      <c r="AT14" s="36"/>
    </row>
    <row r="15" spans="1:46" x14ac:dyDescent="0.25">
      <c r="B15" s="44"/>
      <c r="D15" s="349"/>
      <c r="E15" s="33"/>
      <c r="F15" s="33"/>
      <c r="G15" s="33"/>
      <c r="H15" s="33"/>
      <c r="I15" s="33"/>
      <c r="J15" s="33"/>
      <c r="K15" s="33"/>
      <c r="L15" s="561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44"/>
      <c r="AP15" s="37"/>
      <c r="AQ15" s="44"/>
      <c r="AR15" s="56"/>
      <c r="AS15" s="56">
        <f>Tabela4[[#This Row],[Total R$]]-Tabela4[[#This Row],[Total Pago]]</f>
        <v>0</v>
      </c>
      <c r="AT15" s="36"/>
    </row>
    <row r="16" spans="1:46" x14ac:dyDescent="0.25">
      <c r="B16" s="44"/>
      <c r="D16" s="349"/>
      <c r="E16" s="33"/>
      <c r="F16" s="33"/>
      <c r="G16" s="33"/>
      <c r="H16" s="33"/>
      <c r="I16" s="33"/>
      <c r="J16" s="33"/>
      <c r="K16" s="33"/>
      <c r="L16" s="561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44"/>
      <c r="AP16" s="37"/>
      <c r="AQ16" s="44"/>
      <c r="AR16" s="56"/>
      <c r="AS16" s="56">
        <f>Tabela4[[#This Row],[Total R$]]-Tabela4[[#This Row],[Total Pago]]</f>
        <v>0</v>
      </c>
      <c r="AT16" s="36"/>
    </row>
    <row r="17" spans="2:46" x14ac:dyDescent="0.25">
      <c r="B17" s="44"/>
      <c r="D17" s="349"/>
      <c r="E17" s="33"/>
      <c r="F17" s="33"/>
      <c r="G17" s="33"/>
      <c r="H17" s="33"/>
      <c r="I17" s="33"/>
      <c r="J17" s="33"/>
      <c r="K17" s="33"/>
      <c r="L17" s="561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44"/>
      <c r="AP17" s="37"/>
      <c r="AQ17" s="44"/>
      <c r="AR17" s="56"/>
      <c r="AS17" s="56">
        <f>Tabela4[[#This Row],[Total R$]]-Tabela4[[#This Row],[Total Pago]]</f>
        <v>0</v>
      </c>
      <c r="AT17" s="36"/>
    </row>
    <row r="18" spans="2:46" x14ac:dyDescent="0.25">
      <c r="B18" s="44"/>
      <c r="D18" s="349"/>
      <c r="E18" s="33"/>
      <c r="F18" s="33"/>
      <c r="G18" s="33"/>
      <c r="H18" s="33"/>
      <c r="I18" s="33"/>
      <c r="J18" s="33"/>
      <c r="K18" s="33"/>
      <c r="L18" s="561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44"/>
      <c r="AP18" s="37"/>
      <c r="AQ18" s="44"/>
      <c r="AR18" s="56"/>
      <c r="AS18" s="56">
        <f>Tabela4[[#This Row],[Total R$]]-Tabela4[[#This Row],[Total Pago]]</f>
        <v>0</v>
      </c>
      <c r="AT18" s="36"/>
    </row>
    <row r="19" spans="2:46" x14ac:dyDescent="0.25">
      <c r="B19" s="44"/>
      <c r="D19" s="349"/>
      <c r="E19" s="33"/>
      <c r="F19" s="33"/>
      <c r="G19" s="33"/>
      <c r="H19" s="33"/>
      <c r="I19" s="33"/>
      <c r="J19" s="33"/>
      <c r="K19" s="33"/>
      <c r="L19" s="561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44"/>
      <c r="AP19" s="37"/>
      <c r="AQ19" s="44"/>
      <c r="AR19" s="56"/>
      <c r="AS19" s="56">
        <f>Tabela4[[#This Row],[Total R$]]-Tabela4[[#This Row],[Total Pago]]</f>
        <v>0</v>
      </c>
      <c r="AT19" s="36"/>
    </row>
    <row r="20" spans="2:46" x14ac:dyDescent="0.25">
      <c r="B20" s="44"/>
      <c r="D20" s="349"/>
      <c r="E20" s="33"/>
      <c r="F20" s="33"/>
      <c r="G20" s="33"/>
      <c r="H20" s="33"/>
      <c r="I20" s="33"/>
      <c r="J20" s="33"/>
      <c r="K20" s="33"/>
      <c r="L20" s="561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44"/>
      <c r="AP20" s="37"/>
      <c r="AQ20" s="44"/>
      <c r="AR20" s="56"/>
      <c r="AS20" s="56">
        <f>Tabela4[[#This Row],[Total R$]]-Tabela4[[#This Row],[Total Pago]]</f>
        <v>0</v>
      </c>
      <c r="AT20" s="36"/>
    </row>
    <row r="21" spans="2:46" x14ac:dyDescent="0.25">
      <c r="B21" s="44"/>
      <c r="D21" s="349"/>
      <c r="E21" s="33"/>
      <c r="F21" s="33"/>
      <c r="G21" s="33"/>
      <c r="H21" s="33"/>
      <c r="I21" s="33"/>
      <c r="J21" s="33"/>
      <c r="K21" s="33"/>
      <c r="L21" s="561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44"/>
      <c r="AP21" s="37"/>
      <c r="AQ21" s="44"/>
      <c r="AR21" s="56"/>
      <c r="AS21" s="56">
        <f>Tabela4[[#This Row],[Total R$]]-Tabela4[[#This Row],[Total Pago]]</f>
        <v>0</v>
      </c>
      <c r="AT21" s="36"/>
    </row>
    <row r="22" spans="2:46" x14ac:dyDescent="0.25">
      <c r="B22" s="44"/>
      <c r="D22" s="349"/>
      <c r="E22" s="33"/>
      <c r="F22" s="33"/>
      <c r="G22" s="33"/>
      <c r="H22" s="33"/>
      <c r="I22" s="33"/>
      <c r="J22" s="33"/>
      <c r="K22" s="33"/>
      <c r="L22" s="561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44"/>
      <c r="AP22" s="37"/>
      <c r="AQ22" s="44"/>
      <c r="AR22" s="56"/>
      <c r="AS22" s="56">
        <f>Tabela4[[#This Row],[Total R$]]-Tabela4[[#This Row],[Total Pago]]</f>
        <v>0</v>
      </c>
      <c r="AT22" s="36"/>
    </row>
    <row r="23" spans="2:46" x14ac:dyDescent="0.25">
      <c r="B23" s="44"/>
      <c r="D23" s="349"/>
      <c r="E23" s="33"/>
      <c r="F23" s="33"/>
      <c r="G23" s="33"/>
      <c r="H23" s="33"/>
      <c r="I23" s="33"/>
      <c r="J23" s="33"/>
      <c r="K23" s="33"/>
      <c r="L23" s="561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44"/>
      <c r="AP23" s="37"/>
      <c r="AQ23" s="44"/>
      <c r="AR23" s="56"/>
      <c r="AS23" s="56">
        <f>Tabela4[[#This Row],[Total R$]]-Tabela4[[#This Row],[Total Pago]]</f>
        <v>0</v>
      </c>
      <c r="AT23" s="36"/>
    </row>
    <row r="24" spans="2:46" x14ac:dyDescent="0.25">
      <c r="B24" s="44"/>
      <c r="D24" s="349"/>
      <c r="E24" s="33"/>
      <c r="F24" s="33"/>
      <c r="G24" s="33"/>
      <c r="H24" s="33"/>
      <c r="I24" s="33"/>
      <c r="J24" s="33"/>
      <c r="K24" s="33"/>
      <c r="L24" s="561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44"/>
      <c r="AP24" s="37"/>
      <c r="AQ24" s="44"/>
      <c r="AR24" s="56"/>
      <c r="AS24" s="56">
        <f>Tabela4[[#This Row],[Total R$]]-Tabela4[[#This Row],[Total Pago]]</f>
        <v>0</v>
      </c>
      <c r="AT24" s="36"/>
    </row>
    <row r="25" spans="2:46" x14ac:dyDescent="0.25">
      <c r="B25" s="44"/>
      <c r="D25" s="349"/>
      <c r="E25" s="33"/>
      <c r="F25" s="33"/>
      <c r="G25" s="33"/>
      <c r="H25" s="33"/>
      <c r="I25" s="33"/>
      <c r="J25" s="33"/>
      <c r="K25" s="33"/>
      <c r="L25" s="561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44"/>
      <c r="AP25" s="37"/>
      <c r="AQ25" s="44"/>
      <c r="AR25" s="56"/>
      <c r="AS25" s="56">
        <f>Tabela4[[#This Row],[Total R$]]-Tabela4[[#This Row],[Total Pago]]</f>
        <v>0</v>
      </c>
      <c r="AT25" s="36"/>
    </row>
    <row r="26" spans="2:46" x14ac:dyDescent="0.25">
      <c r="B26" s="44"/>
      <c r="D26" s="349"/>
      <c r="E26" s="33"/>
      <c r="F26" s="33"/>
      <c r="G26" s="33"/>
      <c r="H26" s="33"/>
      <c r="I26" s="33"/>
      <c r="J26" s="33"/>
      <c r="K26" s="33"/>
      <c r="L26" s="561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44"/>
      <c r="AP26" s="37"/>
      <c r="AQ26" s="44"/>
      <c r="AR26" s="56"/>
      <c r="AS26" s="56">
        <f>Tabela4[[#This Row],[Total R$]]-Tabela4[[#This Row],[Total Pago]]</f>
        <v>0</v>
      </c>
      <c r="AT26" s="36"/>
    </row>
    <row r="27" spans="2:46" x14ac:dyDescent="0.25">
      <c r="B27" s="44"/>
      <c r="D27" s="349"/>
      <c r="E27" s="33"/>
      <c r="F27" s="33"/>
      <c r="G27" s="33"/>
      <c r="H27" s="33"/>
      <c r="I27" s="33"/>
      <c r="J27" s="33"/>
      <c r="K27" s="33"/>
      <c r="L27" s="561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44"/>
      <c r="AP27" s="37"/>
      <c r="AQ27" s="44"/>
      <c r="AR27" s="56"/>
      <c r="AS27" s="56">
        <f>Tabela4[[#This Row],[Total R$]]-Tabela4[[#This Row],[Total Pago]]</f>
        <v>0</v>
      </c>
      <c r="AT27" s="36"/>
    </row>
    <row r="28" spans="2:46" x14ac:dyDescent="0.25">
      <c r="B28" s="44"/>
      <c r="D28" s="349"/>
      <c r="E28" s="33"/>
      <c r="F28" s="33"/>
      <c r="G28" s="33"/>
      <c r="H28" s="33"/>
      <c r="I28" s="33"/>
      <c r="J28" s="33"/>
      <c r="K28" s="33"/>
      <c r="L28" s="561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44"/>
      <c r="AP28" s="37"/>
      <c r="AQ28" s="44"/>
      <c r="AR28" s="56"/>
      <c r="AS28" s="56">
        <f>Tabela4[[#This Row],[Total R$]]-Tabela4[[#This Row],[Total Pago]]</f>
        <v>0</v>
      </c>
      <c r="AT28" s="36"/>
    </row>
    <row r="29" spans="2:46" x14ac:dyDescent="0.25">
      <c r="B29" s="44"/>
      <c r="D29" s="349"/>
      <c r="E29" s="33"/>
      <c r="F29" s="33"/>
      <c r="G29" s="33"/>
      <c r="H29" s="33"/>
      <c r="I29" s="33"/>
      <c r="J29" s="33"/>
      <c r="K29" s="33"/>
      <c r="L29" s="561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44"/>
      <c r="AP29" s="37"/>
      <c r="AQ29" s="44"/>
      <c r="AR29" s="56"/>
      <c r="AS29" s="56">
        <f>Tabela4[[#This Row],[Total R$]]-Tabela4[[#This Row],[Total Pago]]</f>
        <v>0</v>
      </c>
      <c r="AT29" s="36"/>
    </row>
    <row r="30" spans="2:46" x14ac:dyDescent="0.25">
      <c r="B30" s="44"/>
      <c r="D30" s="349"/>
      <c r="E30" s="33"/>
      <c r="F30" s="33"/>
      <c r="G30" s="33"/>
      <c r="H30" s="33"/>
      <c r="I30" s="33"/>
      <c r="J30" s="33"/>
      <c r="K30" s="33"/>
      <c r="L30" s="561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44"/>
      <c r="AP30" s="37"/>
      <c r="AQ30" s="44"/>
      <c r="AR30" s="56"/>
      <c r="AS30" s="56">
        <f>Tabela4[[#This Row],[Total R$]]-Tabela4[[#This Row],[Total Pago]]</f>
        <v>0</v>
      </c>
      <c r="AT30" s="36"/>
    </row>
    <row r="31" spans="2:46" x14ac:dyDescent="0.25">
      <c r="B31" s="44"/>
      <c r="D31" s="349"/>
      <c r="E31" s="33"/>
      <c r="F31" s="33"/>
      <c r="G31" s="33"/>
      <c r="H31" s="33"/>
      <c r="I31" s="33"/>
      <c r="J31" s="33"/>
      <c r="K31" s="33"/>
      <c r="L31" s="561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44"/>
      <c r="AP31" s="37"/>
      <c r="AQ31" s="44"/>
      <c r="AR31" s="56"/>
      <c r="AS31" s="56">
        <f>Tabela4[[#This Row],[Total R$]]-Tabela4[[#This Row],[Total Pago]]</f>
        <v>0</v>
      </c>
      <c r="AT31" s="36"/>
    </row>
    <row r="32" spans="2:46" x14ac:dyDescent="0.25">
      <c r="B32" s="44"/>
      <c r="D32" s="349"/>
      <c r="E32" s="33"/>
      <c r="F32" s="33"/>
      <c r="G32" s="33"/>
      <c r="H32" s="33"/>
      <c r="I32" s="33"/>
      <c r="J32" s="33"/>
      <c r="K32" s="33"/>
      <c r="L32" s="561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44"/>
      <c r="AP32" s="37"/>
      <c r="AQ32" s="44"/>
      <c r="AR32" s="56"/>
      <c r="AS32" s="56">
        <f>Tabela4[[#This Row],[Total R$]]-Tabela4[[#This Row],[Total Pago]]</f>
        <v>0</v>
      </c>
      <c r="AT32" s="36"/>
    </row>
    <row r="33" spans="2:46" x14ac:dyDescent="0.25">
      <c r="B33" s="44"/>
      <c r="D33" s="349"/>
      <c r="E33" s="33"/>
      <c r="F33" s="33"/>
      <c r="G33" s="33"/>
      <c r="H33" s="33"/>
      <c r="I33" s="33"/>
      <c r="J33" s="33"/>
      <c r="K33" s="33"/>
      <c r="L33" s="561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44"/>
      <c r="AP33" s="37"/>
      <c r="AQ33" s="44"/>
      <c r="AR33" s="56"/>
      <c r="AS33" s="56">
        <f>Tabela4[[#This Row],[Total R$]]-Tabela4[[#This Row],[Total Pago]]</f>
        <v>0</v>
      </c>
      <c r="AT33" s="36"/>
    </row>
    <row r="34" spans="2:46" x14ac:dyDescent="0.25">
      <c r="B34" s="44"/>
      <c r="D34" s="349"/>
      <c r="E34" s="33"/>
      <c r="F34" s="33"/>
      <c r="G34" s="33"/>
      <c r="H34" s="33"/>
      <c r="I34" s="33"/>
      <c r="J34" s="33"/>
      <c r="K34" s="33"/>
      <c r="L34" s="561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44"/>
      <c r="AP34" s="37"/>
      <c r="AQ34" s="44"/>
      <c r="AR34" s="56"/>
      <c r="AS34" s="56">
        <f>Tabela4[[#This Row],[Total R$]]-Tabela4[[#This Row],[Total Pago]]</f>
        <v>0</v>
      </c>
      <c r="AT34" s="36"/>
    </row>
    <row r="35" spans="2:46" x14ac:dyDescent="0.25">
      <c r="B35" s="44"/>
      <c r="D35" s="349"/>
      <c r="E35" s="33"/>
      <c r="F35" s="33"/>
      <c r="G35" s="33"/>
      <c r="H35" s="33"/>
      <c r="I35" s="33"/>
      <c r="J35" s="33"/>
      <c r="K35" s="33"/>
      <c r="L35" s="561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44"/>
      <c r="AP35" s="37"/>
      <c r="AQ35" s="44"/>
      <c r="AR35" s="56"/>
      <c r="AS35" s="56">
        <f>Tabela4[[#This Row],[Total R$]]-Tabela4[[#This Row],[Total Pago]]</f>
        <v>0</v>
      </c>
      <c r="AT35" s="36"/>
    </row>
    <row r="36" spans="2:46" x14ac:dyDescent="0.25">
      <c r="B36" s="44"/>
      <c r="D36" s="349"/>
      <c r="E36" s="33"/>
      <c r="F36" s="33"/>
      <c r="G36" s="33"/>
      <c r="H36" s="33"/>
      <c r="I36" s="33"/>
      <c r="J36" s="33"/>
      <c r="K36" s="33"/>
      <c r="L36" s="561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44"/>
      <c r="AP36" s="37"/>
      <c r="AQ36" s="44"/>
      <c r="AR36" s="56"/>
      <c r="AS36" s="56">
        <f>Tabela4[[#This Row],[Total R$]]-Tabela4[[#This Row],[Total Pago]]</f>
        <v>0</v>
      </c>
      <c r="AT36" s="36"/>
    </row>
    <row r="37" spans="2:46" x14ac:dyDescent="0.25">
      <c r="B37" s="44"/>
      <c r="D37" s="349"/>
      <c r="E37" s="33"/>
      <c r="F37" s="33"/>
      <c r="G37" s="33"/>
      <c r="H37" s="33"/>
      <c r="I37" s="33"/>
      <c r="J37" s="33"/>
      <c r="K37" s="33"/>
      <c r="L37" s="561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44"/>
      <c r="AP37" s="37"/>
      <c r="AQ37" s="44"/>
      <c r="AR37" s="56"/>
      <c r="AS37" s="56">
        <f>Tabela4[[#This Row],[Total R$]]-Tabela4[[#This Row],[Total Pago]]</f>
        <v>0</v>
      </c>
      <c r="AT37" s="36"/>
    </row>
    <row r="38" spans="2:46" x14ac:dyDescent="0.25">
      <c r="B38" s="44"/>
      <c r="D38" s="349"/>
      <c r="E38" s="33"/>
      <c r="F38" s="33"/>
      <c r="G38" s="33"/>
      <c r="H38" s="33"/>
      <c r="I38" s="33"/>
      <c r="J38" s="33"/>
      <c r="K38" s="33"/>
      <c r="L38" s="561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44"/>
      <c r="AP38" s="37"/>
      <c r="AQ38" s="44"/>
      <c r="AR38" s="56"/>
      <c r="AS38" s="56">
        <f>Tabela4[[#This Row],[Total R$]]-Tabela4[[#This Row],[Total Pago]]</f>
        <v>0</v>
      </c>
      <c r="AT38" s="36"/>
    </row>
    <row r="39" spans="2:46" x14ac:dyDescent="0.25">
      <c r="B39" s="44"/>
      <c r="D39" s="349"/>
      <c r="E39" s="33"/>
      <c r="F39" s="33"/>
      <c r="G39" s="33"/>
      <c r="H39" s="33"/>
      <c r="I39" s="33"/>
      <c r="J39" s="33"/>
      <c r="K39" s="33"/>
      <c r="L39" s="561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44"/>
      <c r="AP39" s="37"/>
      <c r="AQ39" s="44"/>
      <c r="AR39" s="56"/>
      <c r="AS39" s="56">
        <f>Tabela4[[#This Row],[Total R$]]-Tabela4[[#This Row],[Total Pago]]</f>
        <v>0</v>
      </c>
      <c r="AT39" s="36"/>
    </row>
    <row r="40" spans="2:46" x14ac:dyDescent="0.25">
      <c r="B40" s="44"/>
      <c r="D40" s="349"/>
      <c r="E40" s="33"/>
      <c r="F40" s="33"/>
      <c r="G40" s="33"/>
      <c r="H40" s="33"/>
      <c r="I40" s="33"/>
      <c r="J40" s="33"/>
      <c r="K40" s="33"/>
      <c r="L40" s="561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44"/>
      <c r="AP40" s="37"/>
      <c r="AQ40" s="44"/>
      <c r="AR40" s="56"/>
      <c r="AS40" s="56">
        <f>Tabela4[[#This Row],[Total R$]]-Tabela4[[#This Row],[Total Pago]]</f>
        <v>0</v>
      </c>
      <c r="AT40" s="36"/>
    </row>
    <row r="41" spans="2:46" x14ac:dyDescent="0.25">
      <c r="B41" s="44"/>
      <c r="D41" s="349"/>
      <c r="E41" s="33"/>
      <c r="F41" s="33"/>
      <c r="G41" s="33"/>
      <c r="H41" s="33"/>
      <c r="I41" s="33"/>
      <c r="J41" s="33"/>
      <c r="K41" s="33"/>
      <c r="L41" s="561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44"/>
      <c r="AP41" s="37"/>
      <c r="AQ41" s="44"/>
      <c r="AR41" s="56"/>
      <c r="AS41" s="56">
        <f>Tabela4[[#This Row],[Total R$]]-Tabela4[[#This Row],[Total Pago]]</f>
        <v>0</v>
      </c>
      <c r="AT41" s="36"/>
    </row>
    <row r="42" spans="2:46" x14ac:dyDescent="0.25">
      <c r="B42" s="44"/>
      <c r="D42" s="349"/>
      <c r="E42" s="33"/>
      <c r="F42" s="33"/>
      <c r="G42" s="33"/>
      <c r="H42" s="33"/>
      <c r="I42" s="33"/>
      <c r="J42" s="33"/>
      <c r="K42" s="33"/>
      <c r="L42" s="561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44"/>
      <c r="AP42" s="37"/>
      <c r="AQ42" s="44"/>
      <c r="AR42" s="56"/>
      <c r="AS42" s="56">
        <f>Tabela4[[#This Row],[Total R$]]-Tabela4[[#This Row],[Total Pago]]</f>
        <v>0</v>
      </c>
      <c r="AT42" s="36"/>
    </row>
    <row r="43" spans="2:46" x14ac:dyDescent="0.25">
      <c r="B43" s="44"/>
      <c r="D43" s="349"/>
      <c r="E43" s="33"/>
      <c r="F43" s="33"/>
      <c r="G43" s="33"/>
      <c r="H43" s="33"/>
      <c r="I43" s="33"/>
      <c r="J43" s="33"/>
      <c r="K43" s="33"/>
      <c r="L43" s="561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44"/>
      <c r="AP43" s="37"/>
      <c r="AQ43" s="44"/>
      <c r="AR43" s="56"/>
      <c r="AS43" s="56">
        <f>Tabela4[[#This Row],[Total R$]]-Tabela4[[#This Row],[Total Pago]]</f>
        <v>0</v>
      </c>
      <c r="AT43" s="36"/>
    </row>
    <row r="44" spans="2:46" x14ac:dyDescent="0.25">
      <c r="B44" s="44"/>
      <c r="D44" s="349"/>
      <c r="E44" s="33"/>
      <c r="F44" s="33"/>
      <c r="G44" s="33"/>
      <c r="H44" s="33"/>
      <c r="I44" s="33"/>
      <c r="J44" s="33"/>
      <c r="K44" s="33"/>
      <c r="L44" s="561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44"/>
      <c r="AP44" s="37"/>
      <c r="AQ44" s="44"/>
      <c r="AR44" s="56"/>
      <c r="AS44" s="56">
        <f>Tabela4[[#This Row],[Total R$]]-Tabela4[[#This Row],[Total Pago]]</f>
        <v>0</v>
      </c>
      <c r="AT44" s="36"/>
    </row>
    <row r="45" spans="2:46" x14ac:dyDescent="0.25">
      <c r="B45" s="44"/>
      <c r="D45" s="349"/>
      <c r="E45" s="33"/>
      <c r="F45" s="33"/>
      <c r="G45" s="33"/>
      <c r="H45" s="33"/>
      <c r="I45" s="33"/>
      <c r="J45" s="33"/>
      <c r="K45" s="33"/>
      <c r="L45" s="561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44"/>
      <c r="AP45" s="37"/>
      <c r="AQ45" s="44"/>
      <c r="AR45" s="56"/>
      <c r="AS45" s="56">
        <f>Tabela4[[#This Row],[Total R$]]-Tabela4[[#This Row],[Total Pago]]</f>
        <v>0</v>
      </c>
      <c r="AT45" s="36"/>
    </row>
    <row r="46" spans="2:46" x14ac:dyDescent="0.25">
      <c r="B46" s="44"/>
      <c r="D46" s="349"/>
      <c r="E46" s="33"/>
      <c r="F46" s="33"/>
      <c r="G46" s="33"/>
      <c r="H46" s="33"/>
      <c r="I46" s="33"/>
      <c r="J46" s="33"/>
      <c r="K46" s="33"/>
      <c r="L46" s="561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44"/>
      <c r="AP46" s="37"/>
      <c r="AQ46" s="44"/>
      <c r="AR46" s="56"/>
      <c r="AS46" s="56">
        <f>Tabela4[[#This Row],[Total R$]]-Tabela4[[#This Row],[Total Pago]]</f>
        <v>0</v>
      </c>
      <c r="AT46" s="36"/>
    </row>
    <row r="47" spans="2:46" x14ac:dyDescent="0.25">
      <c r="B47" s="44"/>
      <c r="D47" s="349"/>
      <c r="E47" s="33"/>
      <c r="F47" s="33"/>
      <c r="G47" s="33"/>
      <c r="H47" s="33"/>
      <c r="I47" s="33"/>
      <c r="J47" s="33"/>
      <c r="K47" s="33"/>
      <c r="L47" s="561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44"/>
      <c r="AP47" s="37"/>
      <c r="AQ47" s="28"/>
      <c r="AR47" s="56"/>
      <c r="AS47" s="56">
        <f>Tabela4[[#This Row],[Total R$]]-Tabela4[[#This Row],[Total Pago]]</f>
        <v>0</v>
      </c>
      <c r="AT47" s="36"/>
    </row>
    <row r="48" spans="2:46" x14ac:dyDescent="0.25">
      <c r="B48" s="44"/>
      <c r="D48" s="349"/>
      <c r="E48" s="33"/>
      <c r="F48" s="33"/>
      <c r="G48" s="33"/>
      <c r="H48" s="33"/>
      <c r="I48" s="33"/>
      <c r="J48" s="33"/>
      <c r="K48" s="33"/>
      <c r="L48" s="561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44"/>
      <c r="AP48" s="37"/>
      <c r="AQ48" s="44"/>
      <c r="AR48" s="56"/>
      <c r="AS48" s="56">
        <f>Tabela4[[#This Row],[Total R$]]-Tabela4[[#This Row],[Total Pago]]</f>
        <v>0</v>
      </c>
      <c r="AT48" s="36"/>
    </row>
    <row r="49" spans="2:46" x14ac:dyDescent="0.25">
      <c r="B49" s="44"/>
      <c r="D49" s="349"/>
      <c r="E49" s="33"/>
      <c r="F49" s="33"/>
      <c r="G49" s="33"/>
      <c r="H49" s="33"/>
      <c r="I49" s="33"/>
      <c r="J49" s="33"/>
      <c r="K49" s="33"/>
      <c r="L49" s="561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44"/>
      <c r="AP49" s="37"/>
      <c r="AQ49" s="44"/>
      <c r="AR49" s="56"/>
      <c r="AS49" s="56">
        <f>Tabela4[[#This Row],[Total R$]]-Tabela4[[#This Row],[Total Pago]]</f>
        <v>0</v>
      </c>
      <c r="AT49" s="36"/>
    </row>
    <row r="50" spans="2:46" x14ac:dyDescent="0.25">
      <c r="B50" s="44"/>
      <c r="D50" s="349"/>
      <c r="E50" s="33"/>
      <c r="F50" s="33"/>
      <c r="G50" s="33"/>
      <c r="H50" s="33"/>
      <c r="I50" s="33"/>
      <c r="J50" s="33"/>
      <c r="K50" s="33"/>
      <c r="L50" s="561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44"/>
      <c r="AP50" s="37"/>
      <c r="AQ50" s="44"/>
      <c r="AR50" s="56"/>
      <c r="AS50" s="56">
        <f>Tabela4[[#This Row],[Total R$]]-Tabela4[[#This Row],[Total Pago]]</f>
        <v>0</v>
      </c>
      <c r="AT50" s="36"/>
    </row>
    <row r="51" spans="2:46" x14ac:dyDescent="0.25">
      <c r="B51" s="44"/>
      <c r="D51" s="349"/>
      <c r="E51" s="33"/>
      <c r="F51" s="33"/>
      <c r="G51" s="33"/>
      <c r="H51" s="33"/>
      <c r="I51" s="33"/>
      <c r="J51" s="33"/>
      <c r="K51" s="33"/>
      <c r="L51" s="561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44"/>
      <c r="AP51" s="37"/>
      <c r="AQ51" s="44"/>
      <c r="AR51" s="56"/>
      <c r="AS51" s="56">
        <f>Tabela4[[#This Row],[Total R$]]-Tabela4[[#This Row],[Total Pago]]</f>
        <v>0</v>
      </c>
      <c r="AT51" s="36"/>
    </row>
    <row r="52" spans="2:46" x14ac:dyDescent="0.25">
      <c r="B52" s="44"/>
      <c r="D52" s="349"/>
      <c r="E52" s="33"/>
      <c r="F52" s="33"/>
      <c r="G52" s="33"/>
      <c r="H52" s="33"/>
      <c r="I52" s="33"/>
      <c r="J52" s="33"/>
      <c r="K52" s="33"/>
      <c r="L52" s="561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44"/>
      <c r="AP52" s="37"/>
      <c r="AQ52" s="44"/>
      <c r="AR52" s="56"/>
      <c r="AS52" s="56">
        <f>Tabela4[[#This Row],[Total R$]]-Tabela4[[#This Row],[Total Pago]]</f>
        <v>0</v>
      </c>
      <c r="AT52" s="36"/>
    </row>
    <row r="53" spans="2:46" x14ac:dyDescent="0.25">
      <c r="B53" s="44"/>
      <c r="D53" s="349"/>
      <c r="E53" s="33"/>
      <c r="F53" s="33"/>
      <c r="G53" s="33"/>
      <c r="H53" s="33"/>
      <c r="I53" s="33"/>
      <c r="J53" s="33"/>
      <c r="K53" s="33"/>
      <c r="L53" s="561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44"/>
      <c r="AP53" s="37"/>
      <c r="AQ53" s="44"/>
      <c r="AR53" s="56"/>
      <c r="AS53" s="56">
        <f>Tabela4[[#This Row],[Total R$]]-Tabela4[[#This Row],[Total Pago]]</f>
        <v>0</v>
      </c>
      <c r="AT53" s="36"/>
    </row>
    <row r="54" spans="2:46" x14ac:dyDescent="0.25">
      <c r="B54" s="44"/>
      <c r="D54" s="349"/>
      <c r="E54" s="33"/>
      <c r="F54" s="33"/>
      <c r="G54" s="33"/>
      <c r="H54" s="33"/>
      <c r="I54" s="33"/>
      <c r="J54" s="33"/>
      <c r="K54" s="33"/>
      <c r="L54" s="561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44"/>
      <c r="AP54" s="37"/>
      <c r="AQ54" s="44"/>
      <c r="AR54" s="56"/>
      <c r="AS54" s="56">
        <f>Tabela4[[#This Row],[Total R$]]-Tabela4[[#This Row],[Total Pago]]</f>
        <v>0</v>
      </c>
      <c r="AT54" s="36"/>
    </row>
    <row r="55" spans="2:46" x14ac:dyDescent="0.25">
      <c r="B55" s="44"/>
      <c r="D55" s="349"/>
      <c r="E55" s="33"/>
      <c r="F55" s="33"/>
      <c r="G55" s="33"/>
      <c r="H55" s="33"/>
      <c r="I55" s="33"/>
      <c r="J55" s="33"/>
      <c r="K55" s="33"/>
      <c r="L55" s="561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44"/>
      <c r="AP55" s="37"/>
      <c r="AQ55" s="44"/>
      <c r="AR55" s="56"/>
      <c r="AS55" s="56">
        <f>Tabela4[[#This Row],[Total R$]]-Tabela4[[#This Row],[Total Pago]]</f>
        <v>0</v>
      </c>
      <c r="AT55" s="36"/>
    </row>
    <row r="56" spans="2:46" x14ac:dyDescent="0.25">
      <c r="B56" s="44"/>
      <c r="D56" s="349"/>
      <c r="E56" s="33"/>
      <c r="F56" s="33"/>
      <c r="G56" s="33"/>
      <c r="H56" s="33"/>
      <c r="I56" s="33"/>
      <c r="J56" s="33"/>
      <c r="K56" s="33"/>
      <c r="L56" s="561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44"/>
      <c r="AP56" s="37"/>
      <c r="AQ56" s="44"/>
      <c r="AR56" s="56"/>
      <c r="AS56" s="56">
        <f>Tabela4[[#This Row],[Total R$]]-Tabela4[[#This Row],[Total Pago]]</f>
        <v>0</v>
      </c>
      <c r="AT56" s="36"/>
    </row>
    <row r="57" spans="2:46" x14ac:dyDescent="0.25">
      <c r="B57" s="44"/>
      <c r="D57" s="349"/>
      <c r="E57" s="33"/>
      <c r="F57" s="33"/>
      <c r="G57" s="33"/>
      <c r="H57" s="33"/>
      <c r="I57" s="33"/>
      <c r="J57" s="33"/>
      <c r="K57" s="33"/>
      <c r="L57" s="561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44"/>
      <c r="AP57" s="37"/>
      <c r="AQ57" s="44"/>
      <c r="AR57" s="56"/>
      <c r="AS57" s="56">
        <f>Tabela4[[#This Row],[Total R$]]-Tabela4[[#This Row],[Total Pago]]</f>
        <v>0</v>
      </c>
      <c r="AT57" s="36"/>
    </row>
    <row r="58" spans="2:46" x14ac:dyDescent="0.25">
      <c r="B58" s="44"/>
      <c r="D58" s="349"/>
      <c r="E58" s="33"/>
      <c r="F58" s="33"/>
      <c r="G58" s="33"/>
      <c r="H58" s="33"/>
      <c r="I58" s="33"/>
      <c r="J58" s="33"/>
      <c r="K58" s="33"/>
      <c r="L58" s="561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44"/>
      <c r="AP58" s="37"/>
      <c r="AQ58" s="44"/>
      <c r="AR58" s="56"/>
      <c r="AS58" s="56">
        <f>Tabela4[[#This Row],[Total R$]]-Tabela4[[#This Row],[Total Pago]]</f>
        <v>0</v>
      </c>
      <c r="AT58" s="36"/>
    </row>
    <row r="59" spans="2:46" x14ac:dyDescent="0.25">
      <c r="B59" s="44"/>
      <c r="D59" s="349"/>
      <c r="E59" s="33"/>
      <c r="F59" s="33"/>
      <c r="G59" s="33"/>
      <c r="H59" s="33"/>
      <c r="I59" s="33"/>
      <c r="J59" s="33"/>
      <c r="K59" s="33"/>
      <c r="L59" s="561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44"/>
      <c r="AP59" s="37"/>
      <c r="AQ59" s="44"/>
      <c r="AR59" s="56"/>
      <c r="AS59" s="56">
        <f>Tabela4[[#This Row],[Total R$]]-Tabela4[[#This Row],[Total Pago]]</f>
        <v>0</v>
      </c>
      <c r="AT59" s="36"/>
    </row>
    <row r="60" spans="2:46" x14ac:dyDescent="0.25">
      <c r="B60" s="44"/>
      <c r="D60" s="349"/>
      <c r="E60" s="33"/>
      <c r="F60" s="33"/>
      <c r="G60" s="33"/>
      <c r="H60" s="33"/>
      <c r="I60" s="33"/>
      <c r="J60" s="33"/>
      <c r="K60" s="33"/>
      <c r="L60" s="561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44"/>
      <c r="AP60" s="37"/>
      <c r="AQ60" s="44"/>
      <c r="AR60" s="56"/>
      <c r="AS60" s="56">
        <f>Tabela4[[#This Row],[Total R$]]-Tabela4[[#This Row],[Total Pago]]</f>
        <v>0</v>
      </c>
      <c r="AT60" s="36"/>
    </row>
    <row r="61" spans="2:46" x14ac:dyDescent="0.25">
      <c r="B61" s="44"/>
      <c r="D61" s="349"/>
      <c r="E61" s="33"/>
      <c r="F61" s="33"/>
      <c r="G61" s="33"/>
      <c r="H61" s="33"/>
      <c r="I61" s="33"/>
      <c r="J61" s="33"/>
      <c r="K61" s="33"/>
      <c r="L61" s="561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44"/>
      <c r="AP61" s="37"/>
      <c r="AQ61" s="44"/>
      <c r="AR61" s="56"/>
      <c r="AS61" s="56">
        <f>Tabela4[[#This Row],[Total R$]]-Tabela4[[#This Row],[Total Pago]]</f>
        <v>0</v>
      </c>
      <c r="AT61" s="36"/>
    </row>
    <row r="62" spans="2:46" x14ac:dyDescent="0.25">
      <c r="B62" s="44"/>
      <c r="D62" s="349"/>
      <c r="E62" s="33"/>
      <c r="F62" s="33"/>
      <c r="G62" s="33"/>
      <c r="H62" s="33"/>
      <c r="I62" s="33"/>
      <c r="J62" s="33"/>
      <c r="K62" s="33"/>
      <c r="L62" s="561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44"/>
      <c r="AP62" s="37"/>
      <c r="AQ62" s="44"/>
      <c r="AR62" s="56"/>
      <c r="AS62" s="56">
        <f>Tabela4[[#This Row],[Total R$]]-Tabela4[[#This Row],[Total Pago]]</f>
        <v>0</v>
      </c>
      <c r="AT62" s="36"/>
    </row>
    <row r="63" spans="2:46" x14ac:dyDescent="0.25">
      <c r="B63" s="44"/>
      <c r="D63" s="349"/>
      <c r="E63" s="33"/>
      <c r="F63" s="33"/>
      <c r="G63" s="33"/>
      <c r="H63" s="33"/>
      <c r="I63" s="33"/>
      <c r="J63" s="33"/>
      <c r="K63" s="33"/>
      <c r="L63" s="561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44"/>
      <c r="AP63" s="37"/>
      <c r="AQ63" s="44"/>
      <c r="AR63" s="56"/>
      <c r="AS63" s="56">
        <f>Tabela4[[#This Row],[Total R$]]-Tabela4[[#This Row],[Total Pago]]</f>
        <v>0</v>
      </c>
      <c r="AT63" s="36"/>
    </row>
    <row r="64" spans="2:46" x14ac:dyDescent="0.25">
      <c r="B64" s="44"/>
      <c r="D64" s="349"/>
      <c r="E64" s="33"/>
      <c r="F64" s="33"/>
      <c r="G64" s="33"/>
      <c r="H64" s="33"/>
      <c r="I64" s="33"/>
      <c r="J64" s="33"/>
      <c r="K64" s="33"/>
      <c r="L64" s="561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44"/>
      <c r="AP64" s="37"/>
      <c r="AQ64" s="44"/>
      <c r="AR64" s="56"/>
      <c r="AS64" s="56">
        <f>Tabela4[[#This Row],[Total R$]]-Tabela4[[#This Row],[Total Pago]]</f>
        <v>0</v>
      </c>
      <c r="AT64" s="36"/>
    </row>
    <row r="65" spans="2:46" x14ac:dyDescent="0.25">
      <c r="B65" s="44"/>
      <c r="D65" s="349"/>
      <c r="E65" s="33"/>
      <c r="F65" s="33"/>
      <c r="G65" s="33"/>
      <c r="H65" s="33"/>
      <c r="I65" s="33"/>
      <c r="J65" s="33"/>
      <c r="K65" s="33"/>
      <c r="L65" s="561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44"/>
      <c r="AP65" s="37"/>
      <c r="AQ65" s="44"/>
      <c r="AR65" s="56"/>
      <c r="AS65" s="56">
        <f>Tabela4[[#This Row],[Total R$]]-Tabela4[[#This Row],[Total Pago]]</f>
        <v>0</v>
      </c>
      <c r="AT65" s="36"/>
    </row>
    <row r="66" spans="2:46" x14ac:dyDescent="0.25">
      <c r="B66" s="44"/>
      <c r="D66" s="349"/>
      <c r="E66" s="33"/>
      <c r="F66" s="33"/>
      <c r="G66" s="33"/>
      <c r="H66" s="33"/>
      <c r="I66" s="33"/>
      <c r="J66" s="33"/>
      <c r="K66" s="33"/>
      <c r="L66" s="561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157"/>
      <c r="AP66" s="37"/>
      <c r="AQ66" s="27"/>
      <c r="AR66" s="57"/>
      <c r="AS66" s="56">
        <f>Tabela4[[#This Row],[Total R$]]-Tabela4[[#This Row],[Total Pago]]</f>
        <v>0</v>
      </c>
      <c r="AT66" s="36"/>
    </row>
    <row r="67" spans="2:46" x14ac:dyDescent="0.25">
      <c r="B67" s="44"/>
      <c r="D67" s="349"/>
      <c r="E67" s="33"/>
      <c r="F67" s="33"/>
      <c r="G67" s="33"/>
      <c r="H67" s="33"/>
      <c r="I67" s="33"/>
      <c r="J67" s="33"/>
      <c r="K67" s="33"/>
      <c r="L67" s="561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44"/>
      <c r="AP67" s="37"/>
      <c r="AQ67" s="44"/>
      <c r="AR67" s="56"/>
      <c r="AS67" s="56">
        <f>Tabela4[[#This Row],[Total R$]]-Tabela4[[#This Row],[Total Pago]]</f>
        <v>0</v>
      </c>
      <c r="AT67" s="36"/>
    </row>
    <row r="68" spans="2:46" x14ac:dyDescent="0.25">
      <c r="B68" s="44"/>
      <c r="D68" s="349"/>
      <c r="E68" s="33"/>
      <c r="F68" s="33"/>
      <c r="G68" s="33"/>
      <c r="H68" s="33"/>
      <c r="I68" s="33"/>
      <c r="J68" s="33"/>
      <c r="K68" s="33"/>
      <c r="L68" s="561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44"/>
      <c r="AP68" s="37"/>
      <c r="AQ68" s="44"/>
      <c r="AR68" s="56"/>
      <c r="AS68" s="56">
        <f>Tabela4[[#This Row],[Total R$]]-Tabela4[[#This Row],[Total Pago]]</f>
        <v>0</v>
      </c>
      <c r="AT68" s="36"/>
    </row>
    <row r="69" spans="2:46" x14ac:dyDescent="0.25">
      <c r="B69" s="44"/>
      <c r="D69" s="349"/>
      <c r="E69" s="33"/>
      <c r="F69" s="33"/>
      <c r="G69" s="33"/>
      <c r="H69" s="33"/>
      <c r="I69" s="33"/>
      <c r="J69" s="33"/>
      <c r="K69" s="33"/>
      <c r="L69" s="561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44"/>
      <c r="AP69" s="37"/>
      <c r="AQ69" s="44"/>
      <c r="AR69" s="56"/>
      <c r="AS69" s="56">
        <f>Tabela4[[#This Row],[Total R$]]-Tabela4[[#This Row],[Total Pago]]</f>
        <v>0</v>
      </c>
      <c r="AT69" s="36"/>
    </row>
    <row r="70" spans="2:46" x14ac:dyDescent="0.25">
      <c r="B70" s="44"/>
      <c r="D70" s="349"/>
      <c r="E70" s="33"/>
      <c r="F70" s="33"/>
      <c r="G70" s="33"/>
      <c r="H70" s="33"/>
      <c r="I70" s="33"/>
      <c r="J70" s="33"/>
      <c r="K70" s="33"/>
      <c r="L70" s="561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44"/>
      <c r="AP70" s="37"/>
      <c r="AQ70" s="44"/>
      <c r="AR70" s="56"/>
      <c r="AS70" s="56">
        <f>Tabela4[[#This Row],[Total R$]]-Tabela4[[#This Row],[Total Pago]]</f>
        <v>0</v>
      </c>
      <c r="AT70" s="36"/>
    </row>
    <row r="71" spans="2:46" x14ac:dyDescent="0.25">
      <c r="B71" s="44"/>
      <c r="D71" s="349"/>
      <c r="E71" s="33"/>
      <c r="F71" s="33"/>
      <c r="G71" s="33"/>
      <c r="H71" s="33"/>
      <c r="I71" s="33"/>
      <c r="J71" s="33"/>
      <c r="K71" s="33"/>
      <c r="L71" s="561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44"/>
      <c r="AP71" s="37"/>
      <c r="AQ71" s="44"/>
      <c r="AR71" s="56"/>
      <c r="AS71" s="56">
        <f>Tabela4[[#This Row],[Total R$]]-Tabela4[[#This Row],[Total Pago]]</f>
        <v>0</v>
      </c>
      <c r="AT71" s="36"/>
    </row>
    <row r="72" spans="2:46" x14ac:dyDescent="0.25">
      <c r="B72" s="44"/>
      <c r="D72" s="349"/>
      <c r="E72" s="33"/>
      <c r="F72" s="33"/>
      <c r="G72" s="33"/>
      <c r="H72" s="33"/>
      <c r="I72" s="33"/>
      <c r="J72" s="33"/>
      <c r="K72" s="33"/>
      <c r="L72" s="561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44"/>
      <c r="AP72" s="37"/>
      <c r="AQ72" s="44"/>
      <c r="AR72" s="56"/>
      <c r="AS72" s="56">
        <f>Tabela4[[#This Row],[Total R$]]-Tabela4[[#This Row],[Total Pago]]</f>
        <v>0</v>
      </c>
      <c r="AT72" s="36"/>
    </row>
    <row r="73" spans="2:46" x14ac:dyDescent="0.25">
      <c r="B73" s="44"/>
      <c r="D73" s="349"/>
      <c r="E73" s="33"/>
      <c r="F73" s="33"/>
      <c r="G73" s="33"/>
      <c r="H73" s="33"/>
      <c r="I73" s="33"/>
      <c r="J73" s="33"/>
      <c r="K73" s="33"/>
      <c r="L73" s="561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44"/>
      <c r="AP73" s="37"/>
      <c r="AQ73" s="44"/>
      <c r="AR73" s="56"/>
      <c r="AS73" s="56">
        <f>Tabela4[[#This Row],[Total R$]]-Tabela4[[#This Row],[Total Pago]]</f>
        <v>0</v>
      </c>
      <c r="AT73" s="36"/>
    </row>
    <row r="74" spans="2:46" x14ac:dyDescent="0.25">
      <c r="B74" s="44"/>
      <c r="D74" s="349"/>
      <c r="E74" s="33"/>
      <c r="F74" s="33"/>
      <c r="G74" s="33"/>
      <c r="H74" s="33"/>
      <c r="I74" s="33"/>
      <c r="J74" s="33"/>
      <c r="K74" s="33"/>
      <c r="L74" s="561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44"/>
      <c r="AP74" s="37"/>
      <c r="AQ74" s="44"/>
      <c r="AR74" s="56"/>
      <c r="AS74" s="56">
        <f>Tabela4[[#This Row],[Total R$]]-Tabela4[[#This Row],[Total Pago]]</f>
        <v>0</v>
      </c>
      <c r="AT74" s="36"/>
    </row>
    <row r="75" spans="2:46" x14ac:dyDescent="0.25">
      <c r="B75" s="44"/>
      <c r="D75" s="349"/>
      <c r="E75" s="33"/>
      <c r="F75" s="33"/>
      <c r="G75" s="33"/>
      <c r="H75" s="33"/>
      <c r="I75" s="33"/>
      <c r="J75" s="33"/>
      <c r="K75" s="33"/>
      <c r="L75" s="561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44"/>
      <c r="AP75" s="37"/>
      <c r="AQ75" s="44"/>
      <c r="AR75" s="56"/>
      <c r="AS75" s="56">
        <f>Tabela4[[#This Row],[Total R$]]-Tabela4[[#This Row],[Total Pago]]</f>
        <v>0</v>
      </c>
      <c r="AT75" s="36"/>
    </row>
    <row r="76" spans="2:46" x14ac:dyDescent="0.25">
      <c r="B76" s="44"/>
      <c r="D76" s="349"/>
      <c r="E76" s="33"/>
      <c r="F76" s="33"/>
      <c r="G76" s="33"/>
      <c r="H76" s="33"/>
      <c r="I76" s="33"/>
      <c r="J76" s="33"/>
      <c r="K76" s="33"/>
      <c r="L76" s="561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44"/>
      <c r="AP76" s="37"/>
      <c r="AQ76" s="28"/>
      <c r="AR76" s="56"/>
      <c r="AS76" s="56">
        <f>Tabela4[[#This Row],[Total R$]]-Tabela4[[#This Row],[Total Pago]]</f>
        <v>0</v>
      </c>
      <c r="AT76" s="36"/>
    </row>
    <row r="77" spans="2:46" x14ac:dyDescent="0.25">
      <c r="B77" s="44"/>
      <c r="D77" s="349"/>
      <c r="E77" s="33"/>
      <c r="F77" s="33"/>
      <c r="G77" s="33"/>
      <c r="H77" s="33"/>
      <c r="I77" s="33"/>
      <c r="J77" s="33"/>
      <c r="K77" s="33"/>
      <c r="L77" s="561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44"/>
      <c r="AP77" s="37"/>
      <c r="AQ77" s="44"/>
      <c r="AR77" s="56"/>
      <c r="AS77" s="56">
        <f>Tabela4[[#This Row],[Total R$]]-Tabela4[[#This Row],[Total Pago]]</f>
        <v>0</v>
      </c>
      <c r="AT77" s="36"/>
    </row>
    <row r="78" spans="2:46" x14ac:dyDescent="0.25">
      <c r="B78" s="44"/>
      <c r="D78" s="349"/>
      <c r="E78" s="33"/>
      <c r="F78" s="33"/>
      <c r="G78" s="33"/>
      <c r="H78" s="33"/>
      <c r="I78" s="33"/>
      <c r="J78" s="33"/>
      <c r="K78" s="33"/>
      <c r="L78" s="561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44"/>
      <c r="AP78" s="37"/>
      <c r="AQ78" s="44"/>
      <c r="AR78" s="56"/>
      <c r="AS78" s="56">
        <f>Tabela4[[#This Row],[Total R$]]-Tabela4[[#This Row],[Total Pago]]</f>
        <v>0</v>
      </c>
      <c r="AT78" s="36"/>
    </row>
    <row r="79" spans="2:46" x14ac:dyDescent="0.25">
      <c r="B79" s="44"/>
      <c r="D79" s="349"/>
      <c r="E79" s="33"/>
      <c r="F79" s="33"/>
      <c r="G79" s="33"/>
      <c r="H79" s="33"/>
      <c r="I79" s="33"/>
      <c r="J79" s="33"/>
      <c r="K79" s="33"/>
      <c r="L79" s="561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44"/>
      <c r="AP79" s="37"/>
      <c r="AQ79" s="44"/>
      <c r="AR79" s="56"/>
      <c r="AS79" s="56">
        <f>Tabela4[[#This Row],[Total R$]]-Tabela4[[#This Row],[Total Pago]]</f>
        <v>0</v>
      </c>
      <c r="AT79" s="36"/>
    </row>
    <row r="80" spans="2:46" x14ac:dyDescent="0.25">
      <c r="B80" s="44"/>
      <c r="D80" s="349"/>
      <c r="E80" s="33"/>
      <c r="F80" s="33"/>
      <c r="G80" s="33"/>
      <c r="H80" s="33"/>
      <c r="I80" s="33"/>
      <c r="J80" s="33"/>
      <c r="K80" s="33"/>
      <c r="L80" s="561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44"/>
      <c r="AP80" s="37"/>
      <c r="AQ80" s="44"/>
      <c r="AR80" s="56"/>
      <c r="AS80" s="56">
        <f>Tabela4[[#This Row],[Total R$]]-Tabela4[[#This Row],[Total Pago]]</f>
        <v>0</v>
      </c>
      <c r="AT80" s="36"/>
    </row>
    <row r="81" spans="2:46" x14ac:dyDescent="0.25">
      <c r="B81" s="44"/>
      <c r="D81" s="349"/>
      <c r="E81" s="33"/>
      <c r="F81" s="33"/>
      <c r="G81" s="33"/>
      <c r="H81" s="33"/>
      <c r="I81" s="33"/>
      <c r="J81" s="33"/>
      <c r="K81" s="33"/>
      <c r="L81" s="561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44"/>
      <c r="AP81" s="37"/>
      <c r="AQ81" s="44"/>
      <c r="AR81" s="56"/>
      <c r="AS81" s="56">
        <f>Tabela4[[#This Row],[Total R$]]-Tabela4[[#This Row],[Total Pago]]</f>
        <v>0</v>
      </c>
      <c r="AT81" s="36"/>
    </row>
    <row r="82" spans="2:46" x14ac:dyDescent="0.25">
      <c r="B82" s="44"/>
      <c r="D82" s="349"/>
      <c r="E82" s="33"/>
      <c r="F82" s="33"/>
      <c r="G82" s="33"/>
      <c r="H82" s="33"/>
      <c r="I82" s="33"/>
      <c r="J82" s="33"/>
      <c r="K82" s="33"/>
      <c r="L82" s="561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44"/>
      <c r="AP82" s="37"/>
      <c r="AQ82" s="44"/>
      <c r="AR82" s="56"/>
      <c r="AS82" s="56">
        <f>Tabela4[[#This Row],[Total R$]]-Tabela4[[#This Row],[Total Pago]]</f>
        <v>0</v>
      </c>
      <c r="AT82" s="36"/>
    </row>
    <row r="83" spans="2:46" x14ac:dyDescent="0.25">
      <c r="B83" s="44"/>
      <c r="D83" s="349"/>
      <c r="E83" s="33"/>
      <c r="F83" s="33"/>
      <c r="G83" s="33"/>
      <c r="H83" s="33"/>
      <c r="I83" s="33"/>
      <c r="J83" s="33"/>
      <c r="K83" s="33"/>
      <c r="L83" s="561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44"/>
      <c r="AP83" s="37"/>
      <c r="AQ83" s="44"/>
      <c r="AR83" s="56"/>
      <c r="AS83" s="56">
        <f>Tabela4[[#This Row],[Total R$]]-Tabela4[[#This Row],[Total Pago]]</f>
        <v>0</v>
      </c>
      <c r="AT83" s="36"/>
    </row>
    <row r="84" spans="2:46" x14ac:dyDescent="0.25">
      <c r="B84" s="44"/>
      <c r="D84" s="349"/>
      <c r="E84" s="33"/>
      <c r="F84" s="33"/>
      <c r="G84" s="33"/>
      <c r="H84" s="33"/>
      <c r="I84" s="33"/>
      <c r="J84" s="33"/>
      <c r="K84" s="33"/>
      <c r="L84" s="561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44"/>
      <c r="AP84" s="37"/>
      <c r="AQ84" s="44"/>
      <c r="AR84" s="56"/>
      <c r="AS84" s="56">
        <f>Tabela4[[#This Row],[Total R$]]-Tabela4[[#This Row],[Total Pago]]</f>
        <v>0</v>
      </c>
      <c r="AT84" s="36"/>
    </row>
    <row r="85" spans="2:46" x14ac:dyDescent="0.25">
      <c r="B85" s="44"/>
      <c r="D85" s="349"/>
      <c r="E85" s="33"/>
      <c r="F85" s="33"/>
      <c r="G85" s="33"/>
      <c r="H85" s="33"/>
      <c r="I85" s="33"/>
      <c r="J85" s="33"/>
      <c r="K85" s="33"/>
      <c r="L85" s="561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44"/>
      <c r="AP85" s="37"/>
      <c r="AQ85" s="44"/>
      <c r="AR85" s="56"/>
      <c r="AS85" s="56">
        <f>Tabela4[[#This Row],[Total R$]]-Tabela4[[#This Row],[Total Pago]]</f>
        <v>0</v>
      </c>
      <c r="AT85" s="36"/>
    </row>
    <row r="86" spans="2:46" x14ac:dyDescent="0.25">
      <c r="B86" s="44"/>
      <c r="D86" s="349"/>
      <c r="E86" s="33"/>
      <c r="F86" s="33"/>
      <c r="G86" s="33"/>
      <c r="H86" s="33"/>
      <c r="I86" s="33"/>
      <c r="J86" s="33"/>
      <c r="K86" s="33"/>
      <c r="L86" s="561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44"/>
      <c r="AP86" s="37"/>
      <c r="AQ86" s="44"/>
      <c r="AR86" s="56"/>
      <c r="AS86" s="56">
        <f>Tabela4[[#This Row],[Total R$]]-Tabela4[[#This Row],[Total Pago]]</f>
        <v>0</v>
      </c>
      <c r="AT86" s="36"/>
    </row>
    <row r="87" spans="2:46" x14ac:dyDescent="0.25">
      <c r="B87" s="44"/>
      <c r="D87" s="349"/>
      <c r="E87" s="33"/>
      <c r="F87" s="33"/>
      <c r="G87" s="33"/>
      <c r="H87" s="33"/>
      <c r="I87" s="33"/>
      <c r="J87" s="33"/>
      <c r="K87" s="33"/>
      <c r="L87" s="561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44"/>
      <c r="AP87" s="37"/>
      <c r="AQ87" s="44"/>
      <c r="AR87" s="56"/>
      <c r="AS87" s="56">
        <f>Tabela4[[#This Row],[Total R$]]-Tabela4[[#This Row],[Total Pago]]</f>
        <v>0</v>
      </c>
      <c r="AT87" s="36"/>
    </row>
    <row r="88" spans="2:46" x14ac:dyDescent="0.25">
      <c r="B88" s="44"/>
      <c r="D88" s="349"/>
      <c r="E88" s="33"/>
      <c r="F88" s="33"/>
      <c r="G88" s="33"/>
      <c r="H88" s="33"/>
      <c r="I88" s="33"/>
      <c r="J88" s="33"/>
      <c r="K88" s="33"/>
      <c r="L88" s="561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44"/>
      <c r="AP88" s="37"/>
      <c r="AQ88" s="44"/>
      <c r="AR88" s="56"/>
      <c r="AS88" s="56">
        <f>Tabela4[[#This Row],[Total R$]]-Tabela4[[#This Row],[Total Pago]]</f>
        <v>0</v>
      </c>
      <c r="AT88" s="36"/>
    </row>
    <row r="89" spans="2:46" x14ac:dyDescent="0.25">
      <c r="B89" s="44"/>
      <c r="D89" s="349"/>
      <c r="E89" s="33"/>
      <c r="F89" s="33"/>
      <c r="G89" s="33"/>
      <c r="H89" s="33"/>
      <c r="I89" s="33"/>
      <c r="J89" s="33"/>
      <c r="K89" s="33"/>
      <c r="L89" s="561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44"/>
      <c r="AP89" s="37"/>
      <c r="AQ89" s="44"/>
      <c r="AR89" s="56"/>
      <c r="AS89" s="56">
        <f>Tabela4[[#This Row],[Total R$]]-Tabela4[[#This Row],[Total Pago]]</f>
        <v>0</v>
      </c>
      <c r="AT89" s="36"/>
    </row>
    <row r="90" spans="2:46" x14ac:dyDescent="0.25">
      <c r="B90" s="44"/>
      <c r="D90" s="349"/>
      <c r="E90" s="33"/>
      <c r="F90" s="33"/>
      <c r="G90" s="33"/>
      <c r="H90" s="33"/>
      <c r="I90" s="33"/>
      <c r="J90" s="33"/>
      <c r="K90" s="33"/>
      <c r="L90" s="561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44"/>
      <c r="AP90" s="37"/>
      <c r="AQ90" s="44"/>
      <c r="AR90" s="56"/>
      <c r="AS90" s="56">
        <f>Tabela4[[#This Row],[Total R$]]-Tabela4[[#This Row],[Total Pago]]</f>
        <v>0</v>
      </c>
      <c r="AT90" s="36"/>
    </row>
    <row r="91" spans="2:46" x14ac:dyDescent="0.25">
      <c r="B91" s="44"/>
      <c r="D91" s="349"/>
      <c r="E91" s="33"/>
      <c r="F91" s="33"/>
      <c r="G91" s="33"/>
      <c r="H91" s="33"/>
      <c r="I91" s="33"/>
      <c r="J91" s="33"/>
      <c r="K91" s="33"/>
      <c r="L91" s="561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44"/>
      <c r="AP91" s="37"/>
      <c r="AQ91" s="44"/>
      <c r="AR91" s="56"/>
      <c r="AS91" s="56">
        <f>Tabela4[[#This Row],[Total R$]]-Tabela4[[#This Row],[Total Pago]]</f>
        <v>0</v>
      </c>
      <c r="AT91" s="36"/>
    </row>
    <row r="92" spans="2:46" x14ac:dyDescent="0.25">
      <c r="B92" s="44"/>
      <c r="D92" s="349"/>
      <c r="E92" s="33"/>
      <c r="F92" s="33"/>
      <c r="G92" s="33"/>
      <c r="H92" s="33"/>
      <c r="I92" s="33"/>
      <c r="J92" s="33"/>
      <c r="K92" s="33"/>
      <c r="L92" s="561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44"/>
      <c r="AP92" s="37"/>
      <c r="AQ92" s="44"/>
      <c r="AR92" s="56"/>
      <c r="AS92" s="56">
        <f>Tabela4[[#This Row],[Total R$]]-Tabela4[[#This Row],[Total Pago]]</f>
        <v>0</v>
      </c>
      <c r="AT92" s="36"/>
    </row>
    <row r="93" spans="2:46" x14ac:dyDescent="0.25">
      <c r="B93" s="44"/>
      <c r="D93" s="349"/>
      <c r="E93" s="33"/>
      <c r="F93" s="33"/>
      <c r="G93" s="33"/>
      <c r="H93" s="33"/>
      <c r="I93" s="33"/>
      <c r="J93" s="33"/>
      <c r="K93" s="33"/>
      <c r="L93" s="561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44"/>
      <c r="AP93" s="37"/>
      <c r="AQ93" s="44"/>
      <c r="AR93" s="56"/>
      <c r="AS93" s="56">
        <f>Tabela4[[#This Row],[Total R$]]-Tabela4[[#This Row],[Total Pago]]</f>
        <v>0</v>
      </c>
      <c r="AT93" s="36"/>
    </row>
    <row r="94" spans="2:46" x14ac:dyDescent="0.25">
      <c r="B94" s="44"/>
      <c r="D94" s="349"/>
      <c r="E94" s="33"/>
      <c r="F94" s="33"/>
      <c r="G94" s="33"/>
      <c r="H94" s="33"/>
      <c r="I94" s="33"/>
      <c r="J94" s="33"/>
      <c r="K94" s="33"/>
      <c r="L94" s="561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44"/>
      <c r="AP94" s="37"/>
      <c r="AQ94" s="44"/>
      <c r="AR94" s="56"/>
      <c r="AS94" s="56">
        <f>Tabela4[[#This Row],[Total R$]]-Tabela4[[#This Row],[Total Pago]]</f>
        <v>0</v>
      </c>
      <c r="AT94" s="36"/>
    </row>
    <row r="95" spans="2:46" x14ac:dyDescent="0.25">
      <c r="B95" s="44"/>
      <c r="D95" s="349"/>
      <c r="E95" s="33"/>
      <c r="F95" s="33"/>
      <c r="G95" s="33"/>
      <c r="H95" s="33"/>
      <c r="I95" s="33"/>
      <c r="J95" s="33"/>
      <c r="K95" s="33"/>
      <c r="L95" s="561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44"/>
      <c r="AP95" s="37"/>
      <c r="AQ95" s="44"/>
      <c r="AR95" s="56"/>
      <c r="AS95" s="56">
        <f>Tabela4[[#This Row],[Total R$]]-Tabela4[[#This Row],[Total Pago]]</f>
        <v>0</v>
      </c>
      <c r="AT95" s="36"/>
    </row>
    <row r="96" spans="2:46" x14ac:dyDescent="0.25">
      <c r="B96" s="44"/>
      <c r="D96" s="349"/>
      <c r="E96" s="33"/>
      <c r="F96" s="33"/>
      <c r="G96" s="33"/>
      <c r="H96" s="33"/>
      <c r="I96" s="33"/>
      <c r="J96" s="33"/>
      <c r="K96" s="33"/>
      <c r="L96" s="561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44"/>
      <c r="AP96" s="37"/>
      <c r="AQ96" s="44"/>
      <c r="AR96" s="56"/>
      <c r="AS96" s="56">
        <f>Tabela4[[#This Row],[Total R$]]-Tabela4[[#This Row],[Total Pago]]</f>
        <v>0</v>
      </c>
      <c r="AT96" s="36"/>
    </row>
    <row r="97" spans="2:46" x14ac:dyDescent="0.25">
      <c r="B97" s="44"/>
      <c r="D97" s="349"/>
      <c r="E97" s="33"/>
      <c r="F97" s="33"/>
      <c r="G97" s="33"/>
      <c r="H97" s="33"/>
      <c r="I97" s="33"/>
      <c r="J97" s="33"/>
      <c r="K97" s="33"/>
      <c r="L97" s="561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44"/>
      <c r="AP97" s="37"/>
      <c r="AQ97" s="44"/>
      <c r="AR97" s="56"/>
      <c r="AS97" s="56">
        <f>Tabela4[[#This Row],[Total R$]]-Tabela4[[#This Row],[Total Pago]]</f>
        <v>0</v>
      </c>
      <c r="AT97" s="36"/>
    </row>
    <row r="98" spans="2:46" x14ac:dyDescent="0.25">
      <c r="B98" s="44"/>
      <c r="D98" s="349"/>
      <c r="E98" s="33"/>
      <c r="F98" s="33"/>
      <c r="G98" s="33"/>
      <c r="H98" s="33"/>
      <c r="I98" s="33"/>
      <c r="J98" s="33"/>
      <c r="K98" s="33"/>
      <c r="L98" s="561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44"/>
      <c r="AP98" s="37"/>
      <c r="AQ98" s="44"/>
      <c r="AR98" s="56"/>
      <c r="AS98" s="56">
        <f>Tabela4[[#This Row],[Total R$]]-Tabela4[[#This Row],[Total Pago]]</f>
        <v>0</v>
      </c>
      <c r="AT98" s="36"/>
    </row>
    <row r="99" spans="2:46" x14ac:dyDescent="0.25">
      <c r="B99" s="44"/>
      <c r="D99" s="349"/>
      <c r="E99" s="33"/>
      <c r="F99" s="33"/>
      <c r="G99" s="33"/>
      <c r="H99" s="33"/>
      <c r="I99" s="33"/>
      <c r="J99" s="33"/>
      <c r="K99" s="33"/>
      <c r="L99" s="561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44"/>
      <c r="AP99" s="37"/>
      <c r="AQ99" s="44"/>
      <c r="AR99" s="56"/>
      <c r="AS99" s="56">
        <f>Tabela4[[#This Row],[Total R$]]-Tabela4[[#This Row],[Total Pago]]</f>
        <v>0</v>
      </c>
      <c r="AT99" s="36"/>
    </row>
    <row r="100" spans="2:46" x14ac:dyDescent="0.25">
      <c r="B100" s="44"/>
      <c r="D100" s="349"/>
      <c r="E100" s="33"/>
      <c r="F100" s="33"/>
      <c r="G100" s="33"/>
      <c r="H100" s="33"/>
      <c r="I100" s="33"/>
      <c r="J100" s="33"/>
      <c r="K100" s="33"/>
      <c r="L100" s="561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44"/>
      <c r="AP100" s="37"/>
      <c r="AQ100" s="44"/>
      <c r="AR100" s="56"/>
      <c r="AS100" s="56">
        <f>Tabela4[[#This Row],[Total R$]]-Tabela4[[#This Row],[Total Pago]]</f>
        <v>0</v>
      </c>
      <c r="AT100" s="36"/>
    </row>
    <row r="101" spans="2:46" x14ac:dyDescent="0.25">
      <c r="B101" s="44"/>
      <c r="D101" s="349"/>
      <c r="E101" s="33"/>
      <c r="F101" s="33"/>
      <c r="G101" s="33"/>
      <c r="H101" s="33"/>
      <c r="I101" s="33"/>
      <c r="J101" s="33"/>
      <c r="K101" s="33"/>
      <c r="L101" s="561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44"/>
      <c r="AP101" s="37"/>
      <c r="AQ101" s="44"/>
      <c r="AR101" s="56"/>
      <c r="AS101" s="56">
        <f>Tabela4[[#This Row],[Total R$]]-Tabela4[[#This Row],[Total Pago]]</f>
        <v>0</v>
      </c>
      <c r="AT101" s="36"/>
    </row>
    <row r="102" spans="2:46" x14ac:dyDescent="0.25">
      <c r="B102" s="44"/>
      <c r="D102" s="349"/>
      <c r="E102" s="33"/>
      <c r="F102" s="33"/>
      <c r="G102" s="33"/>
      <c r="H102" s="33"/>
      <c r="I102" s="33"/>
      <c r="J102" s="33"/>
      <c r="K102" s="33"/>
      <c r="L102" s="561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44"/>
      <c r="AP102" s="37"/>
      <c r="AQ102" s="44"/>
      <c r="AR102" s="56"/>
      <c r="AS102" s="56">
        <f>Tabela4[[#This Row],[Total R$]]-Tabela4[[#This Row],[Total Pago]]</f>
        <v>0</v>
      </c>
      <c r="AT102" s="36"/>
    </row>
    <row r="103" spans="2:46" x14ac:dyDescent="0.25">
      <c r="B103" s="44"/>
      <c r="D103" s="349"/>
      <c r="E103" s="33"/>
      <c r="F103" s="33"/>
      <c r="G103" s="33"/>
      <c r="H103" s="33"/>
      <c r="I103" s="33"/>
      <c r="J103" s="33"/>
      <c r="K103" s="33"/>
      <c r="L103" s="561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44"/>
      <c r="AP103" s="37"/>
      <c r="AQ103" s="28"/>
      <c r="AR103" s="56"/>
      <c r="AS103" s="56">
        <f>Tabela4[[#This Row],[Total R$]]-Tabela4[[#This Row],[Total Pago]]</f>
        <v>0</v>
      </c>
      <c r="AT103" s="36"/>
    </row>
    <row r="104" spans="2:46" x14ac:dyDescent="0.25">
      <c r="B104" s="44"/>
      <c r="D104" s="349"/>
      <c r="E104" s="33"/>
      <c r="F104" s="33"/>
      <c r="G104" s="33"/>
      <c r="H104" s="33"/>
      <c r="I104" s="33"/>
      <c r="J104" s="33"/>
      <c r="K104" s="33"/>
      <c r="L104" s="561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44"/>
      <c r="AP104" s="37"/>
      <c r="AQ104" s="44"/>
      <c r="AR104" s="56"/>
      <c r="AS104" s="56">
        <f>Tabela4[[#This Row],[Total R$]]-Tabela4[[#This Row],[Total Pago]]</f>
        <v>0</v>
      </c>
      <c r="AT104" s="36"/>
    </row>
    <row r="105" spans="2:46" x14ac:dyDescent="0.25">
      <c r="B105" s="44"/>
      <c r="D105" s="349"/>
      <c r="E105" s="33"/>
      <c r="F105" s="33"/>
      <c r="G105" s="33"/>
      <c r="H105" s="33"/>
      <c r="I105" s="33"/>
      <c r="J105" s="33"/>
      <c r="K105" s="33"/>
      <c r="L105" s="561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44"/>
      <c r="AP105" s="37"/>
      <c r="AQ105" s="28"/>
      <c r="AR105" s="56"/>
      <c r="AS105" s="56">
        <f>Tabela4[[#This Row],[Total R$]]-Tabela4[[#This Row],[Total Pago]]</f>
        <v>0</v>
      </c>
      <c r="AT105" s="36"/>
    </row>
    <row r="106" spans="2:46" x14ac:dyDescent="0.25">
      <c r="B106" s="44"/>
      <c r="D106" s="349"/>
      <c r="E106" s="33"/>
      <c r="F106" s="33"/>
      <c r="G106" s="33"/>
      <c r="H106" s="33"/>
      <c r="I106" s="33"/>
      <c r="J106" s="33"/>
      <c r="K106" s="33"/>
      <c r="L106" s="561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44"/>
      <c r="AP106" s="37"/>
      <c r="AQ106" s="28"/>
      <c r="AR106" s="56"/>
      <c r="AS106" s="56">
        <f>Tabela4[[#This Row],[Total R$]]-Tabela4[[#This Row],[Total Pago]]</f>
        <v>0</v>
      </c>
      <c r="AT106" s="36"/>
    </row>
    <row r="107" spans="2:46" x14ac:dyDescent="0.25">
      <c r="B107" s="44"/>
      <c r="D107" s="349"/>
      <c r="E107" s="33"/>
      <c r="F107" s="33"/>
      <c r="G107" s="33"/>
      <c r="H107" s="33"/>
      <c r="I107" s="33"/>
      <c r="J107" s="33"/>
      <c r="K107" s="33"/>
      <c r="L107" s="561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44"/>
      <c r="AP107" s="37"/>
      <c r="AQ107" s="28"/>
      <c r="AR107" s="56"/>
      <c r="AS107" s="56">
        <f>Tabela4[[#This Row],[Total R$]]-Tabela4[[#This Row],[Total Pago]]</f>
        <v>0</v>
      </c>
      <c r="AT107" s="36"/>
    </row>
    <row r="108" spans="2:46" x14ac:dyDescent="0.25">
      <c r="B108" s="44"/>
      <c r="D108" s="349"/>
      <c r="E108" s="33"/>
      <c r="F108" s="33"/>
      <c r="G108" s="33"/>
      <c r="H108" s="33"/>
      <c r="I108" s="33"/>
      <c r="J108" s="33"/>
      <c r="K108" s="33"/>
      <c r="L108" s="561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44"/>
      <c r="AP108" s="37"/>
      <c r="AQ108" s="28"/>
      <c r="AR108" s="56"/>
      <c r="AS108" s="56">
        <f>Tabela4[[#This Row],[Total R$]]-Tabela4[[#This Row],[Total Pago]]</f>
        <v>0</v>
      </c>
      <c r="AT108" s="36"/>
    </row>
    <row r="109" spans="2:46" x14ac:dyDescent="0.25">
      <c r="B109" s="44"/>
      <c r="D109" s="349"/>
      <c r="E109" s="33"/>
      <c r="F109" s="33"/>
      <c r="G109" s="33"/>
      <c r="H109" s="33"/>
      <c r="I109" s="33"/>
      <c r="J109" s="33"/>
      <c r="K109" s="33"/>
      <c r="L109" s="561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44"/>
      <c r="AP109" s="37"/>
      <c r="AQ109" s="44"/>
      <c r="AR109" s="56"/>
      <c r="AS109" s="56">
        <f>Tabela4[[#This Row],[Total R$]]-Tabela4[[#This Row],[Total Pago]]</f>
        <v>0</v>
      </c>
      <c r="AT109" s="36"/>
    </row>
    <row r="110" spans="2:46" x14ac:dyDescent="0.25">
      <c r="B110" s="44"/>
      <c r="D110" s="349"/>
      <c r="E110" s="33"/>
      <c r="F110" s="33"/>
      <c r="G110" s="33"/>
      <c r="H110" s="33"/>
      <c r="I110" s="33"/>
      <c r="J110" s="33"/>
      <c r="K110" s="33"/>
      <c r="L110" s="561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44"/>
      <c r="AP110" s="37"/>
      <c r="AQ110" s="28"/>
      <c r="AR110" s="56"/>
      <c r="AS110" s="56">
        <f>Tabela4[[#This Row],[Total R$]]-Tabela4[[#This Row],[Total Pago]]</f>
        <v>0</v>
      </c>
      <c r="AT110" s="36"/>
    </row>
    <row r="111" spans="2:46" x14ac:dyDescent="0.25">
      <c r="B111" s="44"/>
      <c r="D111" s="349"/>
      <c r="E111" s="33"/>
      <c r="F111" s="33"/>
      <c r="G111" s="33"/>
      <c r="H111" s="33"/>
      <c r="I111" s="33"/>
      <c r="J111" s="33"/>
      <c r="K111" s="33"/>
      <c r="L111" s="561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44"/>
      <c r="AP111" s="37"/>
      <c r="AQ111" s="28"/>
      <c r="AR111" s="56"/>
      <c r="AS111" s="56">
        <f>Tabela4[[#This Row],[Total R$]]-Tabela4[[#This Row],[Total Pago]]</f>
        <v>0</v>
      </c>
      <c r="AT111" s="36"/>
    </row>
    <row r="112" spans="2:46" x14ac:dyDescent="0.25">
      <c r="B112" s="44"/>
      <c r="D112" s="349"/>
      <c r="E112" s="33"/>
      <c r="F112" s="33"/>
      <c r="G112" s="33"/>
      <c r="H112" s="33"/>
      <c r="I112" s="33"/>
      <c r="J112" s="33"/>
      <c r="K112" s="33"/>
      <c r="L112" s="561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44"/>
      <c r="AP112" s="37"/>
      <c r="AQ112" s="44"/>
      <c r="AR112" s="56"/>
      <c r="AS112" s="56">
        <f>Tabela4[[#This Row],[Total R$]]-Tabela4[[#This Row],[Total Pago]]</f>
        <v>0</v>
      </c>
      <c r="AT112" s="36"/>
    </row>
    <row r="113" spans="2:46" x14ac:dyDescent="0.25">
      <c r="B113" s="44"/>
      <c r="D113" s="349"/>
      <c r="E113" s="33"/>
      <c r="F113" s="33"/>
      <c r="G113" s="33"/>
      <c r="H113" s="33"/>
      <c r="I113" s="33"/>
      <c r="J113" s="33"/>
      <c r="K113" s="33"/>
      <c r="L113" s="561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44"/>
      <c r="AP113" s="37"/>
      <c r="AQ113" s="44"/>
      <c r="AR113" s="56"/>
      <c r="AS113" s="56">
        <f>Tabela4[[#This Row],[Total R$]]-Tabela4[[#This Row],[Total Pago]]</f>
        <v>0</v>
      </c>
      <c r="AT113" s="36"/>
    </row>
    <row r="114" spans="2:46" x14ac:dyDescent="0.25">
      <c r="B114" s="44"/>
      <c r="D114" s="349"/>
      <c r="E114" s="33"/>
      <c r="F114" s="33"/>
      <c r="G114" s="33"/>
      <c r="H114" s="33"/>
      <c r="I114" s="33"/>
      <c r="J114" s="33"/>
      <c r="K114" s="33"/>
      <c r="L114" s="561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44"/>
      <c r="AP114" s="37"/>
      <c r="AQ114" s="44"/>
      <c r="AR114" s="56"/>
      <c r="AS114" s="56">
        <f>Tabela4[[#This Row],[Total R$]]-Tabela4[[#This Row],[Total Pago]]</f>
        <v>0</v>
      </c>
      <c r="AT114" s="36"/>
    </row>
    <row r="115" spans="2:46" x14ac:dyDescent="0.25">
      <c r="B115" s="44"/>
      <c r="D115" s="349"/>
      <c r="E115" s="33"/>
      <c r="F115" s="33"/>
      <c r="G115" s="33"/>
      <c r="H115" s="33"/>
      <c r="I115" s="33"/>
      <c r="J115" s="33"/>
      <c r="K115" s="33"/>
      <c r="L115" s="561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44"/>
      <c r="AP115" s="37"/>
      <c r="AQ115" s="44"/>
      <c r="AR115" s="56"/>
      <c r="AS115" s="56">
        <f>Tabela4[[#This Row],[Total R$]]-Tabela4[[#This Row],[Total Pago]]</f>
        <v>0</v>
      </c>
      <c r="AT115" s="36"/>
    </row>
    <row r="116" spans="2:46" x14ac:dyDescent="0.25">
      <c r="B116" s="44"/>
      <c r="D116" s="349"/>
      <c r="E116" s="33"/>
      <c r="F116" s="33"/>
      <c r="G116" s="33"/>
      <c r="H116" s="33"/>
      <c r="I116" s="33"/>
      <c r="J116" s="33"/>
      <c r="K116" s="33"/>
      <c r="L116" s="561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44"/>
      <c r="AP116" s="37"/>
      <c r="AQ116" s="44"/>
      <c r="AR116" s="56"/>
      <c r="AS116" s="56">
        <f>Tabela4[[#This Row],[Total R$]]-Tabela4[[#This Row],[Total Pago]]</f>
        <v>0</v>
      </c>
      <c r="AT116" s="36"/>
    </row>
    <row r="117" spans="2:46" x14ac:dyDescent="0.25">
      <c r="B117" s="44"/>
      <c r="D117" s="349"/>
      <c r="E117" s="33"/>
      <c r="F117" s="33"/>
      <c r="G117" s="33"/>
      <c r="H117" s="33"/>
      <c r="I117" s="33"/>
      <c r="J117" s="33"/>
      <c r="K117" s="33"/>
      <c r="L117" s="561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44"/>
      <c r="AP117" s="37"/>
      <c r="AQ117" s="44"/>
      <c r="AR117" s="56"/>
      <c r="AS117" s="56">
        <f>Tabela4[[#This Row],[Total R$]]-Tabela4[[#This Row],[Total Pago]]</f>
        <v>0</v>
      </c>
      <c r="AT117" s="36"/>
    </row>
    <row r="118" spans="2:46" x14ac:dyDescent="0.25">
      <c r="B118" s="44"/>
      <c r="D118" s="349"/>
      <c r="E118" s="33"/>
      <c r="F118" s="33"/>
      <c r="G118" s="33"/>
      <c r="H118" s="33"/>
      <c r="I118" s="33"/>
      <c r="J118" s="33"/>
      <c r="K118" s="33"/>
      <c r="L118" s="561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44"/>
      <c r="AP118" s="37"/>
      <c r="AQ118" s="44"/>
      <c r="AR118" s="56"/>
      <c r="AS118" s="56">
        <f>Tabela4[[#This Row],[Total R$]]-Tabela4[[#This Row],[Total Pago]]</f>
        <v>0</v>
      </c>
      <c r="AT118" s="36"/>
    </row>
    <row r="119" spans="2:46" x14ac:dyDescent="0.25">
      <c r="B119" s="44"/>
      <c r="D119" s="349"/>
      <c r="E119" s="33"/>
      <c r="F119" s="33"/>
      <c r="G119" s="33"/>
      <c r="H119" s="33"/>
      <c r="I119" s="33"/>
      <c r="J119" s="33"/>
      <c r="K119" s="33"/>
      <c r="L119" s="561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44"/>
      <c r="AP119" s="37"/>
      <c r="AQ119" s="44"/>
      <c r="AR119" s="56"/>
      <c r="AS119" s="56">
        <f>Tabela4[[#This Row],[Total R$]]-Tabela4[[#This Row],[Total Pago]]</f>
        <v>0</v>
      </c>
      <c r="AT119" s="36"/>
    </row>
    <row r="120" spans="2:46" x14ac:dyDescent="0.25">
      <c r="B120" s="44"/>
      <c r="D120" s="349"/>
      <c r="E120" s="33"/>
      <c r="F120" s="33"/>
      <c r="G120" s="33"/>
      <c r="H120" s="33"/>
      <c r="I120" s="33"/>
      <c r="J120" s="33"/>
      <c r="K120" s="33"/>
      <c r="L120" s="561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44"/>
      <c r="AP120" s="37"/>
      <c r="AQ120" s="44"/>
      <c r="AR120" s="56"/>
      <c r="AS120" s="56">
        <f>Tabela4[[#This Row],[Total R$]]-Tabela4[[#This Row],[Total Pago]]</f>
        <v>0</v>
      </c>
      <c r="AT120" s="36"/>
    </row>
    <row r="121" spans="2:46" x14ac:dyDescent="0.25">
      <c r="B121" s="44"/>
      <c r="D121" s="349"/>
      <c r="E121" s="33"/>
      <c r="F121" s="33"/>
      <c r="G121" s="33"/>
      <c r="H121" s="33"/>
      <c r="I121" s="33"/>
      <c r="J121" s="33"/>
      <c r="K121" s="33"/>
      <c r="L121" s="561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44"/>
      <c r="AP121" s="37"/>
      <c r="AQ121" s="44"/>
      <c r="AR121" s="56"/>
      <c r="AS121" s="56">
        <f>Tabela4[[#This Row],[Total R$]]-Tabela4[[#This Row],[Total Pago]]</f>
        <v>0</v>
      </c>
      <c r="AT121" s="36"/>
    </row>
    <row r="122" spans="2:46" x14ac:dyDescent="0.25">
      <c r="B122" s="44"/>
      <c r="D122" s="349"/>
      <c r="E122" s="33"/>
      <c r="F122" s="33"/>
      <c r="G122" s="33"/>
      <c r="H122" s="33"/>
      <c r="I122" s="33"/>
      <c r="J122" s="33"/>
      <c r="K122" s="33"/>
      <c r="L122" s="561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44"/>
      <c r="AP122" s="37"/>
      <c r="AQ122" s="44"/>
      <c r="AR122" s="56"/>
      <c r="AS122" s="56">
        <f>Tabela4[[#This Row],[Total R$]]-Tabela4[[#This Row],[Total Pago]]</f>
        <v>0</v>
      </c>
      <c r="AT122" s="36"/>
    </row>
    <row r="123" spans="2:46" x14ac:dyDescent="0.25">
      <c r="B123" s="44"/>
      <c r="D123" s="349"/>
      <c r="E123" s="33"/>
      <c r="F123" s="33"/>
      <c r="G123" s="33"/>
      <c r="H123" s="33"/>
      <c r="I123" s="33"/>
      <c r="J123" s="33"/>
      <c r="K123" s="33"/>
      <c r="L123" s="561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44"/>
      <c r="AP123" s="37"/>
      <c r="AQ123" s="44"/>
      <c r="AR123" s="56"/>
      <c r="AS123" s="56">
        <f>Tabela4[[#This Row],[Total R$]]-Tabela4[[#This Row],[Total Pago]]</f>
        <v>0</v>
      </c>
      <c r="AT123" s="36"/>
    </row>
    <row r="124" spans="2:46" x14ac:dyDescent="0.25">
      <c r="B124" s="44"/>
      <c r="D124" s="349"/>
      <c r="E124" s="33"/>
      <c r="F124" s="33"/>
      <c r="G124" s="33"/>
      <c r="H124" s="33"/>
      <c r="I124" s="33"/>
      <c r="J124" s="33"/>
      <c r="K124" s="33"/>
      <c r="L124" s="561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44"/>
      <c r="AP124" s="37"/>
      <c r="AQ124" s="44"/>
      <c r="AR124" s="56"/>
      <c r="AS124" s="56">
        <f>Tabela4[[#This Row],[Total R$]]-Tabela4[[#This Row],[Total Pago]]</f>
        <v>0</v>
      </c>
      <c r="AT124" s="36"/>
    </row>
    <row r="125" spans="2:46" x14ac:dyDescent="0.25">
      <c r="B125" s="44"/>
      <c r="D125" s="349"/>
      <c r="E125" s="33"/>
      <c r="F125" s="33"/>
      <c r="G125" s="33"/>
      <c r="H125" s="33"/>
      <c r="I125" s="33"/>
      <c r="J125" s="33"/>
      <c r="K125" s="33"/>
      <c r="L125" s="561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44"/>
      <c r="AP125" s="37"/>
      <c r="AQ125" s="44"/>
      <c r="AR125" s="56"/>
      <c r="AS125" s="56">
        <f>Tabela4[[#This Row],[Total R$]]-Tabela4[[#This Row],[Total Pago]]</f>
        <v>0</v>
      </c>
      <c r="AT125" s="36"/>
    </row>
    <row r="126" spans="2:46" x14ac:dyDescent="0.25">
      <c r="B126" s="44"/>
      <c r="D126" s="349"/>
      <c r="E126" s="33"/>
      <c r="F126" s="33"/>
      <c r="G126" s="33"/>
      <c r="H126" s="33"/>
      <c r="I126" s="33"/>
      <c r="J126" s="33"/>
      <c r="K126" s="33"/>
      <c r="L126" s="561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44"/>
      <c r="AP126" s="37"/>
      <c r="AQ126" s="44"/>
      <c r="AR126" s="56"/>
      <c r="AS126" s="56">
        <f>Tabela4[[#This Row],[Total R$]]-Tabela4[[#This Row],[Total Pago]]</f>
        <v>0</v>
      </c>
      <c r="AT126" s="36"/>
    </row>
    <row r="127" spans="2:46" x14ac:dyDescent="0.25">
      <c r="B127" s="44"/>
      <c r="D127" s="349"/>
      <c r="E127" s="33"/>
      <c r="F127" s="33"/>
      <c r="G127" s="33"/>
      <c r="H127" s="33"/>
      <c r="I127" s="33"/>
      <c r="J127" s="33"/>
      <c r="K127" s="33"/>
      <c r="L127" s="561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44"/>
      <c r="AP127" s="37"/>
      <c r="AQ127" s="44"/>
      <c r="AR127" s="56"/>
      <c r="AS127" s="56">
        <f>Tabela4[[#This Row],[Total R$]]-Tabela4[[#This Row],[Total Pago]]</f>
        <v>0</v>
      </c>
      <c r="AT127" s="36"/>
    </row>
    <row r="128" spans="2:46" x14ac:dyDescent="0.25">
      <c r="B128" s="44"/>
      <c r="D128" s="349"/>
      <c r="E128" s="33"/>
      <c r="F128" s="33"/>
      <c r="G128" s="33"/>
      <c r="H128" s="33"/>
      <c r="I128" s="33"/>
      <c r="J128" s="33"/>
      <c r="K128" s="33"/>
      <c r="L128" s="561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44"/>
      <c r="AP128" s="37"/>
      <c r="AQ128" s="44"/>
      <c r="AR128" s="56"/>
      <c r="AS128" s="56">
        <f>Tabela4[[#This Row],[Total R$]]-Tabela4[[#This Row],[Total Pago]]</f>
        <v>0</v>
      </c>
      <c r="AT128" s="36"/>
    </row>
    <row r="129" spans="2:46" x14ac:dyDescent="0.25">
      <c r="B129" s="44"/>
      <c r="D129" s="349"/>
      <c r="E129" s="33"/>
      <c r="F129" s="33"/>
      <c r="G129" s="33"/>
      <c r="H129" s="33"/>
      <c r="I129" s="33"/>
      <c r="J129" s="33"/>
      <c r="K129" s="33"/>
      <c r="L129" s="561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44"/>
      <c r="AP129" s="37"/>
      <c r="AQ129" s="44"/>
      <c r="AR129" s="56"/>
      <c r="AS129" s="56">
        <f>Tabela4[[#This Row],[Total R$]]-Tabela4[[#This Row],[Total Pago]]</f>
        <v>0</v>
      </c>
      <c r="AT129" s="36"/>
    </row>
    <row r="130" spans="2:46" x14ac:dyDescent="0.25">
      <c r="B130" s="44"/>
      <c r="D130" s="349"/>
      <c r="E130" s="33"/>
      <c r="F130" s="33"/>
      <c r="G130" s="33"/>
      <c r="H130" s="33"/>
      <c r="I130" s="33"/>
      <c r="J130" s="33"/>
      <c r="K130" s="33"/>
      <c r="L130" s="561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44"/>
      <c r="AP130" s="37"/>
      <c r="AQ130" s="44"/>
      <c r="AR130" s="56"/>
      <c r="AS130" s="56">
        <f>Tabela4[[#This Row],[Total R$]]-Tabela4[[#This Row],[Total Pago]]</f>
        <v>0</v>
      </c>
      <c r="AT130" s="36"/>
    </row>
    <row r="131" spans="2:46" x14ac:dyDescent="0.25">
      <c r="B131" s="44"/>
      <c r="D131" s="349"/>
      <c r="E131" s="33"/>
      <c r="F131" s="33"/>
      <c r="G131" s="33"/>
      <c r="H131" s="33"/>
      <c r="I131" s="33"/>
      <c r="J131" s="33"/>
      <c r="K131" s="33"/>
      <c r="L131" s="561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44"/>
      <c r="AP131" s="37"/>
      <c r="AQ131" s="44"/>
      <c r="AR131" s="56"/>
      <c r="AS131" s="56">
        <f>Tabela4[[#This Row],[Total R$]]-Tabela4[[#This Row],[Total Pago]]</f>
        <v>0</v>
      </c>
      <c r="AT131" s="36"/>
    </row>
    <row r="132" spans="2:46" x14ac:dyDescent="0.25">
      <c r="B132" s="44"/>
      <c r="D132" s="349"/>
      <c r="E132" s="33"/>
      <c r="F132" s="33"/>
      <c r="G132" s="33"/>
      <c r="H132" s="33"/>
      <c r="I132" s="33"/>
      <c r="J132" s="33"/>
      <c r="K132" s="33"/>
      <c r="L132" s="561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44"/>
      <c r="AP132" s="37"/>
      <c r="AQ132" s="44"/>
      <c r="AR132" s="56"/>
      <c r="AS132" s="56">
        <f>Tabela4[[#This Row],[Total R$]]-Tabela4[[#This Row],[Total Pago]]</f>
        <v>0</v>
      </c>
      <c r="AT132" s="36"/>
    </row>
    <row r="133" spans="2:46" x14ac:dyDescent="0.25">
      <c r="B133" s="44"/>
      <c r="D133" s="349"/>
      <c r="E133" s="33"/>
      <c r="F133" s="33"/>
      <c r="G133" s="33"/>
      <c r="H133" s="33"/>
      <c r="I133" s="33"/>
      <c r="J133" s="33"/>
      <c r="K133" s="33"/>
      <c r="L133" s="561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44"/>
      <c r="AP133" s="37"/>
      <c r="AQ133" s="44"/>
      <c r="AR133" s="56"/>
      <c r="AS133" s="56">
        <f>Tabela4[[#This Row],[Total R$]]-Tabela4[[#This Row],[Total Pago]]</f>
        <v>0</v>
      </c>
      <c r="AT133" s="36"/>
    </row>
    <row r="134" spans="2:46" x14ac:dyDescent="0.25">
      <c r="B134" s="44"/>
      <c r="D134" s="349"/>
      <c r="E134" s="33"/>
      <c r="F134" s="33"/>
      <c r="G134" s="33"/>
      <c r="H134" s="33"/>
      <c r="I134" s="33"/>
      <c r="J134" s="33"/>
      <c r="K134" s="33"/>
      <c r="L134" s="561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44"/>
      <c r="AP134" s="37"/>
      <c r="AQ134" s="44"/>
      <c r="AR134" s="56"/>
      <c r="AS134" s="56">
        <f>Tabela4[[#This Row],[Total R$]]-Tabela4[[#This Row],[Total Pago]]</f>
        <v>0</v>
      </c>
      <c r="AT134" s="36"/>
    </row>
    <row r="135" spans="2:46" x14ac:dyDescent="0.25">
      <c r="B135" s="44"/>
      <c r="D135" s="349"/>
      <c r="E135" s="33"/>
      <c r="F135" s="33"/>
      <c r="G135" s="33"/>
      <c r="H135" s="33"/>
      <c r="I135" s="33"/>
      <c r="J135" s="33"/>
      <c r="K135" s="33"/>
      <c r="L135" s="561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44"/>
      <c r="AP135" s="37"/>
      <c r="AQ135" s="44"/>
      <c r="AR135" s="56"/>
      <c r="AS135" s="56">
        <f>Tabela4[[#This Row],[Total R$]]-Tabela4[[#This Row],[Total Pago]]</f>
        <v>0</v>
      </c>
      <c r="AT135" s="36"/>
    </row>
    <row r="136" spans="2:46" x14ac:dyDescent="0.25">
      <c r="B136" s="44"/>
      <c r="D136" s="349"/>
      <c r="E136" s="33"/>
      <c r="F136" s="33"/>
      <c r="G136" s="33"/>
      <c r="H136" s="33"/>
      <c r="I136" s="33"/>
      <c r="J136" s="33"/>
      <c r="K136" s="33"/>
      <c r="L136" s="561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44"/>
      <c r="AP136" s="37"/>
      <c r="AQ136" s="44"/>
      <c r="AR136" s="56"/>
      <c r="AS136" s="56">
        <f>Tabela4[[#This Row],[Total R$]]-Tabela4[[#This Row],[Total Pago]]</f>
        <v>0</v>
      </c>
      <c r="AT136" s="36"/>
    </row>
    <row r="137" spans="2:46" x14ac:dyDescent="0.25">
      <c r="B137" s="44"/>
      <c r="D137" s="349"/>
      <c r="E137" s="33"/>
      <c r="F137" s="33"/>
      <c r="G137" s="33"/>
      <c r="H137" s="33"/>
      <c r="I137" s="33"/>
      <c r="J137" s="33"/>
      <c r="K137" s="33"/>
      <c r="L137" s="561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44"/>
      <c r="AP137" s="37"/>
      <c r="AQ137" s="44"/>
      <c r="AR137" s="56"/>
      <c r="AS137" s="56">
        <f>Tabela4[[#This Row],[Total R$]]-Tabela4[[#This Row],[Total Pago]]</f>
        <v>0</v>
      </c>
      <c r="AT137" s="36"/>
    </row>
    <row r="138" spans="2:46" x14ac:dyDescent="0.25">
      <c r="B138" s="44"/>
      <c r="D138" s="349"/>
      <c r="E138" s="33"/>
      <c r="F138" s="33"/>
      <c r="G138" s="33"/>
      <c r="H138" s="33"/>
      <c r="I138" s="33"/>
      <c r="J138" s="33"/>
      <c r="K138" s="33"/>
      <c r="L138" s="561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44"/>
      <c r="AP138" s="37"/>
      <c r="AQ138" s="44"/>
      <c r="AR138" s="56"/>
      <c r="AS138" s="56">
        <f>Tabela4[[#This Row],[Total R$]]-Tabela4[[#This Row],[Total Pago]]</f>
        <v>0</v>
      </c>
      <c r="AT138" s="36"/>
    </row>
    <row r="139" spans="2:46" x14ac:dyDescent="0.25">
      <c r="B139" s="44"/>
      <c r="D139" s="349"/>
      <c r="E139" s="33"/>
      <c r="F139" s="33"/>
      <c r="G139" s="33"/>
      <c r="H139" s="33"/>
      <c r="I139" s="33"/>
      <c r="J139" s="33"/>
      <c r="K139" s="33"/>
      <c r="L139" s="561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44"/>
      <c r="AP139" s="37"/>
      <c r="AQ139" s="44"/>
      <c r="AR139" s="56"/>
      <c r="AS139" s="56">
        <f>Tabela4[[#This Row],[Total R$]]-Tabela4[[#This Row],[Total Pago]]</f>
        <v>0</v>
      </c>
      <c r="AT139" s="36"/>
    </row>
    <row r="140" spans="2:46" x14ac:dyDescent="0.25">
      <c r="B140" s="44"/>
      <c r="D140" s="349"/>
      <c r="E140" s="33"/>
      <c r="F140" s="33"/>
      <c r="G140" s="33"/>
      <c r="H140" s="33"/>
      <c r="I140" s="33"/>
      <c r="J140" s="33"/>
      <c r="K140" s="33"/>
      <c r="L140" s="561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44"/>
      <c r="AP140" s="37"/>
      <c r="AQ140" s="44"/>
      <c r="AR140" s="56"/>
      <c r="AS140" s="56">
        <f>Tabela4[[#This Row],[Total R$]]-Tabela4[[#This Row],[Total Pago]]</f>
        <v>0</v>
      </c>
      <c r="AT140" s="36"/>
    </row>
    <row r="141" spans="2:46" x14ac:dyDescent="0.25">
      <c r="B141" s="44"/>
      <c r="D141" s="349"/>
      <c r="E141" s="33"/>
      <c r="F141" s="33"/>
      <c r="G141" s="33"/>
      <c r="H141" s="33"/>
      <c r="I141" s="33"/>
      <c r="J141" s="33"/>
      <c r="K141" s="33"/>
      <c r="L141" s="561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44"/>
      <c r="AP141" s="37"/>
      <c r="AQ141" s="44"/>
      <c r="AR141" s="56"/>
      <c r="AS141" s="56">
        <f>Tabela4[[#This Row],[Total R$]]-Tabela4[[#This Row],[Total Pago]]</f>
        <v>0</v>
      </c>
      <c r="AT141" s="36"/>
    </row>
    <row r="142" spans="2:46" x14ac:dyDescent="0.25">
      <c r="B142" s="44"/>
      <c r="D142" s="349"/>
      <c r="E142" s="33"/>
      <c r="F142" s="33"/>
      <c r="G142" s="33"/>
      <c r="H142" s="33"/>
      <c r="I142" s="33"/>
      <c r="J142" s="33"/>
      <c r="K142" s="33"/>
      <c r="L142" s="561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44"/>
      <c r="AP142" s="37"/>
      <c r="AQ142" s="44"/>
      <c r="AR142" s="56"/>
      <c r="AS142" s="56">
        <f>Tabela4[[#This Row],[Total R$]]-Tabela4[[#This Row],[Total Pago]]</f>
        <v>0</v>
      </c>
      <c r="AT142" s="36"/>
    </row>
    <row r="143" spans="2:46" x14ac:dyDescent="0.25">
      <c r="B143" s="44"/>
      <c r="D143" s="349"/>
      <c r="E143" s="33"/>
      <c r="F143" s="33"/>
      <c r="G143" s="33"/>
      <c r="H143" s="33"/>
      <c r="I143" s="33"/>
      <c r="J143" s="33"/>
      <c r="K143" s="33"/>
      <c r="L143" s="561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44"/>
      <c r="AP143" s="37"/>
      <c r="AQ143" s="44"/>
      <c r="AR143" s="56"/>
      <c r="AS143" s="56">
        <f>Tabela4[[#This Row],[Total R$]]-Tabela4[[#This Row],[Total Pago]]</f>
        <v>0</v>
      </c>
      <c r="AT143" s="36"/>
    </row>
    <row r="144" spans="2:46" x14ac:dyDescent="0.25">
      <c r="B144" s="44"/>
      <c r="D144" s="349"/>
      <c r="E144" s="33"/>
      <c r="F144" s="33"/>
      <c r="G144" s="33"/>
      <c r="H144" s="33"/>
      <c r="I144" s="33"/>
      <c r="J144" s="33"/>
      <c r="K144" s="33"/>
      <c r="L144" s="561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44"/>
      <c r="AP144" s="37"/>
      <c r="AQ144" s="44"/>
      <c r="AR144" s="56"/>
      <c r="AS144" s="56">
        <f>Tabela4[[#This Row],[Total R$]]-Tabela4[[#This Row],[Total Pago]]</f>
        <v>0</v>
      </c>
      <c r="AT144" s="36"/>
    </row>
    <row r="145" spans="2:46" x14ac:dyDescent="0.25">
      <c r="B145" s="44"/>
      <c r="D145" s="349"/>
      <c r="E145" s="33"/>
      <c r="F145" s="33"/>
      <c r="G145" s="33"/>
      <c r="H145" s="33"/>
      <c r="I145" s="33"/>
      <c r="J145" s="33"/>
      <c r="K145" s="33"/>
      <c r="L145" s="561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44"/>
      <c r="AP145" s="37"/>
      <c r="AQ145" s="44"/>
      <c r="AR145" s="56"/>
      <c r="AS145" s="56">
        <f>Tabela4[[#This Row],[Total R$]]-Tabela4[[#This Row],[Total Pago]]</f>
        <v>0</v>
      </c>
      <c r="AT145" s="36"/>
    </row>
    <row r="146" spans="2:46" x14ac:dyDescent="0.25">
      <c r="B146" s="44"/>
      <c r="D146" s="349"/>
      <c r="E146" s="33"/>
      <c r="F146" s="33"/>
      <c r="G146" s="33"/>
      <c r="H146" s="33"/>
      <c r="I146" s="33"/>
      <c r="J146" s="33"/>
      <c r="K146" s="33"/>
      <c r="L146" s="561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44"/>
      <c r="AP146" s="37"/>
      <c r="AQ146" s="44"/>
      <c r="AR146" s="56"/>
      <c r="AS146" s="56">
        <f>Tabela4[[#This Row],[Total R$]]-Tabela4[[#This Row],[Total Pago]]</f>
        <v>0</v>
      </c>
      <c r="AT146" s="36"/>
    </row>
    <row r="147" spans="2:46" x14ac:dyDescent="0.25">
      <c r="B147" s="44"/>
      <c r="D147" s="349"/>
      <c r="E147" s="33"/>
      <c r="F147" s="33"/>
      <c r="G147" s="33"/>
      <c r="H147" s="33"/>
      <c r="I147" s="33"/>
      <c r="J147" s="33"/>
      <c r="K147" s="33"/>
      <c r="L147" s="561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44"/>
      <c r="AP147" s="37"/>
      <c r="AQ147" s="44"/>
      <c r="AR147" s="56"/>
      <c r="AS147" s="56">
        <f>Tabela4[[#This Row],[Total R$]]-Tabela4[[#This Row],[Total Pago]]</f>
        <v>0</v>
      </c>
      <c r="AT147" s="36"/>
    </row>
    <row r="148" spans="2:46" x14ac:dyDescent="0.25">
      <c r="B148" s="44"/>
      <c r="D148" s="349"/>
      <c r="E148" s="33"/>
      <c r="F148" s="33"/>
      <c r="G148" s="33"/>
      <c r="H148" s="33"/>
      <c r="I148" s="33"/>
      <c r="J148" s="33"/>
      <c r="K148" s="33"/>
      <c r="L148" s="561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44"/>
      <c r="AP148" s="37"/>
      <c r="AQ148" s="44"/>
      <c r="AR148" s="56"/>
      <c r="AS148" s="56">
        <f>Tabela4[[#This Row],[Total R$]]-Tabela4[[#This Row],[Total Pago]]</f>
        <v>0</v>
      </c>
      <c r="AT148" s="36"/>
    </row>
    <row r="149" spans="2:46" x14ac:dyDescent="0.25">
      <c r="B149" s="44"/>
      <c r="D149" s="349"/>
      <c r="E149" s="33"/>
      <c r="F149" s="33"/>
      <c r="G149" s="33"/>
      <c r="H149" s="33"/>
      <c r="I149" s="33"/>
      <c r="J149" s="33"/>
      <c r="K149" s="33"/>
      <c r="L149" s="561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44"/>
      <c r="AP149" s="37"/>
      <c r="AQ149" s="44"/>
      <c r="AR149" s="56"/>
      <c r="AS149" s="56">
        <f>Tabela4[[#This Row],[Total R$]]-Tabela4[[#This Row],[Total Pago]]</f>
        <v>0</v>
      </c>
      <c r="AT149" s="36"/>
    </row>
    <row r="150" spans="2:46" x14ac:dyDescent="0.25">
      <c r="B150" s="44"/>
      <c r="D150" s="349"/>
      <c r="E150" s="33"/>
      <c r="F150" s="33"/>
      <c r="G150" s="33"/>
      <c r="H150" s="33"/>
      <c r="I150" s="33"/>
      <c r="J150" s="33"/>
      <c r="K150" s="33"/>
      <c r="L150" s="561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44"/>
      <c r="AP150" s="37"/>
      <c r="AQ150" s="44"/>
      <c r="AR150" s="56"/>
      <c r="AS150" s="56">
        <f>Tabela4[[#This Row],[Total R$]]-Tabela4[[#This Row],[Total Pago]]</f>
        <v>0</v>
      </c>
      <c r="AT150" s="36"/>
    </row>
    <row r="151" spans="2:46" x14ac:dyDescent="0.25">
      <c r="B151" s="44"/>
      <c r="D151" s="349"/>
      <c r="E151" s="33"/>
      <c r="F151" s="33"/>
      <c r="G151" s="33"/>
      <c r="H151" s="33"/>
      <c r="I151" s="33"/>
      <c r="J151" s="33"/>
      <c r="K151" s="33"/>
      <c r="L151" s="561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44"/>
      <c r="AP151" s="37"/>
      <c r="AQ151" s="44"/>
      <c r="AR151" s="56"/>
      <c r="AS151" s="56">
        <f>Tabela4[[#This Row],[Total R$]]-Tabela4[[#This Row],[Total Pago]]</f>
        <v>0</v>
      </c>
      <c r="AT151" s="36"/>
    </row>
    <row r="152" spans="2:46" x14ac:dyDescent="0.25">
      <c r="B152" s="44"/>
      <c r="D152" s="349"/>
      <c r="E152" s="33"/>
      <c r="F152" s="33"/>
      <c r="G152" s="33"/>
      <c r="H152" s="33"/>
      <c r="I152" s="33"/>
      <c r="J152" s="33"/>
      <c r="K152" s="33"/>
      <c r="L152" s="561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44"/>
      <c r="AP152" s="37"/>
      <c r="AQ152" s="44"/>
      <c r="AR152" s="56"/>
      <c r="AS152" s="56">
        <f>Tabela4[[#This Row],[Total R$]]-Tabela4[[#This Row],[Total Pago]]</f>
        <v>0</v>
      </c>
      <c r="AT152" s="36"/>
    </row>
    <row r="153" spans="2:46" x14ac:dyDescent="0.25">
      <c r="B153" s="44"/>
      <c r="D153" s="349"/>
      <c r="E153" s="33"/>
      <c r="F153" s="33"/>
      <c r="G153" s="33"/>
      <c r="H153" s="33"/>
      <c r="I153" s="33"/>
      <c r="J153" s="33"/>
      <c r="K153" s="33"/>
      <c r="L153" s="561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44"/>
      <c r="AP153" s="37"/>
      <c r="AQ153" s="44"/>
      <c r="AR153" s="56"/>
      <c r="AS153" s="56">
        <f>Tabela4[[#This Row],[Total R$]]-Tabela4[[#This Row],[Total Pago]]</f>
        <v>0</v>
      </c>
      <c r="AT153" s="36"/>
    </row>
    <row r="154" spans="2:46" x14ac:dyDescent="0.25">
      <c r="B154" s="44"/>
      <c r="D154" s="349"/>
      <c r="E154" s="33"/>
      <c r="F154" s="33"/>
      <c r="G154" s="33"/>
      <c r="H154" s="33"/>
      <c r="I154" s="33"/>
      <c r="J154" s="33"/>
      <c r="K154" s="33"/>
      <c r="L154" s="561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44"/>
      <c r="AP154" s="37"/>
      <c r="AQ154" s="28"/>
      <c r="AR154" s="56"/>
      <c r="AS154" s="56">
        <f>Tabela4[[#This Row],[Total R$]]-Tabela4[[#This Row],[Total Pago]]</f>
        <v>0</v>
      </c>
      <c r="AT154" s="36"/>
    </row>
    <row r="155" spans="2:46" x14ac:dyDescent="0.25">
      <c r="B155" s="44"/>
      <c r="D155" s="349"/>
      <c r="E155" s="33"/>
      <c r="F155" s="33"/>
      <c r="G155" s="33"/>
      <c r="H155" s="33"/>
      <c r="I155" s="33"/>
      <c r="J155" s="33"/>
      <c r="K155" s="33"/>
      <c r="L155" s="561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44"/>
      <c r="AP155" s="37"/>
      <c r="AQ155" s="44"/>
      <c r="AR155" s="56"/>
      <c r="AS155" s="56">
        <f>Tabela4[[#This Row],[Total R$]]-Tabela4[[#This Row],[Total Pago]]</f>
        <v>0</v>
      </c>
      <c r="AT155" s="36"/>
    </row>
    <row r="156" spans="2:46" x14ac:dyDescent="0.25">
      <c r="B156" s="44"/>
      <c r="D156" s="349"/>
      <c r="E156" s="33"/>
      <c r="F156" s="33"/>
      <c r="G156" s="33"/>
      <c r="H156" s="33"/>
      <c r="I156" s="33"/>
      <c r="J156" s="33"/>
      <c r="K156" s="33"/>
      <c r="L156" s="561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44"/>
      <c r="AP156" s="37"/>
      <c r="AQ156" s="44"/>
      <c r="AR156" s="56"/>
      <c r="AS156" s="56">
        <f>Tabela4[[#This Row],[Total R$]]-Tabela4[[#This Row],[Total Pago]]</f>
        <v>0</v>
      </c>
      <c r="AT156" s="36"/>
    </row>
    <row r="157" spans="2:46" x14ac:dyDescent="0.25">
      <c r="B157" s="44"/>
      <c r="D157" s="349"/>
      <c r="E157" s="33"/>
      <c r="F157" s="33"/>
      <c r="G157" s="33"/>
      <c r="H157" s="33"/>
      <c r="I157" s="33"/>
      <c r="J157" s="33"/>
      <c r="K157" s="33"/>
      <c r="L157" s="561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44"/>
      <c r="AP157" s="37"/>
      <c r="AQ157" s="44"/>
      <c r="AR157" s="56"/>
      <c r="AS157" s="56">
        <f>Tabela4[[#This Row],[Total R$]]-Tabela4[[#This Row],[Total Pago]]</f>
        <v>0</v>
      </c>
      <c r="AT157" s="36"/>
    </row>
    <row r="158" spans="2:46" x14ac:dyDescent="0.25">
      <c r="B158" s="44"/>
      <c r="D158" s="349"/>
      <c r="E158" s="33"/>
      <c r="F158" s="33"/>
      <c r="G158" s="33"/>
      <c r="H158" s="33"/>
      <c r="I158" s="33"/>
      <c r="J158" s="33"/>
      <c r="K158" s="33"/>
      <c r="L158" s="561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44"/>
      <c r="AP158" s="37"/>
      <c r="AQ158" s="44"/>
      <c r="AR158" s="56"/>
      <c r="AS158" s="56">
        <f>Tabela4[[#This Row],[Total R$]]-Tabela4[[#This Row],[Total Pago]]</f>
        <v>0</v>
      </c>
      <c r="AT158" s="36"/>
    </row>
    <row r="159" spans="2:46" x14ac:dyDescent="0.25">
      <c r="B159" s="44"/>
      <c r="D159" s="349"/>
      <c r="E159" s="33"/>
      <c r="F159" s="33"/>
      <c r="G159" s="33"/>
      <c r="H159" s="33"/>
      <c r="I159" s="33"/>
      <c r="J159" s="33"/>
      <c r="K159" s="33"/>
      <c r="L159" s="561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44"/>
      <c r="AP159" s="37"/>
      <c r="AQ159" s="44"/>
      <c r="AR159" s="56"/>
      <c r="AS159" s="56">
        <f>Tabela4[[#This Row],[Total R$]]-Tabela4[[#This Row],[Total Pago]]</f>
        <v>0</v>
      </c>
      <c r="AT159" s="36"/>
    </row>
    <row r="160" spans="2:46" x14ac:dyDescent="0.25">
      <c r="B160" s="44"/>
      <c r="D160" s="349"/>
      <c r="E160" s="33"/>
      <c r="F160" s="33"/>
      <c r="G160" s="33"/>
      <c r="H160" s="33"/>
      <c r="I160" s="33"/>
      <c r="J160" s="33"/>
      <c r="K160" s="33"/>
      <c r="L160" s="561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44"/>
      <c r="AP160" s="37"/>
      <c r="AQ160" s="44"/>
      <c r="AR160" s="56"/>
      <c r="AS160" s="56">
        <f>Tabela4[[#This Row],[Total R$]]-Tabela4[[#This Row],[Total Pago]]</f>
        <v>0</v>
      </c>
      <c r="AT160" s="36"/>
    </row>
    <row r="161" spans="2:46" x14ac:dyDescent="0.25">
      <c r="B161" s="44"/>
      <c r="D161" s="349"/>
      <c r="E161" s="33"/>
      <c r="F161" s="33"/>
      <c r="G161" s="33"/>
      <c r="H161" s="33"/>
      <c r="I161" s="33"/>
      <c r="J161" s="33"/>
      <c r="K161" s="33"/>
      <c r="L161" s="561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44"/>
      <c r="AP161" s="37"/>
      <c r="AQ161" s="44"/>
      <c r="AR161" s="56"/>
      <c r="AS161" s="56">
        <f>Tabela4[[#This Row],[Total R$]]-Tabela4[[#This Row],[Total Pago]]</f>
        <v>0</v>
      </c>
      <c r="AT161" s="36"/>
    </row>
    <row r="162" spans="2:46" x14ac:dyDescent="0.25">
      <c r="B162" s="44"/>
      <c r="D162" s="349"/>
      <c r="E162" s="33"/>
      <c r="F162" s="33"/>
      <c r="G162" s="33"/>
      <c r="H162" s="33"/>
      <c r="I162" s="33"/>
      <c r="J162" s="33"/>
      <c r="K162" s="33"/>
      <c r="L162" s="561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44"/>
      <c r="AP162" s="37"/>
      <c r="AQ162" s="44"/>
      <c r="AR162" s="56"/>
      <c r="AS162" s="56">
        <f>Tabela4[[#This Row],[Total R$]]-Tabela4[[#This Row],[Total Pago]]</f>
        <v>0</v>
      </c>
      <c r="AT162" s="36"/>
    </row>
    <row r="163" spans="2:46" x14ac:dyDescent="0.25">
      <c r="B163" s="44"/>
      <c r="D163" s="349"/>
      <c r="E163" s="33"/>
      <c r="F163" s="33"/>
      <c r="G163" s="33"/>
      <c r="H163" s="33"/>
      <c r="I163" s="33"/>
      <c r="J163" s="33"/>
      <c r="K163" s="33"/>
      <c r="L163" s="561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44"/>
      <c r="AP163" s="37"/>
      <c r="AQ163" s="28"/>
      <c r="AR163" s="56"/>
      <c r="AS163" s="56">
        <f>Tabela4[[#This Row],[Total R$]]-Tabela4[[#This Row],[Total Pago]]</f>
        <v>0</v>
      </c>
      <c r="AT163" s="36"/>
    </row>
    <row r="164" spans="2:46" x14ac:dyDescent="0.25">
      <c r="B164" s="44"/>
      <c r="D164" s="349"/>
      <c r="E164" s="33"/>
      <c r="F164" s="33"/>
      <c r="G164" s="33"/>
      <c r="H164" s="33"/>
      <c r="I164" s="33"/>
      <c r="J164" s="33"/>
      <c r="K164" s="33"/>
      <c r="L164" s="561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44"/>
      <c r="AP164" s="37"/>
      <c r="AQ164" s="44"/>
      <c r="AR164" s="56"/>
      <c r="AS164" s="56">
        <f>Tabela4[[#This Row],[Total R$]]-Tabela4[[#This Row],[Total Pago]]</f>
        <v>0</v>
      </c>
      <c r="AT164" s="36"/>
    </row>
    <row r="165" spans="2:46" x14ac:dyDescent="0.25">
      <c r="B165" s="44"/>
      <c r="D165" s="349"/>
      <c r="E165" s="33"/>
      <c r="F165" s="33"/>
      <c r="G165" s="33"/>
      <c r="H165" s="33"/>
      <c r="I165" s="33"/>
      <c r="J165" s="33"/>
      <c r="K165" s="33"/>
      <c r="L165" s="561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44"/>
      <c r="AP165" s="37"/>
      <c r="AQ165" s="44"/>
      <c r="AR165" s="56"/>
      <c r="AS165" s="56">
        <f>Tabela4[[#This Row],[Total R$]]-Tabela4[[#This Row],[Total Pago]]</f>
        <v>0</v>
      </c>
      <c r="AT165" s="36"/>
    </row>
    <row r="166" spans="2:46" x14ac:dyDescent="0.25">
      <c r="B166" s="44"/>
      <c r="D166" s="349"/>
      <c r="E166" s="33"/>
      <c r="F166" s="33"/>
      <c r="G166" s="33"/>
      <c r="H166" s="33"/>
      <c r="I166" s="33"/>
      <c r="J166" s="33"/>
      <c r="K166" s="33"/>
      <c r="L166" s="561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44"/>
      <c r="AP166" s="37"/>
      <c r="AQ166" s="44"/>
      <c r="AR166" s="56"/>
      <c r="AS166" s="56">
        <f>Tabela4[[#This Row],[Total R$]]-Tabela4[[#This Row],[Total Pago]]</f>
        <v>0</v>
      </c>
      <c r="AT166" s="36"/>
    </row>
    <row r="167" spans="2:46" x14ac:dyDescent="0.25">
      <c r="B167" s="44"/>
      <c r="D167" s="349"/>
      <c r="E167" s="33"/>
      <c r="F167" s="33"/>
      <c r="G167" s="33"/>
      <c r="H167" s="33"/>
      <c r="I167" s="33"/>
      <c r="J167" s="33"/>
      <c r="K167" s="33"/>
      <c r="L167" s="561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44"/>
      <c r="AP167" s="37"/>
      <c r="AQ167" s="44"/>
      <c r="AR167" s="56"/>
      <c r="AS167" s="56">
        <f>Tabela4[[#This Row],[Total R$]]-Tabela4[[#This Row],[Total Pago]]</f>
        <v>0</v>
      </c>
      <c r="AT167" s="36"/>
    </row>
    <row r="168" spans="2:46" x14ac:dyDescent="0.25">
      <c r="B168" s="44"/>
      <c r="D168" s="349"/>
      <c r="E168" s="33"/>
      <c r="F168" s="33"/>
      <c r="G168" s="33"/>
      <c r="H168" s="33"/>
      <c r="I168" s="33"/>
      <c r="J168" s="33"/>
      <c r="K168" s="33"/>
      <c r="L168" s="561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44"/>
      <c r="AP168" s="37"/>
      <c r="AQ168" s="44"/>
      <c r="AR168" s="56"/>
      <c r="AS168" s="56">
        <f>Tabela4[[#This Row],[Total R$]]-Tabela4[[#This Row],[Total Pago]]</f>
        <v>0</v>
      </c>
      <c r="AT168" s="36"/>
    </row>
    <row r="169" spans="2:46" x14ac:dyDescent="0.25">
      <c r="B169" s="44"/>
      <c r="D169" s="349"/>
      <c r="E169" s="33"/>
      <c r="F169" s="33"/>
      <c r="G169" s="33"/>
      <c r="H169" s="33"/>
      <c r="I169" s="33"/>
      <c r="J169" s="33"/>
      <c r="K169" s="33"/>
      <c r="L169" s="561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44"/>
      <c r="AP169" s="37"/>
      <c r="AQ169" s="44"/>
      <c r="AR169" s="56"/>
      <c r="AS169" s="56">
        <f>Tabela4[[#This Row],[Total R$]]-Tabela4[[#This Row],[Total Pago]]</f>
        <v>0</v>
      </c>
      <c r="AT169" s="36"/>
    </row>
    <row r="170" spans="2:46" x14ac:dyDescent="0.25">
      <c r="B170" s="44"/>
      <c r="D170" s="349"/>
      <c r="E170" s="33"/>
      <c r="F170" s="33"/>
      <c r="G170" s="33"/>
      <c r="H170" s="33"/>
      <c r="I170" s="33"/>
      <c r="J170" s="33"/>
      <c r="K170" s="33"/>
      <c r="L170" s="561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44"/>
      <c r="AP170" s="37"/>
      <c r="AQ170" s="44"/>
      <c r="AR170" s="56"/>
      <c r="AS170" s="56">
        <f>Tabela4[[#This Row],[Total R$]]-Tabela4[[#This Row],[Total Pago]]</f>
        <v>0</v>
      </c>
      <c r="AT170" s="36"/>
    </row>
    <row r="171" spans="2:46" x14ac:dyDescent="0.25">
      <c r="B171" s="44"/>
      <c r="D171" s="349"/>
      <c r="E171" s="33"/>
      <c r="F171" s="33"/>
      <c r="G171" s="33"/>
      <c r="H171" s="33"/>
      <c r="I171" s="33"/>
      <c r="J171" s="33"/>
      <c r="K171" s="33"/>
      <c r="L171" s="561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44"/>
      <c r="AP171" s="37"/>
      <c r="AQ171" s="44"/>
      <c r="AR171" s="56"/>
      <c r="AS171" s="56">
        <f>Tabela4[[#This Row],[Total R$]]-Tabela4[[#This Row],[Total Pago]]</f>
        <v>0</v>
      </c>
      <c r="AT171" s="36"/>
    </row>
    <row r="172" spans="2:46" x14ac:dyDescent="0.25">
      <c r="B172" s="44"/>
      <c r="D172" s="349"/>
      <c r="E172" s="33"/>
      <c r="F172" s="33"/>
      <c r="G172" s="33"/>
      <c r="H172" s="33"/>
      <c r="I172" s="33"/>
      <c r="J172" s="33"/>
      <c r="K172" s="33"/>
      <c r="L172" s="561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44"/>
      <c r="AP172" s="37"/>
      <c r="AQ172" s="44"/>
      <c r="AR172" s="56"/>
      <c r="AS172" s="56">
        <f>Tabela4[[#This Row],[Total R$]]-Tabela4[[#This Row],[Total Pago]]</f>
        <v>0</v>
      </c>
      <c r="AT172" s="36"/>
    </row>
    <row r="173" spans="2:46" x14ac:dyDescent="0.25">
      <c r="B173" s="44"/>
      <c r="D173" s="349"/>
      <c r="E173" s="33"/>
      <c r="F173" s="33"/>
      <c r="G173" s="33"/>
      <c r="H173" s="33"/>
      <c r="I173" s="33"/>
      <c r="J173" s="33"/>
      <c r="K173" s="33"/>
      <c r="L173" s="561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44"/>
      <c r="AP173" s="37"/>
      <c r="AQ173" s="44"/>
      <c r="AR173" s="56"/>
      <c r="AS173" s="56">
        <f>Tabela4[[#This Row],[Total R$]]-Tabela4[[#This Row],[Total Pago]]</f>
        <v>0</v>
      </c>
      <c r="AT173" s="36"/>
    </row>
    <row r="174" spans="2:46" x14ac:dyDescent="0.25">
      <c r="B174" s="44"/>
      <c r="D174" s="349"/>
      <c r="E174" s="33"/>
      <c r="F174" s="33"/>
      <c r="G174" s="33"/>
      <c r="H174" s="33"/>
      <c r="I174" s="33"/>
      <c r="J174" s="33"/>
      <c r="K174" s="33"/>
      <c r="L174" s="561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44"/>
      <c r="AP174" s="37"/>
      <c r="AQ174" s="44"/>
      <c r="AR174" s="57"/>
      <c r="AS174" s="56">
        <f>Tabela4[[#This Row],[Total R$]]-Tabela4[[#This Row],[Total Pago]]</f>
        <v>0</v>
      </c>
      <c r="AT174" s="36"/>
    </row>
    <row r="175" spans="2:46" x14ac:dyDescent="0.25">
      <c r="B175" s="44"/>
      <c r="D175" s="349"/>
      <c r="E175" s="33"/>
      <c r="F175" s="33"/>
      <c r="G175" s="33"/>
      <c r="H175" s="33"/>
      <c r="I175" s="33"/>
      <c r="J175" s="33"/>
      <c r="K175" s="33"/>
      <c r="L175" s="561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44"/>
      <c r="AP175" s="37"/>
      <c r="AQ175" s="44"/>
      <c r="AR175" s="57"/>
      <c r="AS175" s="56">
        <f>Tabela4[[#This Row],[Total R$]]-Tabela4[[#This Row],[Total Pago]]</f>
        <v>0</v>
      </c>
      <c r="AT175" s="36"/>
    </row>
    <row r="176" spans="2:46" x14ac:dyDescent="0.25">
      <c r="B176" s="44"/>
      <c r="D176" s="349"/>
      <c r="E176" s="33"/>
      <c r="F176" s="33"/>
      <c r="G176" s="33"/>
      <c r="H176" s="33"/>
      <c r="I176" s="33"/>
      <c r="J176" s="33"/>
      <c r="K176" s="33"/>
      <c r="L176" s="561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44"/>
      <c r="AP176" s="37"/>
      <c r="AQ176" s="44"/>
      <c r="AR176" s="57"/>
      <c r="AS176" s="56">
        <f>Tabela4[[#This Row],[Total R$]]-Tabela4[[#This Row],[Total Pago]]</f>
        <v>0</v>
      </c>
      <c r="AT176" s="36"/>
    </row>
    <row r="177" spans="2:46" x14ac:dyDescent="0.25">
      <c r="B177" s="44"/>
      <c r="D177" s="349"/>
      <c r="E177" s="33"/>
      <c r="F177" s="33"/>
      <c r="G177" s="33"/>
      <c r="H177" s="33"/>
      <c r="I177" s="33"/>
      <c r="J177" s="33"/>
      <c r="K177" s="33"/>
      <c r="L177" s="561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44"/>
      <c r="AP177" s="37"/>
      <c r="AQ177" s="44"/>
      <c r="AR177" s="57"/>
      <c r="AS177" s="56">
        <f>Tabela4[[#This Row],[Total R$]]-Tabela4[[#This Row],[Total Pago]]</f>
        <v>0</v>
      </c>
      <c r="AT177" s="36"/>
    </row>
    <row r="178" spans="2:46" x14ac:dyDescent="0.25">
      <c r="B178" s="44"/>
      <c r="D178" s="349"/>
      <c r="E178" s="33"/>
      <c r="F178" s="33"/>
      <c r="G178" s="33"/>
      <c r="H178" s="33"/>
      <c r="I178" s="33"/>
      <c r="J178" s="33"/>
      <c r="K178" s="33"/>
      <c r="L178" s="561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44"/>
      <c r="AP178" s="37"/>
      <c r="AQ178" s="44"/>
      <c r="AR178" s="76"/>
      <c r="AS178" s="56">
        <f>Tabela4[[#This Row],[Total R$]]-Tabela4[[#This Row],[Total Pago]]</f>
        <v>0</v>
      </c>
      <c r="AT178" s="36"/>
    </row>
    <row r="179" spans="2:46" x14ac:dyDescent="0.25">
      <c r="B179" s="44"/>
      <c r="D179" s="349"/>
      <c r="E179" s="33"/>
      <c r="F179" s="33"/>
      <c r="G179" s="33"/>
      <c r="H179" s="33"/>
      <c r="I179" s="33"/>
      <c r="J179" s="33"/>
      <c r="K179" s="33"/>
      <c r="L179" s="561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44"/>
      <c r="AP179" s="37"/>
      <c r="AQ179" s="44"/>
      <c r="AR179" s="56"/>
      <c r="AS179" s="56">
        <f>Tabela4[[#This Row],[Total R$]]-Tabela4[[#This Row],[Total Pago]]</f>
        <v>0</v>
      </c>
      <c r="AT179" s="36"/>
    </row>
    <row r="180" spans="2:46" x14ac:dyDescent="0.25">
      <c r="B180" s="44"/>
      <c r="D180" s="349"/>
      <c r="E180" s="33"/>
      <c r="F180" s="33"/>
      <c r="G180" s="33"/>
      <c r="H180" s="33"/>
      <c r="I180" s="33"/>
      <c r="J180" s="33"/>
      <c r="K180" s="33"/>
      <c r="L180" s="561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44"/>
      <c r="AP180" s="37"/>
      <c r="AQ180" s="28"/>
      <c r="AR180" s="56"/>
      <c r="AS180" s="56">
        <f>Tabela4[[#This Row],[Total R$]]-Tabela4[[#This Row],[Total Pago]]</f>
        <v>0</v>
      </c>
      <c r="AT180" s="36"/>
    </row>
    <row r="181" spans="2:46" x14ac:dyDescent="0.25">
      <c r="B181" s="44"/>
      <c r="D181" s="349"/>
      <c r="E181" s="33"/>
      <c r="F181" s="33"/>
      <c r="G181" s="33"/>
      <c r="H181" s="33"/>
      <c r="I181" s="33"/>
      <c r="J181" s="33"/>
      <c r="K181" s="33"/>
      <c r="L181" s="561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44"/>
      <c r="AP181" s="37"/>
      <c r="AQ181" s="44"/>
      <c r="AR181" s="56"/>
      <c r="AS181" s="56">
        <f>Tabela4[[#This Row],[Total R$]]-Tabela4[[#This Row],[Total Pago]]</f>
        <v>0</v>
      </c>
      <c r="AT181" s="36"/>
    </row>
    <row r="182" spans="2:46" x14ac:dyDescent="0.25">
      <c r="B182" s="44"/>
      <c r="D182" s="349"/>
      <c r="E182" s="33"/>
      <c r="F182" s="33"/>
      <c r="G182" s="33"/>
      <c r="H182" s="33"/>
      <c r="I182" s="33"/>
      <c r="J182" s="33"/>
      <c r="K182" s="33"/>
      <c r="L182" s="561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44"/>
      <c r="AP182" s="37"/>
      <c r="AQ182" s="44"/>
      <c r="AR182" s="56"/>
      <c r="AS182" s="56">
        <f>Tabela4[[#This Row],[Total R$]]-Tabela4[[#This Row],[Total Pago]]</f>
        <v>0</v>
      </c>
      <c r="AT182" s="36"/>
    </row>
    <row r="183" spans="2:46" x14ac:dyDescent="0.25">
      <c r="B183" s="44"/>
      <c r="D183" s="349"/>
      <c r="E183" s="33"/>
      <c r="F183" s="33"/>
      <c r="G183" s="33"/>
      <c r="H183" s="33"/>
      <c r="I183" s="33"/>
      <c r="J183" s="33"/>
      <c r="K183" s="33"/>
      <c r="L183" s="561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44"/>
      <c r="AP183" s="37"/>
      <c r="AQ183" s="44"/>
      <c r="AR183" s="56"/>
      <c r="AS183" s="56">
        <f>Tabela4[[#This Row],[Total R$]]-Tabela4[[#This Row],[Total Pago]]</f>
        <v>0</v>
      </c>
      <c r="AT183" s="36"/>
    </row>
    <row r="184" spans="2:46" x14ac:dyDescent="0.25">
      <c r="B184" s="44"/>
      <c r="D184" s="349"/>
      <c r="E184" s="33"/>
      <c r="F184" s="33"/>
      <c r="G184" s="33"/>
      <c r="H184" s="33"/>
      <c r="I184" s="33"/>
      <c r="J184" s="33"/>
      <c r="K184" s="33"/>
      <c r="L184" s="561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44"/>
      <c r="AP184" s="37"/>
      <c r="AQ184" s="44"/>
      <c r="AR184" s="56"/>
      <c r="AS184" s="56">
        <f>Tabela4[[#This Row],[Total R$]]-Tabela4[[#This Row],[Total Pago]]</f>
        <v>0</v>
      </c>
      <c r="AT184" s="36"/>
    </row>
    <row r="185" spans="2:46" x14ac:dyDescent="0.25">
      <c r="B185" s="44"/>
      <c r="D185" s="349"/>
      <c r="E185" s="33"/>
      <c r="F185" s="33"/>
      <c r="G185" s="33"/>
      <c r="H185" s="33"/>
      <c r="I185" s="33"/>
      <c r="J185" s="33"/>
      <c r="K185" s="33"/>
      <c r="L185" s="561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44"/>
      <c r="AP185" s="37"/>
      <c r="AQ185" s="44"/>
      <c r="AR185" s="56"/>
      <c r="AS185" s="56">
        <f>Tabela4[[#This Row],[Total R$]]-Tabela4[[#This Row],[Total Pago]]</f>
        <v>0</v>
      </c>
      <c r="AT185" s="36"/>
    </row>
    <row r="186" spans="2:46" x14ac:dyDescent="0.25">
      <c r="B186" s="44"/>
      <c r="D186" s="349"/>
      <c r="E186" s="33"/>
      <c r="F186" s="33"/>
      <c r="G186" s="33"/>
      <c r="H186" s="33"/>
      <c r="I186" s="33"/>
      <c r="J186" s="33"/>
      <c r="K186" s="33"/>
      <c r="L186" s="561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44"/>
      <c r="AP186" s="37"/>
      <c r="AQ186" s="44"/>
      <c r="AR186" s="57"/>
      <c r="AS186" s="56">
        <f>Tabela4[[#This Row],[Total R$]]-Tabela4[[#This Row],[Total Pago]]</f>
        <v>0</v>
      </c>
      <c r="AT186" s="36"/>
    </row>
    <row r="187" spans="2:46" x14ac:dyDescent="0.25">
      <c r="B187" s="44"/>
      <c r="D187" s="349"/>
      <c r="E187" s="33"/>
      <c r="F187" s="33"/>
      <c r="G187" s="33"/>
      <c r="H187" s="33"/>
      <c r="I187" s="33"/>
      <c r="J187" s="33"/>
      <c r="K187" s="33"/>
      <c r="L187" s="561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44"/>
      <c r="AP187" s="37"/>
      <c r="AQ187" s="44"/>
      <c r="AR187" s="57"/>
      <c r="AS187" s="56">
        <f>Tabela4[[#This Row],[Total R$]]-Tabela4[[#This Row],[Total Pago]]</f>
        <v>0</v>
      </c>
      <c r="AT187" s="36"/>
    </row>
    <row r="188" spans="2:46" x14ac:dyDescent="0.25">
      <c r="B188" s="44"/>
      <c r="D188" s="349"/>
      <c r="E188" s="33"/>
      <c r="F188" s="33"/>
      <c r="G188" s="33"/>
      <c r="H188" s="33"/>
      <c r="I188" s="33"/>
      <c r="J188" s="33"/>
      <c r="K188" s="33"/>
      <c r="L188" s="561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44"/>
      <c r="AP188" s="37"/>
      <c r="AQ188" s="44"/>
      <c r="AR188" s="57"/>
      <c r="AS188" s="56">
        <f>Tabela4[[#This Row],[Total R$]]-Tabela4[[#This Row],[Total Pago]]</f>
        <v>0</v>
      </c>
      <c r="AT188" s="36"/>
    </row>
    <row r="189" spans="2:46" x14ac:dyDescent="0.25">
      <c r="B189" s="44"/>
      <c r="D189" s="349"/>
      <c r="E189" s="33"/>
      <c r="F189" s="33"/>
      <c r="G189" s="33"/>
      <c r="H189" s="33"/>
      <c r="I189" s="33"/>
      <c r="J189" s="33"/>
      <c r="K189" s="33"/>
      <c r="L189" s="561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44"/>
      <c r="AP189" s="37"/>
      <c r="AQ189" s="44"/>
      <c r="AR189" s="57"/>
      <c r="AS189" s="56">
        <f>Tabela4[[#This Row],[Total R$]]-Tabela4[[#This Row],[Total Pago]]</f>
        <v>0</v>
      </c>
      <c r="AT189" s="36"/>
    </row>
    <row r="190" spans="2:46" x14ac:dyDescent="0.25">
      <c r="B190" s="44"/>
      <c r="D190" s="349"/>
      <c r="E190" s="33"/>
      <c r="F190" s="33"/>
      <c r="G190" s="33"/>
      <c r="H190" s="33"/>
      <c r="I190" s="33"/>
      <c r="J190" s="33"/>
      <c r="K190" s="33"/>
      <c r="L190" s="561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44"/>
      <c r="AP190" s="37"/>
      <c r="AQ190" s="44"/>
      <c r="AR190" s="57"/>
      <c r="AS190" s="56">
        <f>Tabela4[[#This Row],[Total R$]]-Tabela4[[#This Row],[Total Pago]]</f>
        <v>0</v>
      </c>
      <c r="AT190" s="36"/>
    </row>
    <row r="191" spans="2:46" x14ac:dyDescent="0.25">
      <c r="B191" s="44"/>
      <c r="D191" s="349"/>
      <c r="E191" s="33"/>
      <c r="F191" s="33"/>
      <c r="G191" s="33"/>
      <c r="H191" s="33"/>
      <c r="I191" s="33"/>
      <c r="J191" s="33"/>
      <c r="K191" s="33"/>
      <c r="L191" s="561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44"/>
      <c r="AP191" s="37"/>
      <c r="AQ191" s="44"/>
      <c r="AR191" s="57"/>
      <c r="AS191" s="56">
        <f>Tabela4[[#This Row],[Total R$]]-Tabela4[[#This Row],[Total Pago]]</f>
        <v>0</v>
      </c>
      <c r="AT191" s="36"/>
    </row>
    <row r="192" spans="2:46" x14ac:dyDescent="0.25">
      <c r="B192" s="44"/>
      <c r="D192" s="349"/>
      <c r="E192" s="33"/>
      <c r="F192" s="33"/>
      <c r="G192" s="33"/>
      <c r="H192" s="33"/>
      <c r="I192" s="33"/>
      <c r="J192" s="33"/>
      <c r="K192" s="33"/>
      <c r="L192" s="561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44"/>
      <c r="AP192" s="37"/>
      <c r="AQ192" s="44"/>
      <c r="AR192" s="57"/>
      <c r="AS192" s="56">
        <f>Tabela4[[#This Row],[Total R$]]-Tabela4[[#This Row],[Total Pago]]</f>
        <v>0</v>
      </c>
      <c r="AT192" s="36"/>
    </row>
    <row r="193" spans="2:46" x14ac:dyDescent="0.25">
      <c r="B193" s="44"/>
      <c r="D193" s="349"/>
      <c r="E193" s="33"/>
      <c r="F193" s="33"/>
      <c r="G193" s="33"/>
      <c r="H193" s="33"/>
      <c r="I193" s="33"/>
      <c r="J193" s="33"/>
      <c r="K193" s="33"/>
      <c r="L193" s="561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44"/>
      <c r="AP193" s="37"/>
      <c r="AQ193" s="44"/>
      <c r="AR193" s="57"/>
      <c r="AS193" s="56">
        <f>Tabela4[[#This Row],[Total R$]]-Tabela4[[#This Row],[Total Pago]]</f>
        <v>0</v>
      </c>
      <c r="AT193" s="36"/>
    </row>
    <row r="194" spans="2:46" x14ac:dyDescent="0.25">
      <c r="B194" s="44"/>
      <c r="D194" s="349"/>
      <c r="E194" s="33"/>
      <c r="F194" s="33"/>
      <c r="G194" s="33"/>
      <c r="H194" s="33"/>
      <c r="I194" s="33"/>
      <c r="J194" s="33"/>
      <c r="K194" s="33"/>
      <c r="L194" s="561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44"/>
      <c r="AP194" s="37"/>
      <c r="AQ194" s="44"/>
      <c r="AR194" s="57"/>
      <c r="AS194" s="56">
        <f>Tabela4[[#This Row],[Total R$]]-Tabela4[[#This Row],[Total Pago]]</f>
        <v>0</v>
      </c>
      <c r="AT194" s="36"/>
    </row>
    <row r="195" spans="2:46" x14ac:dyDescent="0.25">
      <c r="B195" s="44"/>
      <c r="D195" s="349"/>
      <c r="E195" s="33"/>
      <c r="F195" s="33"/>
      <c r="G195" s="33"/>
      <c r="H195" s="33"/>
      <c r="I195" s="33"/>
      <c r="J195" s="33"/>
      <c r="K195" s="33"/>
      <c r="L195" s="561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44"/>
      <c r="AP195" s="37"/>
      <c r="AQ195" s="44"/>
      <c r="AR195" s="57"/>
      <c r="AS195" s="56">
        <f>Tabela4[[#This Row],[Total R$]]-Tabela4[[#This Row],[Total Pago]]</f>
        <v>0</v>
      </c>
      <c r="AT195" s="36"/>
    </row>
    <row r="196" spans="2:46" x14ac:dyDescent="0.25">
      <c r="B196" s="44"/>
      <c r="D196" s="349"/>
      <c r="E196" s="33"/>
      <c r="F196" s="33"/>
      <c r="G196" s="33"/>
      <c r="H196" s="33"/>
      <c r="I196" s="33"/>
      <c r="J196" s="33"/>
      <c r="K196" s="33"/>
      <c r="L196" s="561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44"/>
      <c r="AP196" s="37"/>
      <c r="AQ196" s="44"/>
      <c r="AR196" s="57"/>
      <c r="AS196" s="56">
        <f>Tabela4[[#This Row],[Total R$]]-Tabela4[[#This Row],[Total Pago]]</f>
        <v>0</v>
      </c>
      <c r="AT196" s="36"/>
    </row>
    <row r="197" spans="2:46" x14ac:dyDescent="0.25">
      <c r="B197" s="44"/>
      <c r="D197" s="349"/>
      <c r="E197" s="33"/>
      <c r="F197" s="33"/>
      <c r="G197" s="33"/>
      <c r="H197" s="33"/>
      <c r="I197" s="33"/>
      <c r="J197" s="33"/>
      <c r="K197" s="33"/>
      <c r="L197" s="561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44"/>
      <c r="AP197" s="37"/>
      <c r="AQ197" s="44"/>
      <c r="AR197" s="57"/>
      <c r="AS197" s="56">
        <f>Tabela4[[#This Row],[Total R$]]-Tabela4[[#This Row],[Total Pago]]</f>
        <v>0</v>
      </c>
      <c r="AT197" s="36"/>
    </row>
    <row r="198" spans="2:46" x14ac:dyDescent="0.25">
      <c r="B198" s="44"/>
      <c r="D198" s="349"/>
      <c r="E198" s="33"/>
      <c r="F198" s="33"/>
      <c r="G198" s="33"/>
      <c r="H198" s="33"/>
      <c r="I198" s="33"/>
      <c r="J198" s="33"/>
      <c r="K198" s="33"/>
      <c r="L198" s="561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44"/>
      <c r="AP198" s="37"/>
      <c r="AQ198" s="44"/>
      <c r="AR198" s="57"/>
      <c r="AS198" s="56">
        <f>Tabela4[[#This Row],[Total R$]]-Tabela4[[#This Row],[Total Pago]]</f>
        <v>0</v>
      </c>
      <c r="AT198" s="36"/>
    </row>
    <row r="199" spans="2:46" x14ac:dyDescent="0.25">
      <c r="B199" s="44"/>
      <c r="D199" s="349"/>
      <c r="E199" s="33"/>
      <c r="F199" s="33"/>
      <c r="G199" s="33"/>
      <c r="H199" s="33"/>
      <c r="I199" s="33"/>
      <c r="J199" s="33"/>
      <c r="K199" s="33"/>
      <c r="L199" s="561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63"/>
      <c r="AP199" s="33"/>
      <c r="AQ199" s="28"/>
      <c r="AR199" s="57"/>
      <c r="AS199" s="56">
        <f>Tabela4[[#This Row],[Total R$]]-Tabela4[[#This Row],[Total Pago]]</f>
        <v>0</v>
      </c>
      <c r="AT199" s="36"/>
    </row>
    <row r="200" spans="2:46" x14ac:dyDescent="0.25">
      <c r="B200" s="44"/>
      <c r="D200" s="349"/>
      <c r="E200" s="33"/>
      <c r="F200" s="33"/>
      <c r="G200" s="33"/>
      <c r="H200" s="33"/>
      <c r="I200" s="33"/>
      <c r="J200" s="33"/>
      <c r="K200" s="33"/>
      <c r="L200" s="561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44"/>
      <c r="AP200" s="37"/>
      <c r="AQ200" s="28"/>
      <c r="AR200" s="57"/>
      <c r="AS200" s="56">
        <f>Tabela4[[#This Row],[Total R$]]-Tabela4[[#This Row],[Total Pago]]</f>
        <v>0</v>
      </c>
      <c r="AT200" s="36"/>
    </row>
    <row r="201" spans="2:46" x14ac:dyDescent="0.25">
      <c r="B201" s="44"/>
      <c r="D201" s="349"/>
      <c r="E201" s="33"/>
      <c r="F201" s="33"/>
      <c r="G201" s="33"/>
      <c r="H201" s="33"/>
      <c r="I201" s="33"/>
      <c r="J201" s="33"/>
      <c r="K201" s="33"/>
      <c r="L201" s="561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44"/>
      <c r="AP201" s="37"/>
      <c r="AQ201" s="44"/>
      <c r="AR201" s="57"/>
      <c r="AS201" s="56">
        <f>Tabela4[[#This Row],[Total R$]]-Tabela4[[#This Row],[Total Pago]]</f>
        <v>0</v>
      </c>
      <c r="AT201" s="36"/>
    </row>
    <row r="202" spans="2:46" x14ac:dyDescent="0.25">
      <c r="B202" s="44"/>
      <c r="D202" s="349"/>
      <c r="E202" s="33"/>
      <c r="F202" s="33"/>
      <c r="G202" s="33"/>
      <c r="H202" s="33"/>
      <c r="I202" s="33"/>
      <c r="J202" s="33"/>
      <c r="K202" s="33"/>
      <c r="L202" s="561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44"/>
      <c r="AP202" s="37"/>
      <c r="AQ202" s="44"/>
      <c r="AR202" s="57"/>
      <c r="AS202" s="56">
        <f>Tabela4[[#This Row],[Total R$]]-Tabela4[[#This Row],[Total Pago]]</f>
        <v>0</v>
      </c>
      <c r="AT202" s="36"/>
    </row>
    <row r="203" spans="2:46" x14ac:dyDescent="0.25">
      <c r="B203" s="44"/>
      <c r="D203" s="349"/>
      <c r="E203" s="33"/>
      <c r="F203" s="33"/>
      <c r="G203" s="33"/>
      <c r="H203" s="33"/>
      <c r="I203" s="33"/>
      <c r="J203" s="33"/>
      <c r="K203" s="33"/>
      <c r="L203" s="561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44"/>
      <c r="AP203" s="37"/>
      <c r="AQ203" s="44"/>
      <c r="AR203" s="57"/>
      <c r="AS203" s="56">
        <f>Tabela4[[#This Row],[Total R$]]-Tabela4[[#This Row],[Total Pago]]</f>
        <v>0</v>
      </c>
      <c r="AT203" s="36"/>
    </row>
    <row r="204" spans="2:46" x14ac:dyDescent="0.25">
      <c r="B204" s="44"/>
      <c r="D204" s="349"/>
      <c r="E204" s="33"/>
      <c r="F204" s="33"/>
      <c r="G204" s="33"/>
      <c r="H204" s="33"/>
      <c r="I204" s="33"/>
      <c r="J204" s="33"/>
      <c r="K204" s="33"/>
      <c r="L204" s="561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44"/>
      <c r="AP204" s="37"/>
      <c r="AQ204" s="44"/>
      <c r="AR204" s="57"/>
      <c r="AS204" s="56">
        <f>Tabela4[[#This Row],[Total R$]]-Tabela4[[#This Row],[Total Pago]]</f>
        <v>0</v>
      </c>
      <c r="AT204" s="36"/>
    </row>
    <row r="205" spans="2:46" x14ac:dyDescent="0.25">
      <c r="B205" s="44"/>
      <c r="D205" s="349"/>
      <c r="E205" s="33"/>
      <c r="F205" s="33"/>
      <c r="G205" s="33"/>
      <c r="H205" s="33"/>
      <c r="I205" s="33"/>
      <c r="J205" s="33"/>
      <c r="K205" s="33"/>
      <c r="L205" s="561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44"/>
      <c r="AP205" s="37"/>
      <c r="AQ205" s="44"/>
      <c r="AR205" s="57"/>
      <c r="AS205" s="56">
        <f>Tabela4[[#This Row],[Total R$]]-Tabela4[[#This Row],[Total Pago]]</f>
        <v>0</v>
      </c>
      <c r="AT205" s="36"/>
    </row>
    <row r="206" spans="2:46" x14ac:dyDescent="0.25">
      <c r="B206" s="44"/>
      <c r="D206" s="349"/>
      <c r="E206" s="33"/>
      <c r="F206" s="33"/>
      <c r="G206" s="33"/>
      <c r="H206" s="33"/>
      <c r="I206" s="33"/>
      <c r="J206" s="33"/>
      <c r="K206" s="33"/>
      <c r="L206" s="561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44"/>
      <c r="AP206" s="37"/>
      <c r="AQ206" s="44"/>
      <c r="AR206" s="57"/>
      <c r="AS206" s="56">
        <f>Tabela4[[#This Row],[Total R$]]-Tabela4[[#This Row],[Total Pago]]</f>
        <v>0</v>
      </c>
      <c r="AT206" s="36"/>
    </row>
    <row r="207" spans="2:46" x14ac:dyDescent="0.25">
      <c r="B207" s="44"/>
      <c r="D207" s="349"/>
      <c r="E207" s="33"/>
      <c r="F207" s="33"/>
      <c r="G207" s="33"/>
      <c r="H207" s="33"/>
      <c r="I207" s="33"/>
      <c r="J207" s="33"/>
      <c r="K207" s="33"/>
      <c r="L207" s="561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44"/>
      <c r="AP207" s="37"/>
      <c r="AQ207" s="44"/>
      <c r="AR207" s="57"/>
      <c r="AS207" s="56">
        <f>Tabela4[[#This Row],[Total R$]]-Tabela4[[#This Row],[Total Pago]]</f>
        <v>0</v>
      </c>
      <c r="AT207" s="36"/>
    </row>
    <row r="208" spans="2:46" x14ac:dyDescent="0.25">
      <c r="B208" s="44"/>
      <c r="D208" s="349"/>
      <c r="E208" s="33"/>
      <c r="F208" s="33"/>
      <c r="G208" s="33"/>
      <c r="H208" s="33"/>
      <c r="I208" s="33"/>
      <c r="J208" s="33"/>
      <c r="K208" s="33"/>
      <c r="L208" s="561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44"/>
      <c r="AP208" s="37"/>
      <c r="AQ208" s="28"/>
      <c r="AR208" s="57"/>
      <c r="AS208" s="56">
        <f>Tabela4[[#This Row],[Total R$]]-Tabela4[[#This Row],[Total Pago]]</f>
        <v>0</v>
      </c>
      <c r="AT208" s="36"/>
    </row>
    <row r="209" spans="2:46" x14ac:dyDescent="0.25">
      <c r="B209" s="44"/>
      <c r="D209" s="349"/>
      <c r="E209" s="33"/>
      <c r="F209" s="33"/>
      <c r="G209" s="33"/>
      <c r="H209" s="33"/>
      <c r="I209" s="33"/>
      <c r="J209" s="33"/>
      <c r="K209" s="33"/>
      <c r="L209" s="561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44"/>
      <c r="AP209" s="37"/>
      <c r="AQ209" s="44"/>
      <c r="AR209" s="57"/>
      <c r="AS209" s="56">
        <f>Tabela4[[#This Row],[Total R$]]-Tabela4[[#This Row],[Total Pago]]</f>
        <v>0</v>
      </c>
      <c r="AT209" s="36"/>
    </row>
    <row r="210" spans="2:46" x14ac:dyDescent="0.25">
      <c r="B210" s="44"/>
      <c r="D210" s="349"/>
      <c r="E210" s="33"/>
      <c r="F210" s="33"/>
      <c r="G210" s="33"/>
      <c r="H210" s="33"/>
      <c r="I210" s="33"/>
      <c r="J210" s="33"/>
      <c r="K210" s="33"/>
      <c r="L210" s="561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44"/>
      <c r="AP210" s="37"/>
      <c r="AQ210" s="44"/>
      <c r="AR210" s="57"/>
      <c r="AS210" s="56">
        <f>Tabela4[[#This Row],[Total R$]]-Tabela4[[#This Row],[Total Pago]]</f>
        <v>0</v>
      </c>
      <c r="AT210" s="36"/>
    </row>
    <row r="211" spans="2:46" x14ac:dyDescent="0.25">
      <c r="B211" s="44"/>
      <c r="D211" s="349"/>
      <c r="E211" s="33"/>
      <c r="F211" s="33"/>
      <c r="G211" s="33"/>
      <c r="H211" s="33"/>
      <c r="I211" s="33"/>
      <c r="J211" s="33"/>
      <c r="K211" s="33"/>
      <c r="L211" s="561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44"/>
      <c r="AP211" s="37"/>
      <c r="AQ211" s="28"/>
      <c r="AR211" s="57"/>
      <c r="AS211" s="56">
        <f>Tabela4[[#This Row],[Total R$]]-Tabela4[[#This Row],[Total Pago]]</f>
        <v>0</v>
      </c>
      <c r="AT211" s="36"/>
    </row>
    <row r="212" spans="2:46" x14ac:dyDescent="0.25">
      <c r="B212" s="44"/>
      <c r="D212" s="349"/>
      <c r="E212" s="33"/>
      <c r="F212" s="33"/>
      <c r="G212" s="33"/>
      <c r="H212" s="33"/>
      <c r="I212" s="33"/>
      <c r="J212" s="33"/>
      <c r="K212" s="33"/>
      <c r="L212" s="561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44"/>
      <c r="AP212" s="37"/>
      <c r="AQ212" s="28"/>
      <c r="AR212" s="57"/>
      <c r="AS212" s="56">
        <f>Tabela4[[#This Row],[Total R$]]-Tabela4[[#This Row],[Total Pago]]</f>
        <v>0</v>
      </c>
      <c r="AT212" s="36"/>
    </row>
    <row r="213" spans="2:46" x14ac:dyDescent="0.25">
      <c r="B213" s="44"/>
      <c r="D213" s="349"/>
      <c r="E213" s="33"/>
      <c r="F213" s="33"/>
      <c r="G213" s="33"/>
      <c r="H213" s="33"/>
      <c r="I213" s="33"/>
      <c r="J213" s="33"/>
      <c r="K213" s="33"/>
      <c r="L213" s="561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44"/>
      <c r="AP213" s="37"/>
      <c r="AQ213" s="28"/>
      <c r="AR213" s="57"/>
      <c r="AS213" s="56">
        <f>Tabela4[[#This Row],[Total R$]]-Tabela4[[#This Row],[Total Pago]]</f>
        <v>0</v>
      </c>
      <c r="AT213" s="36"/>
    </row>
    <row r="214" spans="2:46" x14ac:dyDescent="0.25">
      <c r="B214" s="44"/>
      <c r="D214" s="349"/>
      <c r="E214" s="33"/>
      <c r="F214" s="33"/>
      <c r="G214" s="33"/>
      <c r="H214" s="33"/>
      <c r="I214" s="33"/>
      <c r="J214" s="33"/>
      <c r="K214" s="33"/>
      <c r="L214" s="561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44"/>
      <c r="AP214" s="37"/>
      <c r="AQ214" s="44"/>
      <c r="AR214" s="57"/>
      <c r="AS214" s="56">
        <f>Tabela4[[#This Row],[Total R$]]-Tabela4[[#This Row],[Total Pago]]</f>
        <v>0</v>
      </c>
      <c r="AT214" s="36"/>
    </row>
    <row r="215" spans="2:46" x14ac:dyDescent="0.25">
      <c r="B215" s="44"/>
      <c r="D215" s="349"/>
      <c r="E215" s="33"/>
      <c r="F215" s="33"/>
      <c r="G215" s="33"/>
      <c r="H215" s="33"/>
      <c r="I215" s="33"/>
      <c r="J215" s="33"/>
      <c r="K215" s="33"/>
      <c r="L215" s="561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44"/>
      <c r="AP215" s="37"/>
      <c r="AQ215" s="28"/>
      <c r="AR215" s="57"/>
      <c r="AS215" s="56">
        <f>Tabela4[[#This Row],[Total R$]]-Tabela4[[#This Row],[Total Pago]]</f>
        <v>0</v>
      </c>
      <c r="AT215" s="36"/>
    </row>
    <row r="216" spans="2:46" x14ac:dyDescent="0.25">
      <c r="B216" s="44"/>
      <c r="D216" s="349"/>
      <c r="E216" s="33"/>
      <c r="F216" s="33"/>
      <c r="G216" s="33"/>
      <c r="H216" s="33"/>
      <c r="I216" s="33"/>
      <c r="J216" s="33"/>
      <c r="K216" s="33"/>
      <c r="L216" s="561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44"/>
      <c r="AP216" s="37"/>
      <c r="AQ216" s="28"/>
      <c r="AR216" s="57"/>
      <c r="AS216" s="56">
        <f>Tabela4[[#This Row],[Total R$]]-Tabela4[[#This Row],[Total Pago]]</f>
        <v>0</v>
      </c>
      <c r="AT216" s="36"/>
    </row>
    <row r="217" spans="2:46" x14ac:dyDescent="0.25">
      <c r="B217" s="44"/>
      <c r="D217" s="349"/>
      <c r="E217" s="33"/>
      <c r="F217" s="33"/>
      <c r="G217" s="33"/>
      <c r="H217" s="33"/>
      <c r="I217" s="33"/>
      <c r="J217" s="33"/>
      <c r="K217" s="33"/>
      <c r="L217" s="561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44"/>
      <c r="AP217" s="37"/>
      <c r="AQ217" s="28"/>
      <c r="AR217" s="57"/>
      <c r="AS217" s="56">
        <f>Tabela4[[#This Row],[Total R$]]-Tabela4[[#This Row],[Total Pago]]</f>
        <v>0</v>
      </c>
      <c r="AT217" s="36"/>
    </row>
    <row r="218" spans="2:46" x14ac:dyDescent="0.25">
      <c r="B218" s="44"/>
      <c r="D218" s="349"/>
      <c r="E218" s="33"/>
      <c r="F218" s="33"/>
      <c r="G218" s="33"/>
      <c r="H218" s="33"/>
      <c r="I218" s="33"/>
      <c r="J218" s="33"/>
      <c r="K218" s="33"/>
      <c r="L218" s="561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44"/>
      <c r="AP218" s="37"/>
      <c r="AQ218" s="44"/>
      <c r="AR218" s="57"/>
      <c r="AS218" s="56">
        <f>Tabela4[[#This Row],[Total R$]]-Tabela4[[#This Row],[Total Pago]]</f>
        <v>0</v>
      </c>
      <c r="AT218" s="36"/>
    </row>
    <row r="219" spans="2:46" x14ac:dyDescent="0.25">
      <c r="B219" s="44"/>
      <c r="D219" s="349"/>
      <c r="E219" s="33"/>
      <c r="F219" s="33"/>
      <c r="G219" s="33"/>
      <c r="H219" s="33"/>
      <c r="I219" s="33"/>
      <c r="J219" s="33"/>
      <c r="K219" s="33"/>
      <c r="L219" s="561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44"/>
      <c r="AP219" s="37"/>
      <c r="AQ219" s="44"/>
      <c r="AR219" s="57"/>
      <c r="AS219" s="56">
        <f>Tabela4[[#This Row],[Total R$]]-Tabela4[[#This Row],[Total Pago]]</f>
        <v>0</v>
      </c>
      <c r="AT219" s="36"/>
    </row>
    <row r="220" spans="2:46" x14ac:dyDescent="0.25">
      <c r="B220" s="44"/>
      <c r="D220" s="349"/>
      <c r="E220" s="33"/>
      <c r="F220" s="33"/>
      <c r="G220" s="33"/>
      <c r="H220" s="33"/>
      <c r="I220" s="33"/>
      <c r="J220" s="33"/>
      <c r="K220" s="33"/>
      <c r="L220" s="561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44"/>
      <c r="AP220" s="37"/>
      <c r="AQ220" s="28"/>
      <c r="AR220" s="57"/>
      <c r="AS220" s="56">
        <f>Tabela4[[#This Row],[Total R$]]-Tabela4[[#This Row],[Total Pago]]</f>
        <v>0</v>
      </c>
      <c r="AT220" s="36"/>
    </row>
    <row r="221" spans="2:46" x14ac:dyDescent="0.25">
      <c r="B221" s="44"/>
      <c r="D221" s="349"/>
      <c r="E221" s="33"/>
      <c r="F221" s="33"/>
      <c r="G221" s="33"/>
      <c r="H221" s="33"/>
      <c r="I221" s="33"/>
      <c r="J221" s="33"/>
      <c r="K221" s="33"/>
      <c r="L221" s="561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44"/>
      <c r="AP221" s="37"/>
      <c r="AQ221" s="44"/>
      <c r="AR221" s="57"/>
      <c r="AS221" s="56">
        <f>Tabela4[[#This Row],[Total R$]]-Tabela4[[#This Row],[Total Pago]]</f>
        <v>0</v>
      </c>
      <c r="AT221" s="36"/>
    </row>
    <row r="222" spans="2:46" x14ac:dyDescent="0.25">
      <c r="B222" s="44"/>
      <c r="D222" s="349"/>
      <c r="E222" s="33"/>
      <c r="F222" s="33"/>
      <c r="G222" s="33"/>
      <c r="H222" s="33"/>
      <c r="I222" s="33"/>
      <c r="J222" s="33"/>
      <c r="K222" s="33"/>
      <c r="L222" s="561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44"/>
      <c r="AP222" s="37"/>
      <c r="AQ222" s="28"/>
      <c r="AR222" s="57"/>
      <c r="AS222" s="56">
        <f>Tabela4[[#This Row],[Total R$]]-Tabela4[[#This Row],[Total Pago]]</f>
        <v>0</v>
      </c>
      <c r="AT222" s="36"/>
    </row>
    <row r="223" spans="2:46" x14ac:dyDescent="0.25">
      <c r="B223" s="44"/>
      <c r="D223" s="349"/>
      <c r="E223" s="33"/>
      <c r="F223" s="33"/>
      <c r="G223" s="33"/>
      <c r="H223" s="33"/>
      <c r="I223" s="33"/>
      <c r="J223" s="33"/>
      <c r="K223" s="33"/>
      <c r="L223" s="561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44"/>
      <c r="AP223" s="37"/>
      <c r="AQ223" s="28"/>
      <c r="AR223" s="57"/>
      <c r="AS223" s="56">
        <f>Tabela4[[#This Row],[Total R$]]-Tabela4[[#This Row],[Total Pago]]</f>
        <v>0</v>
      </c>
      <c r="AT223" s="36"/>
    </row>
    <row r="224" spans="2:46" x14ac:dyDescent="0.25">
      <c r="B224" s="44"/>
      <c r="D224" s="349"/>
      <c r="E224" s="33"/>
      <c r="F224" s="33"/>
      <c r="G224" s="33"/>
      <c r="H224" s="33"/>
      <c r="I224" s="33"/>
      <c r="J224" s="33"/>
      <c r="K224" s="33"/>
      <c r="L224" s="561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44"/>
      <c r="AP224" s="37"/>
      <c r="AQ224" s="28"/>
      <c r="AR224" s="57"/>
      <c r="AS224" s="56">
        <f>Tabela4[[#This Row],[Total R$]]-Tabela4[[#This Row],[Total Pago]]</f>
        <v>0</v>
      </c>
      <c r="AT224" s="36"/>
    </row>
    <row r="225" spans="2:46" x14ac:dyDescent="0.25">
      <c r="B225" s="44"/>
      <c r="D225" s="349"/>
      <c r="E225" s="33"/>
      <c r="F225" s="33"/>
      <c r="G225" s="33"/>
      <c r="H225" s="33"/>
      <c r="I225" s="33"/>
      <c r="J225" s="33"/>
      <c r="K225" s="33"/>
      <c r="L225" s="561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44"/>
      <c r="AP225" s="37"/>
      <c r="AQ225" s="28"/>
      <c r="AR225" s="57"/>
      <c r="AS225" s="56">
        <f>Tabela4[[#This Row],[Total R$]]-Tabela4[[#This Row],[Total Pago]]</f>
        <v>0</v>
      </c>
      <c r="AT225" s="36"/>
    </row>
    <row r="226" spans="2:46" x14ac:dyDescent="0.25">
      <c r="B226" s="44"/>
      <c r="D226" s="349"/>
      <c r="E226" s="33"/>
      <c r="F226" s="33"/>
      <c r="G226" s="33"/>
      <c r="H226" s="33"/>
      <c r="I226" s="33"/>
      <c r="J226" s="33"/>
      <c r="K226" s="33"/>
      <c r="L226" s="561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44"/>
      <c r="AP226" s="37"/>
      <c r="AQ226" s="28"/>
      <c r="AR226" s="57"/>
      <c r="AS226" s="56">
        <f>Tabela4[[#This Row],[Total R$]]-Tabela4[[#This Row],[Total Pago]]</f>
        <v>0</v>
      </c>
      <c r="AT226" s="36"/>
    </row>
    <row r="227" spans="2:46" x14ac:dyDescent="0.25">
      <c r="B227" s="44"/>
      <c r="D227" s="349"/>
      <c r="E227" s="33"/>
      <c r="F227" s="33"/>
      <c r="G227" s="33"/>
      <c r="H227" s="33"/>
      <c r="I227" s="33"/>
      <c r="J227" s="33"/>
      <c r="K227" s="33"/>
      <c r="L227" s="561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44"/>
      <c r="AP227" s="37"/>
      <c r="AQ227" s="28"/>
      <c r="AR227" s="57"/>
      <c r="AS227" s="56">
        <f>Tabela4[[#This Row],[Total R$]]-Tabela4[[#This Row],[Total Pago]]</f>
        <v>0</v>
      </c>
      <c r="AT227" s="36"/>
    </row>
    <row r="228" spans="2:46" x14ac:dyDescent="0.25">
      <c r="B228" s="44"/>
      <c r="D228" s="349"/>
      <c r="E228" s="33"/>
      <c r="F228" s="33"/>
      <c r="G228" s="33"/>
      <c r="H228" s="33"/>
      <c r="I228" s="33"/>
      <c r="J228" s="33"/>
      <c r="K228" s="33"/>
      <c r="L228" s="561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44"/>
      <c r="AP228" s="37"/>
      <c r="AQ228" s="28"/>
      <c r="AR228" s="57"/>
      <c r="AS228" s="56">
        <f>Tabela4[[#This Row],[Total R$]]-Tabela4[[#This Row],[Total Pago]]</f>
        <v>0</v>
      </c>
      <c r="AT228" s="36"/>
    </row>
    <row r="229" spans="2:46" x14ac:dyDescent="0.25">
      <c r="B229" s="44"/>
      <c r="D229" s="349"/>
      <c r="E229" s="33"/>
      <c r="F229" s="33"/>
      <c r="G229" s="33"/>
      <c r="H229" s="33"/>
      <c r="I229" s="33"/>
      <c r="J229" s="33"/>
      <c r="K229" s="33"/>
      <c r="L229" s="561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44"/>
      <c r="AP229" s="37"/>
      <c r="AQ229" s="28"/>
      <c r="AR229" s="57"/>
      <c r="AS229" s="56">
        <f>Tabela4[[#This Row],[Total R$]]-Tabela4[[#This Row],[Total Pago]]</f>
        <v>0</v>
      </c>
      <c r="AT229" s="36"/>
    </row>
    <row r="230" spans="2:46" x14ac:dyDescent="0.25">
      <c r="B230" s="44"/>
      <c r="D230" s="349"/>
      <c r="E230" s="33"/>
      <c r="F230" s="33"/>
      <c r="G230" s="33"/>
      <c r="H230" s="33"/>
      <c r="I230" s="33"/>
      <c r="J230" s="33"/>
      <c r="K230" s="33"/>
      <c r="L230" s="561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44"/>
      <c r="AP230" s="37"/>
      <c r="AQ230" s="28"/>
      <c r="AR230" s="57"/>
      <c r="AS230" s="56">
        <f>Tabela4[[#This Row],[Total R$]]-Tabela4[[#This Row],[Total Pago]]</f>
        <v>0</v>
      </c>
      <c r="AT230" s="36"/>
    </row>
    <row r="231" spans="2:46" x14ac:dyDescent="0.25">
      <c r="B231" s="44"/>
      <c r="D231" s="349"/>
      <c r="E231" s="33"/>
      <c r="F231" s="33"/>
      <c r="G231" s="33"/>
      <c r="H231" s="33"/>
      <c r="I231" s="33"/>
      <c r="J231" s="33"/>
      <c r="K231" s="33"/>
      <c r="L231" s="561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44"/>
      <c r="AP231" s="37"/>
      <c r="AQ231" s="28"/>
      <c r="AR231" s="97"/>
      <c r="AS231" s="56">
        <f>Tabela4[[#This Row],[Total R$]]-Tabela4[[#This Row],[Total Pago]]</f>
        <v>0</v>
      </c>
      <c r="AT231" s="36"/>
    </row>
    <row r="232" spans="2:46" x14ac:dyDescent="0.25">
      <c r="B232" s="44"/>
      <c r="D232" s="349"/>
      <c r="E232" s="33"/>
      <c r="F232" s="33"/>
      <c r="G232" s="33"/>
      <c r="H232" s="33"/>
      <c r="I232" s="33"/>
      <c r="J232" s="33"/>
      <c r="K232" s="33"/>
      <c r="L232" s="561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44"/>
      <c r="AP232" s="37"/>
      <c r="AQ232" s="28"/>
      <c r="AR232" s="57"/>
      <c r="AS232" s="56">
        <f>Tabela4[[#This Row],[Total R$]]-Tabela4[[#This Row],[Total Pago]]</f>
        <v>0</v>
      </c>
      <c r="AT232" s="36"/>
    </row>
    <row r="233" spans="2:46" x14ac:dyDescent="0.25">
      <c r="B233" s="44"/>
      <c r="D233" s="349"/>
      <c r="E233" s="33"/>
      <c r="F233" s="33"/>
      <c r="G233" s="33"/>
      <c r="H233" s="33"/>
      <c r="I233" s="33"/>
      <c r="J233" s="33"/>
      <c r="K233" s="33"/>
      <c r="L233" s="561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44"/>
      <c r="AP233" s="37"/>
      <c r="AQ233" s="28"/>
      <c r="AR233" s="57"/>
      <c r="AS233" s="56">
        <f>Tabela4[[#This Row],[Total R$]]-Tabela4[[#This Row],[Total Pago]]</f>
        <v>0</v>
      </c>
      <c r="AT233" s="36"/>
    </row>
    <row r="234" spans="2:46" x14ac:dyDescent="0.25">
      <c r="B234" s="44"/>
      <c r="D234" s="349"/>
      <c r="E234" s="33"/>
      <c r="F234" s="33"/>
      <c r="G234" s="33"/>
      <c r="H234" s="33"/>
      <c r="I234" s="33"/>
      <c r="J234" s="33"/>
      <c r="K234" s="33"/>
      <c r="L234" s="561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44"/>
      <c r="AP234" s="37"/>
      <c r="AQ234" s="28"/>
      <c r="AR234" s="57"/>
      <c r="AS234" s="56">
        <f>Tabela4[[#This Row],[Total R$]]-Tabela4[[#This Row],[Total Pago]]</f>
        <v>0</v>
      </c>
      <c r="AT234" s="36"/>
    </row>
    <row r="235" spans="2:46" x14ac:dyDescent="0.25">
      <c r="B235" s="44"/>
      <c r="D235" s="349"/>
      <c r="E235" s="33"/>
      <c r="F235" s="33"/>
      <c r="G235" s="33"/>
      <c r="H235" s="33"/>
      <c r="I235" s="33"/>
      <c r="J235" s="33"/>
      <c r="K235" s="33"/>
      <c r="L235" s="561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44"/>
      <c r="AP235" s="37"/>
      <c r="AQ235" s="28"/>
      <c r="AR235" s="76"/>
      <c r="AS235" s="56">
        <f>Tabela4[[#This Row],[Total R$]]-Tabela4[[#This Row],[Total Pago]]</f>
        <v>0</v>
      </c>
      <c r="AT235" s="36"/>
    </row>
    <row r="236" spans="2:46" x14ac:dyDescent="0.25">
      <c r="B236" s="44"/>
      <c r="D236" s="349"/>
      <c r="E236" s="33"/>
      <c r="F236" s="33"/>
      <c r="G236" s="33"/>
      <c r="H236" s="33"/>
      <c r="I236" s="33"/>
      <c r="J236" s="33"/>
      <c r="K236" s="33"/>
      <c r="L236" s="561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44"/>
      <c r="AP236" s="37"/>
      <c r="AQ236" s="28"/>
      <c r="AR236" s="97"/>
      <c r="AS236" s="56">
        <f>Tabela4[[#This Row],[Total R$]]-Tabela4[[#This Row],[Total Pago]]</f>
        <v>0</v>
      </c>
      <c r="AT236" s="36"/>
    </row>
    <row r="237" spans="2:46" x14ac:dyDescent="0.25">
      <c r="B237" s="44"/>
      <c r="D237" s="349"/>
      <c r="E237" s="33"/>
      <c r="F237" s="33"/>
      <c r="G237" s="33"/>
      <c r="H237" s="33"/>
      <c r="I237" s="33"/>
      <c r="J237" s="33"/>
      <c r="K237" s="33"/>
      <c r="L237" s="561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44"/>
      <c r="AP237" s="37"/>
      <c r="AQ237" s="28"/>
      <c r="AR237" s="57"/>
      <c r="AS237" s="56">
        <f>Tabela4[[#This Row],[Total R$]]-Tabela4[[#This Row],[Total Pago]]</f>
        <v>0</v>
      </c>
      <c r="AT237" s="36"/>
    </row>
    <row r="238" spans="2:46" x14ac:dyDescent="0.25">
      <c r="B238" s="44"/>
      <c r="D238" s="349"/>
      <c r="E238" s="33"/>
      <c r="F238" s="33"/>
      <c r="G238" s="33"/>
      <c r="H238" s="33"/>
      <c r="I238" s="33"/>
      <c r="J238" s="33"/>
      <c r="K238" s="33"/>
      <c r="L238" s="561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44"/>
      <c r="AP238" s="37"/>
      <c r="AQ238" s="28"/>
      <c r="AR238" s="57"/>
      <c r="AS238" s="56">
        <f>Tabela4[[#This Row],[Total R$]]-Tabela4[[#This Row],[Total Pago]]</f>
        <v>0</v>
      </c>
      <c r="AT238" s="36"/>
    </row>
    <row r="239" spans="2:46" x14ac:dyDescent="0.25">
      <c r="B239" s="44"/>
      <c r="D239" s="308"/>
      <c r="E239" s="33"/>
      <c r="F239" s="33"/>
      <c r="G239" s="33"/>
      <c r="H239" s="33"/>
      <c r="I239" s="33"/>
      <c r="J239" s="33"/>
      <c r="K239" s="33"/>
      <c r="L239" s="561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44"/>
      <c r="AP239" s="37"/>
      <c r="AQ239" s="28"/>
      <c r="AR239" s="57"/>
      <c r="AS239" s="56">
        <f>Tabela4[[#This Row],[Total R$]]-Tabela4[[#This Row],[Total Pago]]</f>
        <v>0</v>
      </c>
      <c r="AT239" s="36"/>
    </row>
    <row r="240" spans="2:46" x14ac:dyDescent="0.25">
      <c r="B240" s="44"/>
      <c r="D240" s="349"/>
      <c r="E240" s="33"/>
      <c r="F240" s="33"/>
      <c r="G240" s="33"/>
      <c r="H240" s="33"/>
      <c r="I240" s="33"/>
      <c r="J240" s="33"/>
      <c r="K240" s="33"/>
      <c r="L240" s="561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44"/>
      <c r="AP240" s="37"/>
      <c r="AQ240" s="28"/>
      <c r="AR240" s="57"/>
      <c r="AS240" s="56">
        <f>Tabela4[[#This Row],[Total R$]]-Tabela4[[#This Row],[Total Pago]]</f>
        <v>0</v>
      </c>
      <c r="AT240" s="36"/>
    </row>
    <row r="241" spans="2:46" x14ac:dyDescent="0.25">
      <c r="B241" s="44"/>
      <c r="D241" s="349"/>
      <c r="E241" s="33"/>
      <c r="F241" s="33"/>
      <c r="G241" s="33"/>
      <c r="H241" s="33"/>
      <c r="I241" s="33"/>
      <c r="J241" s="33"/>
      <c r="K241" s="33"/>
      <c r="L241" s="561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44"/>
      <c r="AP241" s="37"/>
      <c r="AQ241" s="28"/>
      <c r="AR241" s="57"/>
      <c r="AS241" s="56">
        <f>Tabela4[[#This Row],[Total R$]]-Tabela4[[#This Row],[Total Pago]]</f>
        <v>0</v>
      </c>
      <c r="AT241" s="36"/>
    </row>
    <row r="242" spans="2:46" x14ac:dyDescent="0.25">
      <c r="B242" s="44"/>
      <c r="D242" s="349"/>
      <c r="E242" s="33"/>
      <c r="F242" s="33"/>
      <c r="G242" s="33"/>
      <c r="H242" s="33"/>
      <c r="I242" s="33"/>
      <c r="J242" s="33"/>
      <c r="K242" s="33"/>
      <c r="L242" s="561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44"/>
      <c r="AP242" s="37"/>
      <c r="AQ242" s="44"/>
      <c r="AR242" s="76"/>
      <c r="AS242" s="56">
        <f>Tabela4[[#This Row],[Total R$]]-Tabela4[[#This Row],[Total Pago]]</f>
        <v>0</v>
      </c>
      <c r="AT242" s="36"/>
    </row>
    <row r="243" spans="2:46" x14ac:dyDescent="0.25">
      <c r="B243" s="44"/>
      <c r="D243" s="349"/>
      <c r="E243" s="33"/>
      <c r="F243" s="33"/>
      <c r="G243" s="33"/>
      <c r="H243" s="33"/>
      <c r="I243" s="33"/>
      <c r="J243" s="33"/>
      <c r="K243" s="33"/>
      <c r="L243" s="561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44"/>
      <c r="AP243" s="37"/>
      <c r="AQ243" s="44"/>
      <c r="AR243" s="57"/>
      <c r="AS243" s="56">
        <f>Tabela4[[#This Row],[Total R$]]-Tabela4[[#This Row],[Total Pago]]</f>
        <v>0</v>
      </c>
      <c r="AT243" s="36"/>
    </row>
    <row r="244" spans="2:46" x14ac:dyDescent="0.25">
      <c r="B244" s="44"/>
      <c r="D244" s="349"/>
      <c r="E244" s="33"/>
      <c r="F244" s="33"/>
      <c r="G244" s="33"/>
      <c r="H244" s="33"/>
      <c r="I244" s="33"/>
      <c r="J244" s="33"/>
      <c r="K244" s="33"/>
      <c r="L244" s="561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44"/>
      <c r="AP244" s="37"/>
      <c r="AQ244" s="28"/>
      <c r="AR244" s="57"/>
      <c r="AS244" s="56">
        <f>Tabela4[[#This Row],[Total R$]]-Tabela4[[#This Row],[Total Pago]]</f>
        <v>0</v>
      </c>
      <c r="AT244" s="36"/>
    </row>
    <row r="245" spans="2:46" x14ac:dyDescent="0.25">
      <c r="B245" s="44"/>
      <c r="D245" s="349"/>
      <c r="E245" s="33"/>
      <c r="F245" s="33"/>
      <c r="G245" s="33"/>
      <c r="H245" s="33"/>
      <c r="I245" s="33"/>
      <c r="J245" s="33"/>
      <c r="K245" s="33"/>
      <c r="L245" s="561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44"/>
      <c r="AP245" s="37"/>
      <c r="AQ245" s="44"/>
      <c r="AR245" s="57"/>
      <c r="AS245" s="56">
        <f>Tabela4[[#This Row],[Total R$]]-Tabela4[[#This Row],[Total Pago]]</f>
        <v>0</v>
      </c>
      <c r="AT245" s="36"/>
    </row>
    <row r="246" spans="2:46" x14ac:dyDescent="0.25">
      <c r="B246" s="44"/>
      <c r="D246" s="349"/>
      <c r="E246" s="33"/>
      <c r="F246" s="33"/>
      <c r="G246" s="33"/>
      <c r="H246" s="33"/>
      <c r="I246" s="33"/>
      <c r="J246" s="33"/>
      <c r="K246" s="33"/>
      <c r="L246" s="561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44"/>
      <c r="AP246" s="37"/>
      <c r="AQ246" s="44"/>
      <c r="AR246" s="57"/>
      <c r="AS246" s="56">
        <f>Tabela4[[#This Row],[Total R$]]-Tabela4[[#This Row],[Total Pago]]</f>
        <v>0</v>
      </c>
      <c r="AT246" s="36"/>
    </row>
    <row r="247" spans="2:46" x14ac:dyDescent="0.25">
      <c r="B247" s="44"/>
      <c r="D247" s="349"/>
      <c r="E247" s="33"/>
      <c r="F247" s="33"/>
      <c r="G247" s="33"/>
      <c r="H247" s="33"/>
      <c r="I247" s="33"/>
      <c r="J247" s="33"/>
      <c r="K247" s="33"/>
      <c r="L247" s="561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44"/>
      <c r="AP247" s="37"/>
      <c r="AQ247" s="28"/>
      <c r="AR247" s="57"/>
      <c r="AS247" s="56">
        <f>Tabela4[[#This Row],[Total R$]]-Tabela4[[#This Row],[Total Pago]]</f>
        <v>0</v>
      </c>
      <c r="AT247" s="36"/>
    </row>
    <row r="248" spans="2:46" x14ac:dyDescent="0.25">
      <c r="B248" s="44"/>
      <c r="D248" s="349"/>
      <c r="E248" s="33"/>
      <c r="F248" s="33"/>
      <c r="G248" s="33"/>
      <c r="H248" s="33"/>
      <c r="I248" s="33"/>
      <c r="J248" s="33"/>
      <c r="K248" s="33"/>
      <c r="L248" s="561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44"/>
      <c r="AP248" s="37"/>
      <c r="AQ248" s="44"/>
      <c r="AR248" s="57"/>
      <c r="AS248" s="56">
        <f>Tabela4[[#This Row],[Total R$]]-Tabela4[[#This Row],[Total Pago]]</f>
        <v>0</v>
      </c>
      <c r="AT248" s="36"/>
    </row>
    <row r="249" spans="2:46" x14ac:dyDescent="0.25">
      <c r="B249" s="44"/>
      <c r="D249" s="349"/>
      <c r="E249" s="33"/>
      <c r="F249" s="33"/>
      <c r="G249" s="33"/>
      <c r="H249" s="33"/>
      <c r="I249" s="33"/>
      <c r="J249" s="33"/>
      <c r="K249" s="33"/>
      <c r="L249" s="561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44"/>
      <c r="AP249" s="37"/>
      <c r="AQ249" s="28"/>
      <c r="AR249" s="57"/>
      <c r="AS249" s="56">
        <f>Tabela4[[#This Row],[Total R$]]-Tabela4[[#This Row],[Total Pago]]</f>
        <v>0</v>
      </c>
      <c r="AT249" s="36"/>
    </row>
    <row r="250" spans="2:46" x14ac:dyDescent="0.25">
      <c r="B250" s="44"/>
      <c r="D250" s="349"/>
      <c r="E250" s="33"/>
      <c r="F250" s="33"/>
      <c r="G250" s="33"/>
      <c r="H250" s="33"/>
      <c r="I250" s="33"/>
      <c r="J250" s="33"/>
      <c r="K250" s="33"/>
      <c r="L250" s="561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44"/>
      <c r="AP250" s="37"/>
      <c r="AQ250" s="44"/>
      <c r="AR250" s="57"/>
      <c r="AS250" s="56">
        <f>Tabela4[[#This Row],[Total R$]]-Tabela4[[#This Row],[Total Pago]]</f>
        <v>0</v>
      </c>
      <c r="AT250" s="36"/>
    </row>
    <row r="251" spans="2:46" x14ac:dyDescent="0.25">
      <c r="B251" s="44"/>
      <c r="D251" s="349"/>
      <c r="E251" s="33"/>
      <c r="F251" s="33"/>
      <c r="G251" s="33"/>
      <c r="H251" s="33"/>
      <c r="I251" s="33"/>
      <c r="J251" s="33"/>
      <c r="K251" s="33"/>
      <c r="L251" s="561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44"/>
      <c r="AP251" s="37"/>
      <c r="AQ251" s="44"/>
      <c r="AR251" s="57"/>
      <c r="AS251" s="56">
        <f>Tabela4[[#This Row],[Total R$]]-Tabela4[[#This Row],[Total Pago]]</f>
        <v>0</v>
      </c>
      <c r="AT251" s="36"/>
    </row>
    <row r="252" spans="2:46" x14ac:dyDescent="0.25">
      <c r="B252" s="44"/>
      <c r="D252" s="349"/>
      <c r="E252" s="33"/>
      <c r="F252" s="33"/>
      <c r="G252" s="33"/>
      <c r="H252" s="33"/>
      <c r="I252" s="33"/>
      <c r="J252" s="33"/>
      <c r="K252" s="33"/>
      <c r="L252" s="561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44"/>
      <c r="AP252" s="37"/>
      <c r="AQ252" s="44"/>
      <c r="AR252" s="76"/>
      <c r="AS252" s="56">
        <f>Tabela4[[#This Row],[Total R$]]-Tabela4[[#This Row],[Total Pago]]</f>
        <v>0</v>
      </c>
      <c r="AT252" s="36"/>
    </row>
    <row r="253" spans="2:46" x14ac:dyDescent="0.25">
      <c r="B253" s="44"/>
      <c r="D253" s="349"/>
      <c r="E253" s="33"/>
      <c r="F253" s="33"/>
      <c r="G253" s="33"/>
      <c r="H253" s="33"/>
      <c r="I253" s="33"/>
      <c r="J253" s="33"/>
      <c r="K253" s="33"/>
      <c r="L253" s="561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44"/>
      <c r="AP253" s="37"/>
      <c r="AQ253" s="44"/>
      <c r="AR253" s="57"/>
      <c r="AS253" s="56">
        <f>Tabela4[[#This Row],[Total R$]]-Tabela4[[#This Row],[Total Pago]]</f>
        <v>0</v>
      </c>
      <c r="AT253" s="36"/>
    </row>
    <row r="254" spans="2:46" x14ac:dyDescent="0.25">
      <c r="B254" s="44"/>
      <c r="D254" s="349"/>
      <c r="E254" s="33"/>
      <c r="F254" s="33"/>
      <c r="G254" s="33"/>
      <c r="H254" s="33"/>
      <c r="I254" s="33"/>
      <c r="J254" s="33"/>
      <c r="K254" s="33"/>
      <c r="L254" s="561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44"/>
      <c r="AP254" s="37"/>
      <c r="AQ254" s="44"/>
      <c r="AR254" s="82"/>
      <c r="AS254" s="56">
        <f>Tabela4[[#This Row],[Total R$]]-Tabela4[[#This Row],[Total Pago]]</f>
        <v>0</v>
      </c>
      <c r="AT254" s="36"/>
    </row>
    <row r="255" spans="2:46" x14ac:dyDescent="0.25">
      <c r="B255" s="44"/>
      <c r="D255" s="349"/>
      <c r="E255" s="33"/>
      <c r="F255" s="33"/>
      <c r="G255" s="33"/>
      <c r="H255" s="33"/>
      <c r="I255" s="33"/>
      <c r="J255" s="33"/>
      <c r="K255" s="33"/>
      <c r="L255" s="561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44"/>
      <c r="AP255" s="37"/>
      <c r="AQ255" s="44"/>
      <c r="AR255" s="57"/>
      <c r="AS255" s="56">
        <f>Tabela4[[#This Row],[Total R$]]-Tabela4[[#This Row],[Total Pago]]</f>
        <v>0</v>
      </c>
      <c r="AT255" s="36"/>
    </row>
    <row r="256" spans="2:46" x14ac:dyDescent="0.25">
      <c r="B256" s="44"/>
      <c r="D256" s="349"/>
      <c r="E256" s="33"/>
      <c r="F256" s="33"/>
      <c r="G256" s="33"/>
      <c r="H256" s="33"/>
      <c r="I256" s="33"/>
      <c r="J256" s="33"/>
      <c r="K256" s="33"/>
      <c r="L256" s="561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44"/>
      <c r="AP256" s="37"/>
      <c r="AQ256" s="44"/>
      <c r="AR256" s="76"/>
      <c r="AS256" s="56">
        <f>Tabela4[[#This Row],[Total R$]]-Tabela4[[#This Row],[Total Pago]]</f>
        <v>0</v>
      </c>
      <c r="AT256" s="36"/>
    </row>
    <row r="257" spans="2:46" x14ac:dyDescent="0.25">
      <c r="B257" s="44"/>
      <c r="D257" s="349"/>
      <c r="E257" s="33"/>
      <c r="F257" s="33"/>
      <c r="G257" s="33"/>
      <c r="H257" s="33"/>
      <c r="I257" s="33"/>
      <c r="J257" s="33"/>
      <c r="K257" s="33"/>
      <c r="L257" s="561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44"/>
      <c r="AP257" s="37"/>
      <c r="AQ257" s="44"/>
      <c r="AR257" s="57"/>
      <c r="AS257" s="56">
        <f>Tabela4[[#This Row],[Total R$]]-Tabela4[[#This Row],[Total Pago]]</f>
        <v>0</v>
      </c>
      <c r="AT257" s="36"/>
    </row>
    <row r="258" spans="2:46" x14ac:dyDescent="0.25">
      <c r="B258" s="44"/>
      <c r="D258" s="349"/>
      <c r="E258" s="33"/>
      <c r="F258" s="33"/>
      <c r="G258" s="33"/>
      <c r="H258" s="33"/>
      <c r="I258" s="33"/>
      <c r="J258" s="33"/>
      <c r="K258" s="33"/>
      <c r="L258" s="561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44"/>
      <c r="AP258" s="37"/>
      <c r="AQ258" s="44"/>
      <c r="AR258" s="76"/>
      <c r="AS258" s="56">
        <f>Tabela4[[#This Row],[Total R$]]-Tabela4[[#This Row],[Total Pago]]</f>
        <v>0</v>
      </c>
      <c r="AT258" s="36"/>
    </row>
    <row r="259" spans="2:46" x14ac:dyDescent="0.25">
      <c r="B259" s="44"/>
      <c r="D259" s="349"/>
      <c r="E259" s="33"/>
      <c r="F259" s="33"/>
      <c r="G259" s="33"/>
      <c r="H259" s="33"/>
      <c r="I259" s="33"/>
      <c r="J259" s="33"/>
      <c r="K259" s="33"/>
      <c r="L259" s="561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44"/>
      <c r="AP259" s="37"/>
      <c r="AQ259" s="44"/>
      <c r="AR259" s="57"/>
      <c r="AS259" s="56">
        <f>Tabela4[[#This Row],[Total R$]]-Tabela4[[#This Row],[Total Pago]]</f>
        <v>0</v>
      </c>
      <c r="AT259" s="36"/>
    </row>
    <row r="260" spans="2:46" x14ac:dyDescent="0.25">
      <c r="B260" s="44"/>
      <c r="D260" s="349"/>
      <c r="E260" s="33"/>
      <c r="F260" s="33"/>
      <c r="G260" s="33"/>
      <c r="H260" s="33"/>
      <c r="I260" s="33"/>
      <c r="J260" s="33"/>
      <c r="K260" s="33"/>
      <c r="L260" s="561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44"/>
      <c r="AP260" s="37"/>
      <c r="AQ260" s="28"/>
      <c r="AR260" s="57"/>
      <c r="AS260" s="56">
        <f>Tabela4[[#This Row],[Total R$]]-Tabela4[[#This Row],[Total Pago]]</f>
        <v>0</v>
      </c>
      <c r="AT260" s="36"/>
    </row>
    <row r="261" spans="2:46" x14ac:dyDescent="0.25">
      <c r="B261" s="44"/>
      <c r="D261" s="349"/>
      <c r="E261" s="33"/>
      <c r="F261" s="33"/>
      <c r="G261" s="33"/>
      <c r="H261" s="33"/>
      <c r="I261" s="33"/>
      <c r="J261" s="33"/>
      <c r="K261" s="33"/>
      <c r="L261" s="561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44"/>
      <c r="AP261" s="37"/>
      <c r="AQ261" s="44"/>
      <c r="AR261" s="57"/>
      <c r="AS261" s="56">
        <f>Tabela4[[#This Row],[Total R$]]-Tabela4[[#This Row],[Total Pago]]</f>
        <v>0</v>
      </c>
      <c r="AT261" s="36"/>
    </row>
    <row r="262" spans="2:46" x14ac:dyDescent="0.25">
      <c r="B262" s="44"/>
      <c r="D262" s="349"/>
      <c r="E262" s="33"/>
      <c r="F262" s="33"/>
      <c r="G262" s="33"/>
      <c r="H262" s="33"/>
      <c r="I262" s="33"/>
      <c r="J262" s="33"/>
      <c r="K262" s="33"/>
      <c r="L262" s="561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44"/>
      <c r="AP262" s="37"/>
      <c r="AQ262" s="44"/>
      <c r="AR262" s="57"/>
      <c r="AS262" s="56">
        <f>Tabela4[[#This Row],[Total R$]]-Tabela4[[#This Row],[Total Pago]]</f>
        <v>0</v>
      </c>
      <c r="AT262" s="36"/>
    </row>
    <row r="263" spans="2:46" x14ac:dyDescent="0.25">
      <c r="B263" s="44"/>
      <c r="D263" s="349"/>
      <c r="E263" s="33"/>
      <c r="F263" s="33"/>
      <c r="G263" s="33"/>
      <c r="H263" s="33"/>
      <c r="I263" s="33"/>
      <c r="J263" s="33"/>
      <c r="K263" s="33"/>
      <c r="L263" s="561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44"/>
      <c r="AP263" s="37"/>
      <c r="AQ263" s="44"/>
      <c r="AR263" s="57"/>
      <c r="AS263" s="56">
        <f>Tabela4[[#This Row],[Total R$]]-Tabela4[[#This Row],[Total Pago]]</f>
        <v>0</v>
      </c>
      <c r="AT263" s="36"/>
    </row>
    <row r="264" spans="2:46" x14ac:dyDescent="0.25">
      <c r="B264" s="44"/>
      <c r="D264" s="349"/>
      <c r="E264" s="33"/>
      <c r="F264" s="33"/>
      <c r="G264" s="33"/>
      <c r="H264" s="33"/>
      <c r="I264" s="33"/>
      <c r="J264" s="33"/>
      <c r="K264" s="33"/>
      <c r="L264" s="561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44"/>
      <c r="AP264" s="37"/>
      <c r="AQ264" s="44"/>
      <c r="AR264" s="57"/>
      <c r="AS264" s="56">
        <f>Tabela4[[#This Row],[Total R$]]-Tabela4[[#This Row],[Total Pago]]</f>
        <v>0</v>
      </c>
      <c r="AT264" s="36"/>
    </row>
    <row r="265" spans="2:46" x14ac:dyDescent="0.25">
      <c r="B265" s="44"/>
      <c r="D265" s="349"/>
      <c r="E265" s="33"/>
      <c r="F265" s="33"/>
      <c r="G265" s="33"/>
      <c r="H265" s="33"/>
      <c r="I265" s="33"/>
      <c r="J265" s="33"/>
      <c r="K265" s="33"/>
      <c r="L265" s="561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44"/>
      <c r="AP265" s="37"/>
      <c r="AQ265" s="44"/>
      <c r="AR265" s="57"/>
      <c r="AS265" s="56">
        <f>Tabela4[[#This Row],[Total R$]]-Tabela4[[#This Row],[Total Pago]]</f>
        <v>0</v>
      </c>
      <c r="AT265" s="36"/>
    </row>
    <row r="266" spans="2:46" x14ac:dyDescent="0.25">
      <c r="B266" s="44"/>
      <c r="D266" s="349"/>
      <c r="E266" s="33"/>
      <c r="F266" s="33"/>
      <c r="G266" s="33"/>
      <c r="H266" s="33"/>
      <c r="I266" s="33"/>
      <c r="J266" s="33"/>
      <c r="K266" s="33"/>
      <c r="L266" s="561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44"/>
      <c r="AP266" s="37"/>
      <c r="AQ266" s="44"/>
      <c r="AR266" s="76"/>
      <c r="AS266" s="56">
        <f>Tabela4[[#This Row],[Total R$]]-Tabela4[[#This Row],[Total Pago]]</f>
        <v>0</v>
      </c>
      <c r="AT266" s="36"/>
    </row>
    <row r="267" spans="2:46" x14ac:dyDescent="0.25">
      <c r="B267" s="44"/>
      <c r="D267" s="349"/>
      <c r="E267" s="33"/>
      <c r="F267" s="33"/>
      <c r="G267" s="33"/>
      <c r="H267" s="33"/>
      <c r="I267" s="33"/>
      <c r="J267" s="33"/>
      <c r="K267" s="33"/>
      <c r="L267" s="561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44"/>
      <c r="AP267" s="37"/>
      <c r="AQ267" s="44"/>
      <c r="AR267" s="57"/>
      <c r="AS267" s="56">
        <f>Tabela4[[#This Row],[Total R$]]-Tabela4[[#This Row],[Total Pago]]</f>
        <v>0</v>
      </c>
      <c r="AT267" s="36"/>
    </row>
    <row r="268" spans="2:46" x14ac:dyDescent="0.25">
      <c r="B268" s="44"/>
      <c r="D268" s="349"/>
      <c r="E268" s="33"/>
      <c r="F268" s="33"/>
      <c r="G268" s="33"/>
      <c r="H268" s="33"/>
      <c r="I268" s="33"/>
      <c r="J268" s="33"/>
      <c r="K268" s="33"/>
      <c r="L268" s="561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44"/>
      <c r="AP268" s="37"/>
      <c r="AQ268" s="44"/>
      <c r="AR268" s="57"/>
      <c r="AS268" s="56">
        <f>Tabela4[[#This Row],[Total R$]]-Tabela4[[#This Row],[Total Pago]]</f>
        <v>0</v>
      </c>
      <c r="AT268" s="36"/>
    </row>
    <row r="269" spans="2:46" x14ac:dyDescent="0.25">
      <c r="B269" s="44"/>
      <c r="D269" s="349"/>
      <c r="E269" s="33"/>
      <c r="F269" s="33"/>
      <c r="G269" s="33"/>
      <c r="H269" s="33"/>
      <c r="I269" s="33"/>
      <c r="J269" s="33"/>
      <c r="K269" s="33"/>
      <c r="L269" s="561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44"/>
      <c r="AP269" s="37"/>
      <c r="AQ269" s="44"/>
      <c r="AR269" s="76"/>
      <c r="AS269" s="56">
        <f>Tabela4[[#This Row],[Total R$]]-Tabela4[[#This Row],[Total Pago]]</f>
        <v>0</v>
      </c>
      <c r="AT269" s="36"/>
    </row>
    <row r="270" spans="2:46" x14ac:dyDescent="0.25">
      <c r="B270" s="44"/>
      <c r="D270" s="349"/>
      <c r="E270" s="33"/>
      <c r="F270" s="33"/>
      <c r="G270" s="33"/>
      <c r="H270" s="33"/>
      <c r="I270" s="33"/>
      <c r="J270" s="33"/>
      <c r="K270" s="33"/>
      <c r="L270" s="561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44"/>
      <c r="AP270" s="37"/>
      <c r="AQ270" s="44"/>
      <c r="AR270" s="76"/>
      <c r="AS270" s="56">
        <f>Tabela4[[#This Row],[Total R$]]-Tabela4[[#This Row],[Total Pago]]</f>
        <v>0</v>
      </c>
      <c r="AT270" s="36"/>
    </row>
    <row r="271" spans="2:46" x14ac:dyDescent="0.25">
      <c r="B271" s="64"/>
      <c r="D271" s="349"/>
      <c r="E271" s="33"/>
      <c r="F271" s="33"/>
      <c r="G271" s="33"/>
      <c r="H271" s="33"/>
      <c r="I271" s="33"/>
      <c r="J271" s="33"/>
      <c r="K271" s="33"/>
      <c r="L271" s="561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44"/>
      <c r="AP271" s="37"/>
      <c r="AQ271" s="44"/>
      <c r="AR271" s="57"/>
      <c r="AS271" s="56">
        <f>Tabela4[[#This Row],[Total R$]]-Tabela4[[#This Row],[Total Pago]]</f>
        <v>0</v>
      </c>
      <c r="AT271" s="36"/>
    </row>
    <row r="272" spans="2:46" x14ac:dyDescent="0.25">
      <c r="B272" s="44"/>
      <c r="D272" s="349"/>
      <c r="E272" s="33"/>
      <c r="F272" s="33"/>
      <c r="G272" s="33"/>
      <c r="H272" s="33"/>
      <c r="I272" s="33"/>
      <c r="J272" s="33"/>
      <c r="K272" s="33"/>
      <c r="L272" s="561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44"/>
      <c r="AP272" s="37"/>
      <c r="AQ272" s="44"/>
      <c r="AR272" s="57"/>
      <c r="AS272" s="56">
        <f>Tabela4[[#This Row],[Total R$]]-Tabela4[[#This Row],[Total Pago]]</f>
        <v>0</v>
      </c>
      <c r="AT272" s="36"/>
    </row>
    <row r="273" spans="2:46" x14ac:dyDescent="0.25">
      <c r="B273" s="44"/>
      <c r="D273" s="349"/>
      <c r="E273" s="33"/>
      <c r="F273" s="33"/>
      <c r="G273" s="33"/>
      <c r="H273" s="33"/>
      <c r="I273" s="33"/>
      <c r="J273" s="33"/>
      <c r="K273" s="33"/>
      <c r="L273" s="561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44"/>
      <c r="AP273" s="37"/>
      <c r="AQ273" s="44"/>
      <c r="AR273" s="57"/>
      <c r="AS273" s="56">
        <f>Tabela4[[#This Row],[Total R$]]-Tabela4[[#This Row],[Total Pago]]</f>
        <v>0</v>
      </c>
      <c r="AT273" s="36"/>
    </row>
    <row r="274" spans="2:46" x14ac:dyDescent="0.25">
      <c r="B274" s="44"/>
      <c r="D274" s="349"/>
      <c r="E274" s="33"/>
      <c r="F274" s="33"/>
      <c r="G274" s="33"/>
      <c r="H274" s="33"/>
      <c r="I274" s="33"/>
      <c r="J274" s="33"/>
      <c r="K274" s="33"/>
      <c r="L274" s="561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44"/>
      <c r="AP274" s="37"/>
      <c r="AQ274" s="44"/>
      <c r="AR274" s="57"/>
      <c r="AS274" s="56">
        <f>Tabela4[[#This Row],[Total R$]]-Tabela4[[#This Row],[Total Pago]]</f>
        <v>0</v>
      </c>
      <c r="AT274" s="36"/>
    </row>
    <row r="275" spans="2:46" x14ac:dyDescent="0.25">
      <c r="B275" s="44"/>
      <c r="D275" s="349"/>
      <c r="E275" s="33"/>
      <c r="F275" s="33"/>
      <c r="G275" s="33"/>
      <c r="H275" s="33"/>
      <c r="I275" s="33"/>
      <c r="J275" s="33"/>
      <c r="K275" s="33"/>
      <c r="L275" s="561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44"/>
      <c r="AP275" s="37"/>
      <c r="AQ275" s="44"/>
      <c r="AR275" s="57"/>
      <c r="AS275" s="56">
        <f>Tabela4[[#This Row],[Total R$]]-Tabela4[[#This Row],[Total Pago]]</f>
        <v>0</v>
      </c>
      <c r="AT275" s="36"/>
    </row>
    <row r="276" spans="2:46" x14ac:dyDescent="0.25">
      <c r="B276" s="44"/>
      <c r="D276" s="349"/>
      <c r="E276" s="33"/>
      <c r="F276" s="33"/>
      <c r="G276" s="33"/>
      <c r="H276" s="33"/>
      <c r="I276" s="33"/>
      <c r="J276" s="33"/>
      <c r="K276" s="33"/>
      <c r="L276" s="561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44"/>
      <c r="AP276" s="37"/>
      <c r="AQ276" s="44"/>
      <c r="AR276" s="76"/>
      <c r="AS276" s="56">
        <f>Tabela4[[#This Row],[Total R$]]-Tabela4[[#This Row],[Total Pago]]</f>
        <v>0</v>
      </c>
      <c r="AT276" s="36"/>
    </row>
    <row r="277" spans="2:46" x14ac:dyDescent="0.25">
      <c r="B277" s="44"/>
      <c r="D277" s="349"/>
      <c r="E277" s="33"/>
      <c r="F277" s="33"/>
      <c r="G277" s="33"/>
      <c r="H277" s="33"/>
      <c r="I277" s="33"/>
      <c r="J277" s="33"/>
      <c r="K277" s="33"/>
      <c r="L277" s="561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44"/>
      <c r="AP277" s="37"/>
      <c r="AQ277" s="44"/>
      <c r="AR277" s="57"/>
      <c r="AS277" s="56">
        <f>Tabela4[[#This Row],[Total R$]]-Tabela4[[#This Row],[Total Pago]]</f>
        <v>0</v>
      </c>
      <c r="AT277" s="36"/>
    </row>
    <row r="278" spans="2:46" x14ac:dyDescent="0.25">
      <c r="B278" s="44"/>
      <c r="D278" s="349"/>
      <c r="E278" s="33"/>
      <c r="F278" s="33"/>
      <c r="G278" s="33"/>
      <c r="H278" s="33"/>
      <c r="I278" s="33"/>
      <c r="J278" s="33"/>
      <c r="K278" s="33"/>
      <c r="L278" s="561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44"/>
      <c r="AP278" s="37"/>
      <c r="AQ278" s="44"/>
      <c r="AR278" s="57"/>
      <c r="AS278" s="56">
        <f>Tabela4[[#This Row],[Total R$]]-Tabela4[[#This Row],[Total Pago]]</f>
        <v>0</v>
      </c>
      <c r="AT278" s="36"/>
    </row>
    <row r="279" spans="2:46" x14ac:dyDescent="0.25">
      <c r="B279" s="44"/>
      <c r="D279" s="349"/>
      <c r="E279" s="33"/>
      <c r="F279" s="33"/>
      <c r="G279" s="33"/>
      <c r="H279" s="33"/>
      <c r="I279" s="33"/>
      <c r="J279" s="33"/>
      <c r="K279" s="33"/>
      <c r="L279" s="561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44"/>
      <c r="AP279" s="37"/>
      <c r="AQ279" s="44"/>
      <c r="AR279" s="76"/>
      <c r="AS279" s="56">
        <f>Tabela4[[#This Row],[Total R$]]-Tabela4[[#This Row],[Total Pago]]</f>
        <v>0</v>
      </c>
      <c r="AT279" s="36"/>
    </row>
    <row r="280" spans="2:46" x14ac:dyDescent="0.25">
      <c r="B280" s="44"/>
      <c r="D280" s="349"/>
      <c r="E280" s="33"/>
      <c r="F280" s="33"/>
      <c r="G280" s="33"/>
      <c r="H280" s="33"/>
      <c r="I280" s="33"/>
      <c r="J280" s="33"/>
      <c r="K280" s="33"/>
      <c r="L280" s="561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44"/>
      <c r="AP280" s="37"/>
      <c r="AQ280" s="44"/>
      <c r="AR280" s="76"/>
      <c r="AS280" s="56">
        <f>Tabela4[[#This Row],[Total R$]]-Tabela4[[#This Row],[Total Pago]]</f>
        <v>0</v>
      </c>
      <c r="AT280" s="36"/>
    </row>
    <row r="281" spans="2:46" x14ac:dyDescent="0.25">
      <c r="B281" s="44"/>
      <c r="D281" s="349"/>
      <c r="E281" s="33"/>
      <c r="F281" s="33"/>
      <c r="G281" s="33"/>
      <c r="H281" s="33"/>
      <c r="I281" s="33"/>
      <c r="J281" s="33"/>
      <c r="K281" s="33"/>
      <c r="L281" s="561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44"/>
      <c r="AP281" s="37"/>
      <c r="AQ281" s="44"/>
      <c r="AR281" s="57"/>
      <c r="AS281" s="56">
        <f>Tabela4[[#This Row],[Total R$]]-Tabela4[[#This Row],[Total Pago]]</f>
        <v>0</v>
      </c>
      <c r="AT281" s="36"/>
    </row>
    <row r="282" spans="2:46" x14ac:dyDescent="0.25">
      <c r="B282" s="44"/>
      <c r="D282" s="349"/>
      <c r="E282" s="33"/>
      <c r="F282" s="33"/>
      <c r="G282" s="33"/>
      <c r="H282" s="33"/>
      <c r="I282" s="33"/>
      <c r="J282" s="33"/>
      <c r="K282" s="33"/>
      <c r="L282" s="561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44"/>
      <c r="AP282" s="37"/>
      <c r="AQ282" s="44"/>
      <c r="AR282" s="57"/>
      <c r="AS282" s="56">
        <f>Tabela4[[#This Row],[Total R$]]-Tabela4[[#This Row],[Total Pago]]</f>
        <v>0</v>
      </c>
      <c r="AT282" s="36"/>
    </row>
    <row r="283" spans="2:46" x14ac:dyDescent="0.25">
      <c r="B283" s="44"/>
      <c r="D283" s="349"/>
      <c r="E283" s="33"/>
      <c r="F283" s="33"/>
      <c r="G283" s="33"/>
      <c r="H283" s="33"/>
      <c r="I283" s="33"/>
      <c r="J283" s="33"/>
      <c r="K283" s="33"/>
      <c r="L283" s="561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44"/>
      <c r="AP283" s="37"/>
      <c r="AQ283" s="44"/>
      <c r="AR283" s="76"/>
      <c r="AS283" s="56">
        <f>Tabela4[[#This Row],[Total R$]]-Tabela4[[#This Row],[Total Pago]]</f>
        <v>0</v>
      </c>
      <c r="AT283" s="36"/>
    </row>
    <row r="284" spans="2:46" x14ac:dyDescent="0.25">
      <c r="B284" s="44"/>
      <c r="D284" s="349"/>
      <c r="E284" s="33"/>
      <c r="F284" s="33"/>
      <c r="G284" s="33"/>
      <c r="H284" s="33"/>
      <c r="I284" s="33"/>
      <c r="J284" s="33"/>
      <c r="K284" s="33"/>
      <c r="L284" s="561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44"/>
      <c r="AP284" s="37"/>
      <c r="AQ284" s="44"/>
      <c r="AR284" s="76"/>
      <c r="AS284" s="56">
        <f>Tabela4[[#This Row],[Total R$]]-Tabela4[[#This Row],[Total Pago]]</f>
        <v>0</v>
      </c>
      <c r="AT284" s="36"/>
    </row>
    <row r="285" spans="2:46" x14ac:dyDescent="0.25">
      <c r="B285" s="44"/>
      <c r="D285" s="349"/>
      <c r="E285" s="33"/>
      <c r="F285" s="33"/>
      <c r="G285" s="33"/>
      <c r="H285" s="33"/>
      <c r="I285" s="33"/>
      <c r="J285" s="33"/>
      <c r="K285" s="33"/>
      <c r="L285" s="561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44"/>
      <c r="AP285" s="37"/>
      <c r="AQ285" s="44"/>
      <c r="AR285" s="57"/>
      <c r="AS285" s="56">
        <f>Tabela4[[#This Row],[Total R$]]-Tabela4[[#This Row],[Total Pago]]</f>
        <v>0</v>
      </c>
      <c r="AT285" s="36"/>
    </row>
    <row r="286" spans="2:46" x14ac:dyDescent="0.25">
      <c r="B286" s="44"/>
      <c r="D286" s="349"/>
      <c r="E286" s="33"/>
      <c r="F286" s="33"/>
      <c r="G286" s="33"/>
      <c r="H286" s="33"/>
      <c r="I286" s="33"/>
      <c r="J286" s="33"/>
      <c r="K286" s="33"/>
      <c r="L286" s="561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44"/>
      <c r="AP286" s="37"/>
      <c r="AQ286" s="44"/>
      <c r="AR286" s="57"/>
      <c r="AS286" s="56">
        <f>Tabela4[[#This Row],[Total R$]]-Tabela4[[#This Row],[Total Pago]]</f>
        <v>0</v>
      </c>
      <c r="AT286" s="36"/>
    </row>
    <row r="287" spans="2:46" x14ac:dyDescent="0.25">
      <c r="B287" s="44"/>
      <c r="D287" s="349"/>
      <c r="E287" s="33"/>
      <c r="F287" s="33"/>
      <c r="G287" s="33"/>
      <c r="H287" s="33"/>
      <c r="I287" s="33"/>
      <c r="J287" s="33"/>
      <c r="K287" s="33"/>
      <c r="L287" s="561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44"/>
      <c r="AP287" s="37"/>
      <c r="AQ287" s="44"/>
      <c r="AR287" s="76"/>
      <c r="AS287" s="56">
        <f>Tabela4[[#This Row],[Total R$]]-Tabela4[[#This Row],[Total Pago]]</f>
        <v>0</v>
      </c>
      <c r="AT287" s="36"/>
    </row>
    <row r="288" spans="2:46" x14ac:dyDescent="0.25">
      <c r="B288" s="44"/>
      <c r="D288" s="349"/>
      <c r="E288" s="33"/>
      <c r="F288" s="33"/>
      <c r="G288" s="33"/>
      <c r="H288" s="33"/>
      <c r="I288" s="33"/>
      <c r="J288" s="33"/>
      <c r="K288" s="33"/>
      <c r="L288" s="561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44"/>
      <c r="AP288" s="37"/>
      <c r="AQ288" s="44"/>
      <c r="AR288" s="57"/>
      <c r="AS288" s="56">
        <f>Tabela4[[#This Row],[Total R$]]-Tabela4[[#This Row],[Total Pago]]</f>
        <v>0</v>
      </c>
      <c r="AT288" s="36"/>
    </row>
    <row r="289" spans="2:46" x14ac:dyDescent="0.25">
      <c r="B289" s="44"/>
      <c r="D289" s="349"/>
      <c r="E289" s="33"/>
      <c r="F289" s="33"/>
      <c r="G289" s="33"/>
      <c r="H289" s="33"/>
      <c r="I289" s="33"/>
      <c r="J289" s="33"/>
      <c r="K289" s="33"/>
      <c r="L289" s="561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44"/>
      <c r="AP289" s="37"/>
      <c r="AQ289" s="44"/>
      <c r="AR289" s="57"/>
      <c r="AS289" s="56">
        <f>Tabela4[[#This Row],[Total R$]]-Tabela4[[#This Row],[Total Pago]]</f>
        <v>0</v>
      </c>
      <c r="AT289" s="36"/>
    </row>
    <row r="290" spans="2:46" x14ac:dyDescent="0.25">
      <c r="B290" s="44"/>
      <c r="D290" s="349"/>
      <c r="E290" s="33"/>
      <c r="F290" s="33"/>
      <c r="G290" s="33"/>
      <c r="H290" s="33"/>
      <c r="I290" s="33"/>
      <c r="J290" s="33"/>
      <c r="K290" s="33"/>
      <c r="L290" s="561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44"/>
      <c r="AP290" s="37"/>
      <c r="AQ290" s="44"/>
      <c r="AR290" s="76"/>
      <c r="AS290" s="56">
        <f>Tabela4[[#This Row],[Total R$]]-Tabela4[[#This Row],[Total Pago]]</f>
        <v>0</v>
      </c>
      <c r="AT290" s="36"/>
    </row>
    <row r="291" spans="2:46" x14ac:dyDescent="0.25">
      <c r="B291" s="44"/>
      <c r="D291" s="349"/>
      <c r="E291" s="33"/>
      <c r="F291" s="33"/>
      <c r="G291" s="33"/>
      <c r="H291" s="33"/>
      <c r="I291" s="33"/>
      <c r="J291" s="33"/>
      <c r="K291" s="33"/>
      <c r="L291" s="561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44"/>
      <c r="AP291" s="37"/>
      <c r="AQ291" s="44"/>
      <c r="AR291" s="57"/>
      <c r="AS291" s="56">
        <f>Tabela4[[#This Row],[Total R$]]-Tabela4[[#This Row],[Total Pago]]</f>
        <v>0</v>
      </c>
      <c r="AT291" s="36"/>
    </row>
    <row r="292" spans="2:46" x14ac:dyDescent="0.25">
      <c r="B292" s="44"/>
      <c r="D292" s="349"/>
      <c r="E292" s="33"/>
      <c r="F292" s="33"/>
      <c r="G292" s="33"/>
      <c r="H292" s="33"/>
      <c r="I292" s="33"/>
      <c r="J292" s="33"/>
      <c r="K292" s="33"/>
      <c r="L292" s="561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44"/>
      <c r="AP292" s="37"/>
      <c r="AQ292" s="44"/>
      <c r="AR292" s="57"/>
      <c r="AS292" s="56">
        <f>Tabela4[[#This Row],[Total R$]]-Tabela4[[#This Row],[Total Pago]]</f>
        <v>0</v>
      </c>
      <c r="AT292" s="36"/>
    </row>
    <row r="293" spans="2:46" x14ac:dyDescent="0.25">
      <c r="B293" s="44"/>
      <c r="D293" s="349"/>
      <c r="E293" s="33"/>
      <c r="F293" s="33"/>
      <c r="G293" s="33"/>
      <c r="H293" s="33"/>
      <c r="I293" s="33"/>
      <c r="J293" s="33"/>
      <c r="K293" s="33"/>
      <c r="L293" s="561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44"/>
      <c r="AP293" s="37"/>
      <c r="AQ293" s="44"/>
      <c r="AR293" s="76"/>
      <c r="AS293" s="56">
        <f>Tabela4[[#This Row],[Total R$]]-Tabela4[[#This Row],[Total Pago]]</f>
        <v>0</v>
      </c>
      <c r="AT293" s="36"/>
    </row>
    <row r="294" spans="2:46" x14ac:dyDescent="0.25">
      <c r="B294" s="44"/>
      <c r="D294" s="349"/>
      <c r="E294" s="33"/>
      <c r="F294" s="33"/>
      <c r="G294" s="33"/>
      <c r="H294" s="33"/>
      <c r="I294" s="33"/>
      <c r="J294" s="33"/>
      <c r="K294" s="33"/>
      <c r="L294" s="561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44"/>
      <c r="AP294" s="37"/>
      <c r="AQ294" s="44"/>
      <c r="AR294" s="76"/>
      <c r="AS294" s="56">
        <f>Tabela4[[#This Row],[Total R$]]-Tabela4[[#This Row],[Total Pago]]</f>
        <v>0</v>
      </c>
      <c r="AT294" s="36"/>
    </row>
    <row r="295" spans="2:46" x14ac:dyDescent="0.25">
      <c r="B295" s="44"/>
      <c r="D295" s="349"/>
      <c r="E295" s="33"/>
      <c r="F295" s="33"/>
      <c r="G295" s="33"/>
      <c r="H295" s="33"/>
      <c r="I295" s="33"/>
      <c r="J295" s="33"/>
      <c r="K295" s="33"/>
      <c r="L295" s="561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44"/>
      <c r="AP295" s="37"/>
      <c r="AQ295" s="44"/>
      <c r="AR295" s="57"/>
      <c r="AS295" s="56">
        <f>Tabela4[[#This Row],[Total R$]]-Tabela4[[#This Row],[Total Pago]]</f>
        <v>0</v>
      </c>
      <c r="AT295" s="36"/>
    </row>
    <row r="296" spans="2:46" x14ac:dyDescent="0.25">
      <c r="B296" s="44"/>
      <c r="D296" s="349"/>
      <c r="E296" s="33"/>
      <c r="F296" s="33"/>
      <c r="G296" s="33"/>
      <c r="H296" s="33"/>
      <c r="I296" s="33"/>
      <c r="J296" s="33"/>
      <c r="K296" s="33"/>
      <c r="L296" s="561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44"/>
      <c r="AP296" s="37"/>
      <c r="AQ296" s="44"/>
      <c r="AR296" s="57"/>
      <c r="AS296" s="56">
        <f>Tabela4[[#This Row],[Total R$]]-Tabela4[[#This Row],[Total Pago]]</f>
        <v>0</v>
      </c>
      <c r="AT296" s="36"/>
    </row>
    <row r="297" spans="2:46" x14ac:dyDescent="0.25">
      <c r="B297" s="44"/>
      <c r="D297" s="349"/>
      <c r="E297" s="33"/>
      <c r="F297" s="33"/>
      <c r="G297" s="33"/>
      <c r="H297" s="33"/>
      <c r="I297" s="33"/>
      <c r="J297" s="33"/>
      <c r="K297" s="33"/>
      <c r="L297" s="561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44"/>
      <c r="AP297" s="37"/>
      <c r="AQ297" s="44"/>
      <c r="AR297" s="57"/>
      <c r="AS297" s="56">
        <f>Tabela4[[#This Row],[Total R$]]-Tabela4[[#This Row],[Total Pago]]</f>
        <v>0</v>
      </c>
      <c r="AT297" s="36"/>
    </row>
    <row r="298" spans="2:46" x14ac:dyDescent="0.25">
      <c r="B298" s="44"/>
      <c r="D298" s="349"/>
      <c r="E298" s="33"/>
      <c r="F298" s="33"/>
      <c r="G298" s="33"/>
      <c r="H298" s="33"/>
      <c r="I298" s="33"/>
      <c r="J298" s="33"/>
      <c r="K298" s="33"/>
      <c r="L298" s="561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44"/>
      <c r="AP298" s="37"/>
      <c r="AQ298" s="44"/>
      <c r="AR298" s="57"/>
      <c r="AS298" s="56">
        <f>Tabela4[[#This Row],[Total R$]]-Tabela4[[#This Row],[Total Pago]]</f>
        <v>0</v>
      </c>
      <c r="AT298" s="36"/>
    </row>
    <row r="299" spans="2:46" x14ac:dyDescent="0.25">
      <c r="B299" s="44"/>
      <c r="D299" s="349"/>
      <c r="E299" s="33"/>
      <c r="F299" s="33"/>
      <c r="G299" s="33"/>
      <c r="H299" s="33"/>
      <c r="I299" s="33"/>
      <c r="J299" s="33"/>
      <c r="K299" s="33"/>
      <c r="L299" s="561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44"/>
      <c r="AP299" s="37"/>
      <c r="AQ299" s="44"/>
      <c r="AR299" s="57"/>
      <c r="AS299" s="56">
        <f>Tabela4[[#This Row],[Total R$]]-Tabela4[[#This Row],[Total Pago]]</f>
        <v>0</v>
      </c>
      <c r="AT299" s="36"/>
    </row>
    <row r="300" spans="2:46" x14ac:dyDescent="0.25">
      <c r="B300" s="44"/>
      <c r="D300" s="349"/>
      <c r="E300" s="33"/>
      <c r="F300" s="33"/>
      <c r="G300" s="33"/>
      <c r="H300" s="33"/>
      <c r="I300" s="33"/>
      <c r="J300" s="33"/>
      <c r="K300" s="33"/>
      <c r="L300" s="561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44"/>
      <c r="AP300" s="37"/>
      <c r="AQ300" s="44"/>
      <c r="AR300" s="57"/>
      <c r="AS300" s="56">
        <f>Tabela4[[#This Row],[Total R$]]-Tabela4[[#This Row],[Total Pago]]</f>
        <v>0</v>
      </c>
      <c r="AT300" s="36"/>
    </row>
    <row r="301" spans="2:46" x14ac:dyDescent="0.25">
      <c r="B301" s="44"/>
      <c r="D301" s="349"/>
      <c r="E301" s="33"/>
      <c r="F301" s="33"/>
      <c r="G301" s="33"/>
      <c r="H301" s="33"/>
      <c r="I301" s="33"/>
      <c r="J301" s="33"/>
      <c r="K301" s="33"/>
      <c r="L301" s="561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44"/>
      <c r="AP301" s="37"/>
      <c r="AQ301" s="44"/>
      <c r="AR301" s="57"/>
      <c r="AS301" s="56">
        <f>Tabela4[[#This Row],[Total R$]]-Tabela4[[#This Row],[Total Pago]]</f>
        <v>0</v>
      </c>
      <c r="AT301" s="36"/>
    </row>
    <row r="302" spans="2:46" x14ac:dyDescent="0.25">
      <c r="B302" s="44"/>
      <c r="D302" s="349"/>
      <c r="E302" s="33"/>
      <c r="F302" s="33"/>
      <c r="G302" s="33"/>
      <c r="H302" s="33"/>
      <c r="I302" s="33"/>
      <c r="J302" s="33"/>
      <c r="K302" s="33"/>
      <c r="L302" s="561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44"/>
      <c r="AP302" s="37"/>
      <c r="AQ302" s="44"/>
      <c r="AR302" s="57"/>
      <c r="AS302" s="56">
        <f>Tabela4[[#This Row],[Total R$]]-Tabela4[[#This Row],[Total Pago]]</f>
        <v>0</v>
      </c>
      <c r="AT302" s="36"/>
    </row>
    <row r="303" spans="2:46" x14ac:dyDescent="0.25">
      <c r="B303" s="44"/>
      <c r="D303" s="349"/>
      <c r="E303" s="33"/>
      <c r="F303" s="33"/>
      <c r="G303" s="33"/>
      <c r="H303" s="33"/>
      <c r="I303" s="33"/>
      <c r="J303" s="33"/>
      <c r="K303" s="33"/>
      <c r="L303" s="561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44"/>
      <c r="AP303" s="37"/>
      <c r="AQ303" s="44"/>
      <c r="AR303" s="57"/>
      <c r="AS303" s="56">
        <f>Tabela4[[#This Row],[Total R$]]-Tabela4[[#This Row],[Total Pago]]</f>
        <v>0</v>
      </c>
      <c r="AT303" s="36"/>
    </row>
    <row r="304" spans="2:46" x14ac:dyDescent="0.25">
      <c r="B304" s="44"/>
      <c r="D304" s="349"/>
      <c r="E304" s="33"/>
      <c r="F304" s="33"/>
      <c r="G304" s="33"/>
      <c r="H304" s="33"/>
      <c r="I304" s="33"/>
      <c r="J304" s="33"/>
      <c r="K304" s="33"/>
      <c r="L304" s="561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44"/>
      <c r="AP304" s="37"/>
      <c r="AQ304" s="44"/>
      <c r="AR304" s="76"/>
      <c r="AS304" s="56">
        <f>Tabela4[[#This Row],[Total R$]]-Tabela4[[#This Row],[Total Pago]]</f>
        <v>0</v>
      </c>
      <c r="AT304" s="36"/>
    </row>
    <row r="305" spans="2:46" x14ac:dyDescent="0.25">
      <c r="B305" s="44"/>
      <c r="D305" s="349"/>
      <c r="E305" s="33"/>
      <c r="F305" s="33"/>
      <c r="G305" s="33"/>
      <c r="H305" s="33"/>
      <c r="I305" s="33"/>
      <c r="J305" s="33"/>
      <c r="K305" s="33"/>
      <c r="L305" s="561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63"/>
      <c r="AP305" s="33"/>
      <c r="AQ305" s="44"/>
      <c r="AR305" s="57"/>
      <c r="AS305" s="56">
        <f>Tabela4[[#This Row],[Total R$]]-Tabela4[[#This Row],[Total Pago]]</f>
        <v>0</v>
      </c>
      <c r="AT305" s="36"/>
    </row>
    <row r="306" spans="2:46" x14ac:dyDescent="0.25">
      <c r="B306" s="44"/>
      <c r="D306" s="349"/>
      <c r="E306" s="33"/>
      <c r="F306" s="33"/>
      <c r="G306" s="33"/>
      <c r="H306" s="33"/>
      <c r="I306" s="33"/>
      <c r="J306" s="33"/>
      <c r="K306" s="33"/>
      <c r="L306" s="561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44"/>
      <c r="AP306" s="37"/>
      <c r="AQ306" s="44"/>
      <c r="AR306" s="76"/>
      <c r="AS306" s="56">
        <f>Tabela4[[#This Row],[Total R$]]-Tabela4[[#This Row],[Total Pago]]</f>
        <v>0</v>
      </c>
      <c r="AT306" s="36"/>
    </row>
    <row r="307" spans="2:46" x14ac:dyDescent="0.25">
      <c r="B307" s="44"/>
      <c r="D307" s="349"/>
      <c r="E307" s="33"/>
      <c r="F307" s="33"/>
      <c r="G307" s="33"/>
      <c r="H307" s="33"/>
      <c r="I307" s="33"/>
      <c r="J307" s="33"/>
      <c r="K307" s="33"/>
      <c r="L307" s="561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44"/>
      <c r="AP307" s="37"/>
      <c r="AQ307" s="44"/>
      <c r="AR307" s="76"/>
      <c r="AS307" s="56">
        <f>Tabela4[[#This Row],[Total R$]]-Tabela4[[#This Row],[Total Pago]]</f>
        <v>0</v>
      </c>
      <c r="AT307" s="36"/>
    </row>
    <row r="308" spans="2:46" x14ac:dyDescent="0.25">
      <c r="B308" s="44"/>
      <c r="D308" s="349"/>
      <c r="E308" s="33"/>
      <c r="F308" s="33"/>
      <c r="G308" s="33"/>
      <c r="H308" s="33"/>
      <c r="I308" s="33"/>
      <c r="J308" s="33"/>
      <c r="K308" s="33"/>
      <c r="L308" s="561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44"/>
      <c r="AP308" s="37"/>
      <c r="AQ308" s="44"/>
      <c r="AR308" s="76"/>
      <c r="AS308" s="56">
        <f>Tabela4[[#This Row],[Total R$]]-Tabela4[[#This Row],[Total Pago]]</f>
        <v>0</v>
      </c>
      <c r="AT308" s="36"/>
    </row>
    <row r="309" spans="2:46" x14ac:dyDescent="0.25">
      <c r="B309" s="44"/>
      <c r="D309" s="349"/>
      <c r="E309" s="33"/>
      <c r="F309" s="33"/>
      <c r="G309" s="33"/>
      <c r="H309" s="33"/>
      <c r="I309" s="33"/>
      <c r="J309" s="33"/>
      <c r="K309" s="33"/>
      <c r="L309" s="561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44"/>
      <c r="AP309" s="37"/>
      <c r="AQ309" s="44"/>
      <c r="AR309" s="57"/>
      <c r="AS309" s="56">
        <f>Tabela4[[#This Row],[Total R$]]-Tabela4[[#This Row],[Total Pago]]</f>
        <v>0</v>
      </c>
      <c r="AT309" s="36"/>
    </row>
    <row r="310" spans="2:46" x14ac:dyDescent="0.25">
      <c r="B310" s="44"/>
      <c r="D310" s="349"/>
      <c r="E310" s="33"/>
      <c r="F310" s="33"/>
      <c r="G310" s="33"/>
      <c r="H310" s="33"/>
      <c r="I310" s="33"/>
      <c r="J310" s="33"/>
      <c r="K310" s="33"/>
      <c r="L310" s="561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44"/>
      <c r="AP310" s="37"/>
      <c r="AQ310" s="44"/>
      <c r="AR310" s="57"/>
      <c r="AS310" s="56">
        <f>Tabela4[[#This Row],[Total R$]]-Tabela4[[#This Row],[Total Pago]]</f>
        <v>0</v>
      </c>
      <c r="AT310" s="36"/>
    </row>
    <row r="311" spans="2:46" x14ac:dyDescent="0.25">
      <c r="B311" s="44"/>
      <c r="D311" s="349"/>
      <c r="E311" s="33"/>
      <c r="F311" s="33"/>
      <c r="G311" s="33"/>
      <c r="H311" s="33"/>
      <c r="I311" s="33"/>
      <c r="J311" s="33"/>
      <c r="K311" s="33"/>
      <c r="L311" s="561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44"/>
      <c r="AP311" s="37"/>
      <c r="AQ311" s="44"/>
      <c r="AR311" s="57"/>
      <c r="AS311" s="56">
        <f>Tabela4[[#This Row],[Total R$]]-Tabela4[[#This Row],[Total Pago]]</f>
        <v>0</v>
      </c>
      <c r="AT311" s="36"/>
    </row>
    <row r="312" spans="2:46" x14ac:dyDescent="0.25">
      <c r="B312" s="44"/>
      <c r="D312" s="349"/>
      <c r="E312" s="33"/>
      <c r="F312" s="33"/>
      <c r="G312" s="33"/>
      <c r="H312" s="33"/>
      <c r="I312" s="33"/>
      <c r="J312" s="33"/>
      <c r="K312" s="33"/>
      <c r="L312" s="561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44"/>
      <c r="AP312" s="37"/>
      <c r="AQ312" s="44"/>
      <c r="AR312" s="76"/>
      <c r="AS312" s="56">
        <f>Tabela4[[#This Row],[Total R$]]-Tabela4[[#This Row],[Total Pago]]</f>
        <v>0</v>
      </c>
      <c r="AT312" s="36"/>
    </row>
    <row r="313" spans="2:46" x14ac:dyDescent="0.25">
      <c r="B313" s="44"/>
      <c r="D313" s="349"/>
      <c r="E313" s="33"/>
      <c r="F313" s="33"/>
      <c r="G313" s="33"/>
      <c r="H313" s="33"/>
      <c r="I313" s="33"/>
      <c r="J313" s="33"/>
      <c r="K313" s="33"/>
      <c r="L313" s="561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44"/>
      <c r="AP313" s="37"/>
      <c r="AQ313" s="44"/>
      <c r="AR313" s="57"/>
      <c r="AS313" s="56">
        <f>Tabela4[[#This Row],[Total R$]]-Tabela4[[#This Row],[Total Pago]]</f>
        <v>0</v>
      </c>
      <c r="AT313" s="36"/>
    </row>
    <row r="314" spans="2:46" x14ac:dyDescent="0.25">
      <c r="B314" s="44"/>
      <c r="D314" s="349"/>
      <c r="E314" s="33"/>
      <c r="F314" s="33"/>
      <c r="G314" s="33"/>
      <c r="H314" s="33"/>
      <c r="I314" s="33"/>
      <c r="J314" s="33"/>
      <c r="K314" s="33"/>
      <c r="L314" s="561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44"/>
      <c r="AP314" s="37"/>
      <c r="AQ314" s="44"/>
      <c r="AR314" s="76"/>
      <c r="AS314" s="56">
        <f>Tabela4[[#This Row],[Total R$]]-Tabela4[[#This Row],[Total Pago]]</f>
        <v>0</v>
      </c>
      <c r="AT314" s="36"/>
    </row>
    <row r="315" spans="2:46" x14ac:dyDescent="0.25">
      <c r="B315" s="44"/>
      <c r="D315" s="349"/>
      <c r="E315" s="33"/>
      <c r="F315" s="33"/>
      <c r="G315" s="33"/>
      <c r="H315" s="33"/>
      <c r="I315" s="33"/>
      <c r="J315" s="33"/>
      <c r="K315" s="33"/>
      <c r="L315" s="561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44"/>
      <c r="AP315" s="37"/>
      <c r="AQ315" s="44"/>
      <c r="AR315" s="56"/>
      <c r="AS315" s="56">
        <f>Tabela4[[#This Row],[Total R$]]-Tabela4[[#This Row],[Total Pago]]</f>
        <v>0</v>
      </c>
      <c r="AT315" s="36"/>
    </row>
    <row r="316" spans="2:46" x14ac:dyDescent="0.25">
      <c r="B316" s="44"/>
      <c r="D316" s="349"/>
      <c r="E316" s="33"/>
      <c r="F316" s="33"/>
      <c r="G316" s="33"/>
      <c r="H316" s="33"/>
      <c r="I316" s="33"/>
      <c r="J316" s="33"/>
      <c r="K316" s="33"/>
      <c r="L316" s="561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44"/>
      <c r="AP316" s="37"/>
      <c r="AQ316" s="44"/>
      <c r="AR316" s="57"/>
      <c r="AS316" s="56">
        <f>Tabela4[[#This Row],[Total R$]]-Tabela4[[#This Row],[Total Pago]]</f>
        <v>0</v>
      </c>
      <c r="AT316" s="36"/>
    </row>
    <row r="317" spans="2:46" x14ac:dyDescent="0.25">
      <c r="B317" s="44"/>
      <c r="D317" s="349"/>
      <c r="E317" s="33"/>
      <c r="F317" s="33"/>
      <c r="G317" s="33"/>
      <c r="H317" s="33"/>
      <c r="I317" s="33"/>
      <c r="J317" s="33"/>
      <c r="K317" s="33"/>
      <c r="L317" s="561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44"/>
      <c r="AP317" s="37"/>
      <c r="AQ317" s="44"/>
      <c r="AR317" s="57"/>
      <c r="AS317" s="56">
        <f>Tabela4[[#This Row],[Total R$]]-Tabela4[[#This Row],[Total Pago]]</f>
        <v>0</v>
      </c>
      <c r="AT317" s="36"/>
    </row>
    <row r="318" spans="2:46" x14ac:dyDescent="0.25">
      <c r="B318" s="44"/>
      <c r="D318" s="349"/>
      <c r="E318" s="33"/>
      <c r="F318" s="33"/>
      <c r="G318" s="33"/>
      <c r="H318" s="33"/>
      <c r="I318" s="33"/>
      <c r="J318" s="33"/>
      <c r="K318" s="33"/>
      <c r="L318" s="561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44"/>
      <c r="AP318" s="37"/>
      <c r="AQ318" s="44"/>
      <c r="AR318" s="57"/>
      <c r="AS318" s="56">
        <f>Tabela4[[#This Row],[Total R$]]-Tabela4[[#This Row],[Total Pago]]</f>
        <v>0</v>
      </c>
      <c r="AT318" s="36"/>
    </row>
    <row r="319" spans="2:46" x14ac:dyDescent="0.25">
      <c r="B319" s="44"/>
      <c r="D319" s="349"/>
      <c r="E319" s="33"/>
      <c r="F319" s="33"/>
      <c r="G319" s="33"/>
      <c r="H319" s="33"/>
      <c r="I319" s="33"/>
      <c r="J319" s="33"/>
      <c r="K319" s="33"/>
      <c r="L319" s="561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44"/>
      <c r="AP319" s="37"/>
      <c r="AQ319" s="44"/>
      <c r="AR319" s="76"/>
      <c r="AS319" s="56">
        <f>Tabela4[[#This Row],[Total R$]]-Tabela4[[#This Row],[Total Pago]]</f>
        <v>0</v>
      </c>
      <c r="AT319" s="36"/>
    </row>
    <row r="320" spans="2:46" x14ac:dyDescent="0.25">
      <c r="B320" s="44"/>
      <c r="D320" s="349"/>
      <c r="E320" s="33"/>
      <c r="F320" s="33"/>
      <c r="G320" s="33"/>
      <c r="H320" s="33"/>
      <c r="I320" s="33"/>
      <c r="J320" s="33"/>
      <c r="K320" s="33"/>
      <c r="L320" s="561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44"/>
      <c r="AP320" s="37"/>
      <c r="AQ320" s="44"/>
      <c r="AR320" s="57"/>
      <c r="AS320" s="56">
        <f>Tabela4[[#This Row],[Total R$]]-Tabela4[[#This Row],[Total Pago]]</f>
        <v>0</v>
      </c>
      <c r="AT320" s="36"/>
    </row>
    <row r="321" spans="2:46" x14ac:dyDescent="0.25">
      <c r="B321" s="44"/>
      <c r="D321" s="349"/>
      <c r="E321" s="33"/>
      <c r="F321" s="33"/>
      <c r="G321" s="33"/>
      <c r="H321" s="33"/>
      <c r="I321" s="33"/>
      <c r="J321" s="33"/>
      <c r="K321" s="33"/>
      <c r="L321" s="561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44"/>
      <c r="AP321" s="37"/>
      <c r="AQ321" s="44"/>
      <c r="AR321" s="57"/>
      <c r="AS321" s="56">
        <f>Tabela4[[#This Row],[Total R$]]-Tabela4[[#This Row],[Total Pago]]</f>
        <v>0</v>
      </c>
      <c r="AT321" s="36"/>
    </row>
    <row r="322" spans="2:46" x14ac:dyDescent="0.25">
      <c r="B322" s="44"/>
      <c r="D322" s="349"/>
      <c r="E322" s="33"/>
      <c r="F322" s="33"/>
      <c r="G322" s="33"/>
      <c r="H322" s="33"/>
      <c r="I322" s="33"/>
      <c r="J322" s="33"/>
      <c r="K322" s="33"/>
      <c r="L322" s="561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44"/>
      <c r="AP322" s="37"/>
      <c r="AQ322" s="44"/>
      <c r="AR322" s="57"/>
      <c r="AS322" s="56">
        <f>Tabela4[[#This Row],[Total R$]]-Tabela4[[#This Row],[Total Pago]]</f>
        <v>0</v>
      </c>
      <c r="AT322" s="36"/>
    </row>
    <row r="323" spans="2:46" x14ac:dyDescent="0.25">
      <c r="B323" s="44"/>
      <c r="D323" s="349"/>
      <c r="E323" s="33"/>
      <c r="F323" s="33"/>
      <c r="G323" s="33"/>
      <c r="H323" s="33"/>
      <c r="I323" s="33"/>
      <c r="J323" s="33"/>
      <c r="K323" s="33"/>
      <c r="L323" s="561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44"/>
      <c r="AP323" s="37"/>
      <c r="AQ323" s="44"/>
      <c r="AR323" s="57"/>
      <c r="AS323" s="56">
        <f>Tabela4[[#This Row],[Total R$]]-Tabela4[[#This Row],[Total Pago]]</f>
        <v>0</v>
      </c>
      <c r="AT323" s="36"/>
    </row>
    <row r="324" spans="2:46" x14ac:dyDescent="0.25">
      <c r="B324" s="44"/>
      <c r="D324" s="349"/>
      <c r="E324" s="33"/>
      <c r="F324" s="33"/>
      <c r="G324" s="33"/>
      <c r="H324" s="33"/>
      <c r="I324" s="33"/>
      <c r="J324" s="33"/>
      <c r="K324" s="33"/>
      <c r="L324" s="561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44"/>
      <c r="AP324" s="37"/>
      <c r="AQ324" s="44"/>
      <c r="AR324" s="57"/>
      <c r="AS324" s="56">
        <f>Tabela4[[#This Row],[Total R$]]-Tabela4[[#This Row],[Total Pago]]</f>
        <v>0</v>
      </c>
      <c r="AT324" s="36"/>
    </row>
    <row r="325" spans="2:46" x14ac:dyDescent="0.25">
      <c r="B325" s="44"/>
      <c r="D325" s="349"/>
      <c r="E325" s="33"/>
      <c r="F325" s="33"/>
      <c r="G325" s="33"/>
      <c r="H325" s="33"/>
      <c r="I325" s="33"/>
      <c r="J325" s="33"/>
      <c r="K325" s="33"/>
      <c r="L325" s="561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44"/>
      <c r="AP325" s="37"/>
      <c r="AQ325" s="44"/>
      <c r="AR325" s="76"/>
      <c r="AS325" s="56">
        <f>Tabela4[[#This Row],[Total R$]]-Tabela4[[#This Row],[Total Pago]]</f>
        <v>0</v>
      </c>
      <c r="AT325" s="36"/>
    </row>
    <row r="326" spans="2:46" x14ac:dyDescent="0.25">
      <c r="B326" s="44"/>
      <c r="D326" s="349"/>
      <c r="E326" s="33"/>
      <c r="F326" s="33"/>
      <c r="G326" s="33"/>
      <c r="H326" s="33"/>
      <c r="I326" s="33"/>
      <c r="J326" s="33"/>
      <c r="K326" s="33"/>
      <c r="L326" s="561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44"/>
      <c r="AP326" s="37"/>
      <c r="AQ326" s="44"/>
      <c r="AR326" s="76"/>
      <c r="AS326" s="56">
        <f>Tabela4[[#This Row],[Total R$]]-Tabela4[[#This Row],[Total Pago]]</f>
        <v>0</v>
      </c>
      <c r="AT326" s="36"/>
    </row>
    <row r="327" spans="2:46" x14ac:dyDescent="0.25">
      <c r="B327" s="44"/>
      <c r="D327" s="349"/>
      <c r="E327" s="33"/>
      <c r="F327" s="33"/>
      <c r="G327" s="33"/>
      <c r="H327" s="33"/>
      <c r="I327" s="33"/>
      <c r="J327" s="33"/>
      <c r="K327" s="33"/>
      <c r="L327" s="561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44"/>
      <c r="AP327" s="37"/>
      <c r="AQ327" s="44"/>
      <c r="AR327" s="57"/>
      <c r="AS327" s="56">
        <f>Tabela4[[#This Row],[Total R$]]-Tabela4[[#This Row],[Total Pago]]</f>
        <v>0</v>
      </c>
      <c r="AT327" s="36"/>
    </row>
    <row r="328" spans="2:46" x14ac:dyDescent="0.25">
      <c r="B328" s="44"/>
      <c r="D328" s="349"/>
      <c r="E328" s="33"/>
      <c r="F328" s="33"/>
      <c r="G328" s="33"/>
      <c r="H328" s="33"/>
      <c r="I328" s="33"/>
      <c r="J328" s="33"/>
      <c r="K328" s="33"/>
      <c r="L328" s="561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44"/>
      <c r="AP328" s="37"/>
      <c r="AQ328" s="44"/>
      <c r="AR328" s="57"/>
      <c r="AS328" s="56">
        <f>Tabela4[[#This Row],[Total R$]]-Tabela4[[#This Row],[Total Pago]]</f>
        <v>0</v>
      </c>
      <c r="AT328" s="36"/>
    </row>
    <row r="329" spans="2:46" x14ac:dyDescent="0.25">
      <c r="B329" s="44"/>
      <c r="D329" s="349"/>
      <c r="E329" s="33"/>
      <c r="F329" s="33"/>
      <c r="G329" s="33"/>
      <c r="H329" s="33"/>
      <c r="I329" s="33"/>
      <c r="J329" s="33"/>
      <c r="K329" s="33"/>
      <c r="L329" s="561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44"/>
      <c r="AP329" s="37"/>
      <c r="AQ329" s="44"/>
      <c r="AR329" s="57"/>
      <c r="AS329" s="56">
        <f>Tabela4[[#This Row],[Total R$]]-Tabela4[[#This Row],[Total Pago]]</f>
        <v>0</v>
      </c>
      <c r="AT329" s="36"/>
    </row>
    <row r="330" spans="2:46" x14ac:dyDescent="0.25">
      <c r="B330" s="44"/>
      <c r="D330" s="349"/>
      <c r="E330" s="33"/>
      <c r="F330" s="33"/>
      <c r="G330" s="33"/>
      <c r="H330" s="33"/>
      <c r="I330" s="33"/>
      <c r="J330" s="33"/>
      <c r="K330" s="33"/>
      <c r="L330" s="561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44"/>
      <c r="AP330" s="37"/>
      <c r="AQ330" s="44"/>
      <c r="AR330" s="57"/>
      <c r="AS330" s="56">
        <f>Tabela4[[#This Row],[Total R$]]-Tabela4[[#This Row],[Total Pago]]</f>
        <v>0</v>
      </c>
      <c r="AT330" s="36"/>
    </row>
    <row r="331" spans="2:46" x14ac:dyDescent="0.25">
      <c r="B331" s="44"/>
      <c r="D331" s="349"/>
      <c r="E331" s="33"/>
      <c r="F331" s="33"/>
      <c r="G331" s="33"/>
      <c r="H331" s="33"/>
      <c r="I331" s="33"/>
      <c r="J331" s="33"/>
      <c r="K331" s="33"/>
      <c r="L331" s="561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44"/>
      <c r="AP331" s="37"/>
      <c r="AQ331" s="44"/>
      <c r="AR331" s="76"/>
      <c r="AS331" s="56">
        <f>Tabela4[[#This Row],[Total R$]]-Tabela4[[#This Row],[Total Pago]]</f>
        <v>0</v>
      </c>
      <c r="AT331" s="36"/>
    </row>
    <row r="332" spans="2:46" x14ac:dyDescent="0.25">
      <c r="B332" s="44"/>
      <c r="D332" s="349"/>
      <c r="E332" s="33"/>
      <c r="F332" s="33"/>
      <c r="G332" s="33"/>
      <c r="H332" s="33"/>
      <c r="I332" s="33"/>
      <c r="J332" s="33"/>
      <c r="K332" s="33"/>
      <c r="L332" s="561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44"/>
      <c r="AP332" s="37"/>
      <c r="AQ332" s="44"/>
      <c r="AR332" s="57"/>
      <c r="AS332" s="56">
        <f>Tabela4[[#This Row],[Total R$]]-Tabela4[[#This Row],[Total Pago]]</f>
        <v>0</v>
      </c>
      <c r="AT332" s="36"/>
    </row>
    <row r="333" spans="2:46" x14ac:dyDescent="0.25">
      <c r="B333" s="44"/>
      <c r="D333" s="349"/>
      <c r="E333" s="33"/>
      <c r="F333" s="33"/>
      <c r="G333" s="33"/>
      <c r="H333" s="33"/>
      <c r="I333" s="33"/>
      <c r="J333" s="33"/>
      <c r="K333" s="33"/>
      <c r="L333" s="561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44"/>
      <c r="AP333" s="37"/>
      <c r="AQ333" s="44"/>
      <c r="AR333" s="57"/>
      <c r="AS333" s="56">
        <f>Tabela4[[#This Row],[Total R$]]-Tabela4[[#This Row],[Total Pago]]</f>
        <v>0</v>
      </c>
      <c r="AT333" s="36"/>
    </row>
    <row r="334" spans="2:46" x14ac:dyDescent="0.25">
      <c r="B334" s="44"/>
      <c r="D334" s="349"/>
      <c r="E334" s="33"/>
      <c r="F334" s="33"/>
      <c r="G334" s="33"/>
      <c r="H334" s="33"/>
      <c r="I334" s="33"/>
      <c r="J334" s="33"/>
      <c r="K334" s="33"/>
      <c r="L334" s="561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44"/>
      <c r="AP334" s="37"/>
      <c r="AQ334" s="44"/>
      <c r="AR334" s="57"/>
      <c r="AS334" s="56">
        <f>Tabela4[[#This Row],[Total R$]]-Tabela4[[#This Row],[Total Pago]]</f>
        <v>0</v>
      </c>
      <c r="AT334" s="36"/>
    </row>
    <row r="335" spans="2:46" x14ac:dyDescent="0.25">
      <c r="B335" s="44"/>
      <c r="D335" s="349"/>
      <c r="E335" s="33"/>
      <c r="F335" s="33"/>
      <c r="G335" s="33"/>
      <c r="H335" s="33"/>
      <c r="I335" s="33"/>
      <c r="J335" s="33"/>
      <c r="K335" s="33"/>
      <c r="L335" s="561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44"/>
      <c r="AP335" s="37"/>
      <c r="AQ335" s="44"/>
      <c r="AR335" s="57"/>
      <c r="AS335" s="56">
        <f>Tabela4[[#This Row],[Total R$]]-Tabela4[[#This Row],[Total Pago]]</f>
        <v>0</v>
      </c>
      <c r="AT335" s="36"/>
    </row>
    <row r="336" spans="2:46" x14ac:dyDescent="0.25">
      <c r="B336" s="44"/>
      <c r="D336" s="349"/>
      <c r="E336" s="33"/>
      <c r="F336" s="33"/>
      <c r="G336" s="33"/>
      <c r="H336" s="33"/>
      <c r="I336" s="33"/>
      <c r="J336" s="33"/>
      <c r="K336" s="33"/>
      <c r="L336" s="561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44"/>
      <c r="AP336" s="37"/>
      <c r="AQ336" s="44"/>
      <c r="AR336" s="57"/>
      <c r="AS336" s="56">
        <f>Tabela4[[#This Row],[Total R$]]-Tabela4[[#This Row],[Total Pago]]</f>
        <v>0</v>
      </c>
      <c r="AT336" s="36"/>
    </row>
    <row r="337" spans="1:75" x14ac:dyDescent="0.25">
      <c r="B337" s="44"/>
      <c r="D337" s="349"/>
      <c r="E337" s="33"/>
      <c r="F337" s="33"/>
      <c r="G337" s="33"/>
      <c r="H337" s="33"/>
      <c r="I337" s="33"/>
      <c r="J337" s="33"/>
      <c r="K337" s="33"/>
      <c r="L337" s="561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44"/>
      <c r="AP337" s="37"/>
      <c r="AQ337" s="44"/>
      <c r="AR337" s="57"/>
      <c r="AS337" s="56">
        <f>Tabela4[[#This Row],[Total R$]]-Tabela4[[#This Row],[Total Pago]]</f>
        <v>0</v>
      </c>
      <c r="AT337" s="36"/>
    </row>
    <row r="338" spans="1:75" s="102" customFormat="1" x14ac:dyDescent="0.25">
      <c r="A338" s="27"/>
      <c r="B338" s="44"/>
      <c r="C338" s="27"/>
      <c r="D338" s="349"/>
      <c r="E338" s="33"/>
      <c r="F338" s="33"/>
      <c r="G338" s="33"/>
      <c r="H338" s="33"/>
      <c r="I338" s="33"/>
      <c r="J338" s="33"/>
      <c r="K338" s="33"/>
      <c r="L338" s="561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44"/>
      <c r="AP338" s="37"/>
      <c r="AQ338" s="44"/>
      <c r="AR338" s="57"/>
      <c r="AS338" s="56">
        <f>Tabela4[[#This Row],[Total R$]]-Tabela4[[#This Row],[Total Pago]]</f>
        <v>0</v>
      </c>
      <c r="AT338" s="36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</row>
    <row r="339" spans="1:75" s="102" customFormat="1" x14ac:dyDescent="0.25">
      <c r="A339" s="27"/>
      <c r="B339" s="44"/>
      <c r="C339" s="27"/>
      <c r="D339" s="349"/>
      <c r="E339" s="33"/>
      <c r="F339" s="33"/>
      <c r="G339" s="33"/>
      <c r="H339" s="33"/>
      <c r="I339" s="33"/>
      <c r="J339" s="33"/>
      <c r="K339" s="33"/>
      <c r="L339" s="561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44"/>
      <c r="AP339" s="37"/>
      <c r="AQ339" s="44"/>
      <c r="AR339" s="97"/>
      <c r="AS339" s="56">
        <f>Tabela4[[#This Row],[Total R$]]-Tabela4[[#This Row],[Total Pago]]</f>
        <v>0</v>
      </c>
      <c r="AT339" s="36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</row>
    <row r="340" spans="1:75" x14ac:dyDescent="0.25">
      <c r="B340" s="44"/>
      <c r="D340" s="349"/>
      <c r="E340" s="33"/>
      <c r="F340" s="33"/>
      <c r="G340" s="33"/>
      <c r="H340" s="33"/>
      <c r="I340" s="33"/>
      <c r="J340" s="33"/>
      <c r="K340" s="33"/>
      <c r="L340" s="561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44"/>
      <c r="AP340" s="37"/>
      <c r="AQ340" s="44"/>
      <c r="AR340" s="76"/>
      <c r="AS340" s="56">
        <f>Tabela4[[#This Row],[Total R$]]-Tabela4[[#This Row],[Total Pago]]</f>
        <v>0</v>
      </c>
      <c r="AT340" s="36"/>
    </row>
    <row r="341" spans="1:75" x14ac:dyDescent="0.25">
      <c r="B341" s="44"/>
      <c r="D341" s="349"/>
      <c r="E341" s="33"/>
      <c r="F341" s="33"/>
      <c r="G341" s="33"/>
      <c r="H341" s="33"/>
      <c r="I341" s="33"/>
      <c r="J341" s="33"/>
      <c r="K341" s="33"/>
      <c r="L341" s="561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44"/>
      <c r="AP341" s="37"/>
      <c r="AQ341" s="44"/>
      <c r="AR341" s="76"/>
      <c r="AS341" s="56">
        <f>Tabela4[[#This Row],[Total R$]]-Tabela4[[#This Row],[Total Pago]]</f>
        <v>0</v>
      </c>
      <c r="AT341" s="36"/>
    </row>
    <row r="342" spans="1:75" x14ac:dyDescent="0.25">
      <c r="B342" s="44"/>
      <c r="D342" s="349"/>
      <c r="E342" s="33"/>
      <c r="F342" s="33"/>
      <c r="G342" s="33"/>
      <c r="H342" s="33"/>
      <c r="I342" s="33"/>
      <c r="J342" s="33"/>
      <c r="K342" s="33"/>
      <c r="L342" s="561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44"/>
      <c r="AP342" s="37"/>
      <c r="AQ342" s="44"/>
      <c r="AR342" s="57"/>
      <c r="AS342" s="56">
        <f>Tabela4[[#This Row],[Total R$]]-Tabela4[[#This Row],[Total Pago]]</f>
        <v>0</v>
      </c>
      <c r="AT342" s="36"/>
    </row>
    <row r="343" spans="1:75" x14ac:dyDescent="0.25">
      <c r="B343" s="44"/>
      <c r="D343" s="349"/>
      <c r="E343" s="33"/>
      <c r="F343" s="33"/>
      <c r="G343" s="33"/>
      <c r="H343" s="33"/>
      <c r="I343" s="33"/>
      <c r="J343" s="33"/>
      <c r="K343" s="33"/>
      <c r="L343" s="561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44"/>
      <c r="AP343" s="37"/>
      <c r="AQ343" s="44"/>
      <c r="AR343" s="57"/>
      <c r="AS343" s="56">
        <f>Tabela4[[#This Row],[Total R$]]-Tabela4[[#This Row],[Total Pago]]</f>
        <v>0</v>
      </c>
      <c r="AT343" s="36"/>
    </row>
    <row r="344" spans="1:75" x14ac:dyDescent="0.25">
      <c r="B344" s="44"/>
      <c r="D344" s="349"/>
      <c r="E344" s="33"/>
      <c r="F344" s="33"/>
      <c r="G344" s="33"/>
      <c r="H344" s="33"/>
      <c r="I344" s="33"/>
      <c r="J344" s="33"/>
      <c r="K344" s="33"/>
      <c r="L344" s="561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44"/>
      <c r="AP344" s="37"/>
      <c r="AQ344" s="44"/>
      <c r="AR344" s="57"/>
      <c r="AS344" s="56">
        <f>Tabela4[[#This Row],[Total R$]]-Tabela4[[#This Row],[Total Pago]]</f>
        <v>0</v>
      </c>
      <c r="AT344" s="36"/>
    </row>
    <row r="345" spans="1:75" x14ac:dyDescent="0.25">
      <c r="B345" s="44"/>
      <c r="D345" s="349"/>
      <c r="E345" s="33"/>
      <c r="F345" s="33"/>
      <c r="G345" s="33"/>
      <c r="H345" s="33"/>
      <c r="I345" s="33"/>
      <c r="J345" s="33"/>
      <c r="K345" s="33"/>
      <c r="L345" s="561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44"/>
      <c r="AP345" s="37"/>
      <c r="AQ345" s="44"/>
      <c r="AR345" s="57"/>
      <c r="AS345" s="56">
        <f>Tabela4[[#This Row],[Total R$]]-Tabela4[[#This Row],[Total Pago]]</f>
        <v>0</v>
      </c>
      <c r="AT345" s="36"/>
    </row>
    <row r="346" spans="1:75" x14ac:dyDescent="0.25">
      <c r="B346" s="44"/>
      <c r="D346" s="349"/>
      <c r="E346" s="33"/>
      <c r="F346" s="33"/>
      <c r="G346" s="33"/>
      <c r="H346" s="33"/>
      <c r="I346" s="33"/>
      <c r="J346" s="33"/>
      <c r="K346" s="33"/>
      <c r="L346" s="561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44"/>
      <c r="AP346" s="37"/>
      <c r="AQ346" s="44"/>
      <c r="AR346" s="57"/>
      <c r="AS346" s="56">
        <f>Tabela4[[#This Row],[Total R$]]-Tabela4[[#This Row],[Total Pago]]</f>
        <v>0</v>
      </c>
      <c r="AT346" s="36"/>
    </row>
    <row r="347" spans="1:75" x14ac:dyDescent="0.25">
      <c r="B347" s="44"/>
      <c r="D347" s="349"/>
      <c r="E347" s="33"/>
      <c r="F347" s="33"/>
      <c r="G347" s="33"/>
      <c r="H347" s="33"/>
      <c r="I347" s="33"/>
      <c r="J347" s="33"/>
      <c r="K347" s="33"/>
      <c r="L347" s="561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44"/>
      <c r="AP347" s="37"/>
      <c r="AQ347" s="44"/>
      <c r="AR347" s="57"/>
      <c r="AS347" s="56">
        <f>Tabela4[[#This Row],[Total R$]]-Tabela4[[#This Row],[Total Pago]]</f>
        <v>0</v>
      </c>
      <c r="AT347" s="36"/>
    </row>
    <row r="348" spans="1:75" x14ac:dyDescent="0.25">
      <c r="B348" s="44"/>
      <c r="D348" s="349"/>
      <c r="E348" s="33"/>
      <c r="F348" s="33"/>
      <c r="G348" s="33"/>
      <c r="H348" s="33"/>
      <c r="I348" s="33"/>
      <c r="J348" s="33"/>
      <c r="K348" s="33"/>
      <c r="L348" s="561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44"/>
      <c r="AP348" s="37"/>
      <c r="AQ348" s="44"/>
      <c r="AR348" s="57"/>
      <c r="AS348" s="56">
        <f>Tabela4[[#This Row],[Total R$]]-Tabela4[[#This Row],[Total Pago]]</f>
        <v>0</v>
      </c>
      <c r="AT348" s="36"/>
    </row>
    <row r="349" spans="1:75" x14ac:dyDescent="0.25">
      <c r="B349" s="44"/>
      <c r="D349" s="349"/>
      <c r="E349" s="33"/>
      <c r="F349" s="33"/>
      <c r="G349" s="33"/>
      <c r="H349" s="33"/>
      <c r="I349" s="33"/>
      <c r="J349" s="33"/>
      <c r="K349" s="33"/>
      <c r="L349" s="561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44"/>
      <c r="AP349" s="37"/>
      <c r="AQ349" s="44"/>
      <c r="AR349" s="57"/>
      <c r="AS349" s="56">
        <f>Tabela4[[#This Row],[Total R$]]-Tabela4[[#This Row],[Total Pago]]</f>
        <v>0</v>
      </c>
      <c r="AT349" s="36"/>
    </row>
    <row r="350" spans="1:75" x14ac:dyDescent="0.25">
      <c r="B350" s="44"/>
      <c r="D350" s="349"/>
      <c r="E350" s="33"/>
      <c r="F350" s="33"/>
      <c r="G350" s="33"/>
      <c r="H350" s="33"/>
      <c r="I350" s="33"/>
      <c r="J350" s="33"/>
      <c r="K350" s="33"/>
      <c r="L350" s="561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44"/>
      <c r="AP350" s="37"/>
      <c r="AQ350" s="44"/>
      <c r="AR350" s="57"/>
      <c r="AS350" s="56">
        <f>Tabela4[[#This Row],[Total R$]]-Tabela4[[#This Row],[Total Pago]]</f>
        <v>0</v>
      </c>
      <c r="AT350" s="36"/>
    </row>
    <row r="351" spans="1:75" x14ac:dyDescent="0.25">
      <c r="B351" s="44"/>
      <c r="D351" s="349"/>
      <c r="E351" s="33"/>
      <c r="F351" s="33"/>
      <c r="G351" s="33"/>
      <c r="H351" s="33"/>
      <c r="I351" s="33"/>
      <c r="J351" s="33"/>
      <c r="K351" s="33"/>
      <c r="L351" s="561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44"/>
      <c r="AP351" s="37"/>
      <c r="AQ351" s="44"/>
      <c r="AR351" s="57"/>
      <c r="AS351" s="56">
        <f>Tabela4[[#This Row],[Total R$]]-Tabela4[[#This Row],[Total Pago]]</f>
        <v>0</v>
      </c>
      <c r="AT351" s="36"/>
    </row>
    <row r="352" spans="1:75" x14ac:dyDescent="0.25">
      <c r="B352" s="44"/>
      <c r="D352" s="349"/>
      <c r="E352" s="33"/>
      <c r="F352" s="33"/>
      <c r="G352" s="33"/>
      <c r="H352" s="33"/>
      <c r="I352" s="33"/>
      <c r="J352" s="33"/>
      <c r="K352" s="33"/>
      <c r="L352" s="561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44"/>
      <c r="AP352" s="37"/>
      <c r="AQ352" s="44"/>
      <c r="AR352" s="57"/>
      <c r="AS352" s="56">
        <f>Tabela4[[#This Row],[Total R$]]-Tabela4[[#This Row],[Total Pago]]</f>
        <v>0</v>
      </c>
      <c r="AT352" s="36"/>
    </row>
    <row r="353" spans="1:75" x14ac:dyDescent="0.25">
      <c r="B353" s="44"/>
      <c r="D353" s="349"/>
      <c r="E353" s="33"/>
      <c r="F353" s="33"/>
      <c r="G353" s="33"/>
      <c r="H353" s="33"/>
      <c r="I353" s="33"/>
      <c r="J353" s="33"/>
      <c r="K353" s="33"/>
      <c r="L353" s="561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44"/>
      <c r="AP353" s="37"/>
      <c r="AQ353" s="44"/>
      <c r="AR353" s="57"/>
      <c r="AS353" s="56">
        <f>Tabela4[[#This Row],[Total R$]]-Tabela4[[#This Row],[Total Pago]]</f>
        <v>0</v>
      </c>
      <c r="AT353" s="36"/>
    </row>
    <row r="354" spans="1:75" x14ac:dyDescent="0.25">
      <c r="B354" s="44"/>
      <c r="D354" s="349"/>
      <c r="E354" s="33"/>
      <c r="F354" s="33"/>
      <c r="G354" s="33"/>
      <c r="H354" s="33"/>
      <c r="I354" s="33"/>
      <c r="J354" s="33"/>
      <c r="K354" s="33"/>
      <c r="L354" s="561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44"/>
      <c r="AP354" s="37"/>
      <c r="AQ354" s="44"/>
      <c r="AR354" s="57"/>
      <c r="AS354" s="56">
        <f>Tabela4[[#This Row],[Total R$]]-Tabela4[[#This Row],[Total Pago]]</f>
        <v>0</v>
      </c>
      <c r="AT354" s="36"/>
    </row>
    <row r="355" spans="1:75" x14ac:dyDescent="0.25">
      <c r="B355" s="44"/>
      <c r="D355" s="349"/>
      <c r="E355" s="33"/>
      <c r="F355" s="33"/>
      <c r="G355" s="33"/>
      <c r="H355" s="33"/>
      <c r="I355" s="33"/>
      <c r="J355" s="33"/>
      <c r="K355" s="33"/>
      <c r="L355" s="561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44"/>
      <c r="AP355" s="37"/>
      <c r="AQ355" s="44"/>
      <c r="AR355" s="57"/>
      <c r="AS355" s="56">
        <f>Tabela4[[#This Row],[Total R$]]-Tabela4[[#This Row],[Total Pago]]</f>
        <v>0</v>
      </c>
      <c r="AT355" s="36"/>
    </row>
    <row r="356" spans="1:75" x14ac:dyDescent="0.25">
      <c r="B356" s="44"/>
      <c r="D356" s="349"/>
      <c r="E356" s="33"/>
      <c r="F356" s="33"/>
      <c r="G356" s="33"/>
      <c r="H356" s="33"/>
      <c r="I356" s="33"/>
      <c r="J356" s="33"/>
      <c r="K356" s="33"/>
      <c r="L356" s="561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44"/>
      <c r="AP356" s="37"/>
      <c r="AQ356" s="44"/>
      <c r="AR356" s="57"/>
      <c r="AS356" s="56">
        <f>Tabela4[[#This Row],[Total R$]]-Tabela4[[#This Row],[Total Pago]]</f>
        <v>0</v>
      </c>
      <c r="AT356" s="36"/>
    </row>
    <row r="357" spans="1:75" x14ac:dyDescent="0.25">
      <c r="B357" s="44"/>
      <c r="D357" s="349"/>
      <c r="E357" s="33"/>
      <c r="F357" s="33"/>
      <c r="G357" s="33"/>
      <c r="H357" s="33"/>
      <c r="I357" s="33"/>
      <c r="J357" s="33"/>
      <c r="K357" s="33"/>
      <c r="L357" s="561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44"/>
      <c r="AP357" s="37"/>
      <c r="AQ357" s="44"/>
      <c r="AR357" s="57"/>
      <c r="AS357" s="56">
        <f>Tabela4[[#This Row],[Total R$]]-Tabela4[[#This Row],[Total Pago]]</f>
        <v>0</v>
      </c>
      <c r="AT357" s="36"/>
    </row>
    <row r="358" spans="1:75" x14ac:dyDescent="0.25">
      <c r="B358" s="44"/>
      <c r="D358" s="349"/>
      <c r="E358" s="33"/>
      <c r="F358" s="33"/>
      <c r="G358" s="33"/>
      <c r="H358" s="33"/>
      <c r="I358" s="33"/>
      <c r="J358" s="33"/>
      <c r="K358" s="33"/>
      <c r="L358" s="561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44"/>
      <c r="AP358" s="37"/>
      <c r="AQ358" s="44"/>
      <c r="AR358" s="57"/>
      <c r="AS358" s="56">
        <f>Tabela4[[#This Row],[Total R$]]-Tabela4[[#This Row],[Total Pago]]</f>
        <v>0</v>
      </c>
      <c r="AT358" s="36"/>
    </row>
    <row r="359" spans="1:75" x14ac:dyDescent="0.25">
      <c r="B359" s="44"/>
      <c r="D359" s="349"/>
      <c r="E359" s="33"/>
      <c r="F359" s="33"/>
      <c r="G359" s="33"/>
      <c r="H359" s="33"/>
      <c r="I359" s="33"/>
      <c r="J359" s="33"/>
      <c r="K359" s="33"/>
      <c r="L359" s="561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44"/>
      <c r="AP359" s="37"/>
      <c r="AQ359" s="44"/>
      <c r="AR359" s="57"/>
      <c r="AS359" s="56">
        <f>Tabela4[[#This Row],[Total R$]]-Tabela4[[#This Row],[Total Pago]]</f>
        <v>0</v>
      </c>
      <c r="AT359" s="36"/>
    </row>
    <row r="360" spans="1:75" x14ac:dyDescent="0.25">
      <c r="B360" s="44"/>
      <c r="D360" s="349"/>
      <c r="E360" s="33"/>
      <c r="F360" s="33"/>
      <c r="G360" s="33"/>
      <c r="H360" s="33"/>
      <c r="I360" s="33"/>
      <c r="J360" s="33"/>
      <c r="K360" s="33"/>
      <c r="L360" s="561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44"/>
      <c r="AP360" s="37"/>
      <c r="AQ360" s="44"/>
      <c r="AR360" s="57"/>
      <c r="AS360" s="56">
        <f>Tabela4[[#This Row],[Total R$]]-Tabela4[[#This Row],[Total Pago]]</f>
        <v>0</v>
      </c>
      <c r="AT360" s="36"/>
    </row>
    <row r="361" spans="1:75" x14ac:dyDescent="0.25">
      <c r="B361" s="44"/>
      <c r="D361" s="349"/>
      <c r="E361" s="33"/>
      <c r="F361" s="33"/>
      <c r="G361" s="33"/>
      <c r="H361" s="33"/>
      <c r="I361" s="33"/>
      <c r="J361" s="33"/>
      <c r="K361" s="33"/>
      <c r="L361" s="561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44"/>
      <c r="AP361" s="37"/>
      <c r="AQ361" s="44"/>
      <c r="AR361" s="57"/>
      <c r="AS361" s="56">
        <f>Tabela4[[#This Row],[Total R$]]-Tabela4[[#This Row],[Total Pago]]</f>
        <v>0</v>
      </c>
      <c r="AT361" s="36"/>
    </row>
    <row r="362" spans="1:75" x14ac:dyDescent="0.25">
      <c r="B362" s="44"/>
      <c r="D362" s="349"/>
      <c r="E362" s="33"/>
      <c r="F362" s="33"/>
      <c r="G362" s="33"/>
      <c r="H362" s="33"/>
      <c r="I362" s="33"/>
      <c r="J362" s="33"/>
      <c r="K362" s="33"/>
      <c r="L362" s="561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44"/>
      <c r="AP362" s="37"/>
      <c r="AQ362" s="44"/>
      <c r="AR362" s="57"/>
      <c r="AS362" s="56">
        <f>Tabela4[[#This Row],[Total R$]]-Tabela4[[#This Row],[Total Pago]]</f>
        <v>0</v>
      </c>
      <c r="AT362" s="36"/>
    </row>
    <row r="363" spans="1:75" x14ac:dyDescent="0.25">
      <c r="B363" s="44"/>
      <c r="D363" s="349"/>
      <c r="E363" s="33"/>
      <c r="F363" s="33"/>
      <c r="G363" s="33"/>
      <c r="H363" s="33"/>
      <c r="I363" s="33"/>
      <c r="J363" s="33"/>
      <c r="K363" s="33"/>
      <c r="L363" s="561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44"/>
      <c r="AP363" s="37"/>
      <c r="AQ363" s="44"/>
      <c r="AR363" s="57"/>
      <c r="AS363" s="56">
        <f>Tabela4[[#This Row],[Total R$]]-Tabela4[[#This Row],[Total Pago]]</f>
        <v>0</v>
      </c>
      <c r="AT363" s="36"/>
    </row>
    <row r="364" spans="1:75" s="102" customFormat="1" x14ac:dyDescent="0.25">
      <c r="A364" s="27"/>
      <c r="B364" s="44"/>
      <c r="C364" s="27"/>
      <c r="D364" s="349"/>
      <c r="E364" s="33"/>
      <c r="F364" s="33"/>
      <c r="G364" s="33"/>
      <c r="H364" s="33"/>
      <c r="I364" s="33"/>
      <c r="J364" s="33"/>
      <c r="K364" s="33"/>
      <c r="L364" s="561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44"/>
      <c r="AP364" s="37"/>
      <c r="AQ364" s="44"/>
      <c r="AR364" s="57"/>
      <c r="AS364" s="56">
        <f>Tabela4[[#This Row],[Total R$]]-Tabela4[[#This Row],[Total Pago]]</f>
        <v>0</v>
      </c>
      <c r="AT364" s="36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</row>
    <row r="365" spans="1:75" s="102" customFormat="1" x14ac:dyDescent="0.25">
      <c r="A365" s="27"/>
      <c r="B365" s="44"/>
      <c r="C365" s="27"/>
      <c r="D365" s="349"/>
      <c r="E365" s="33"/>
      <c r="F365" s="33"/>
      <c r="G365" s="33"/>
      <c r="H365" s="33"/>
      <c r="I365" s="33"/>
      <c r="J365" s="33"/>
      <c r="K365" s="33"/>
      <c r="L365" s="561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44"/>
      <c r="AP365" s="37"/>
      <c r="AQ365" s="44"/>
      <c r="AR365" s="97"/>
      <c r="AS365" s="56">
        <f>Tabela4[[#This Row],[Total R$]]-Tabela4[[#This Row],[Total Pago]]</f>
        <v>0</v>
      </c>
      <c r="AT365" s="36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</row>
    <row r="366" spans="1:75" s="102" customFormat="1" x14ac:dyDescent="0.25">
      <c r="A366" s="27"/>
      <c r="B366" s="44"/>
      <c r="C366" s="27"/>
      <c r="D366" s="349"/>
      <c r="E366" s="33"/>
      <c r="F366" s="33"/>
      <c r="G366" s="33"/>
      <c r="H366" s="33"/>
      <c r="I366" s="33"/>
      <c r="J366" s="33"/>
      <c r="K366" s="33"/>
      <c r="L366" s="561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44"/>
      <c r="AP366" s="37"/>
      <c r="AQ366" s="44"/>
      <c r="AR366" s="57"/>
      <c r="AS366" s="56">
        <f>Tabela4[[#This Row],[Total R$]]-Tabela4[[#This Row],[Total Pago]]</f>
        <v>0</v>
      </c>
      <c r="AT366" s="3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</row>
    <row r="367" spans="1:75" x14ac:dyDescent="0.25">
      <c r="B367" s="44"/>
      <c r="D367" s="349"/>
      <c r="E367" s="33"/>
      <c r="F367" s="33"/>
      <c r="G367" s="33"/>
      <c r="H367" s="33"/>
      <c r="I367" s="33"/>
      <c r="J367" s="33"/>
      <c r="K367" s="33"/>
      <c r="L367" s="561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44"/>
      <c r="AP367" s="37"/>
      <c r="AQ367" s="44"/>
      <c r="AR367" s="57"/>
      <c r="AS367" s="56">
        <f>Tabela4[[#This Row],[Total R$]]-Tabela4[[#This Row],[Total Pago]]</f>
        <v>0</v>
      </c>
      <c r="AT367" s="36"/>
    </row>
    <row r="368" spans="1:75" x14ac:dyDescent="0.25">
      <c r="B368" s="44"/>
      <c r="D368" s="349"/>
      <c r="E368" s="33"/>
      <c r="F368" s="33"/>
      <c r="G368" s="33"/>
      <c r="H368" s="33"/>
      <c r="I368" s="33"/>
      <c r="J368" s="33"/>
      <c r="K368" s="33"/>
      <c r="L368" s="561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44"/>
      <c r="AP368" s="37"/>
      <c r="AQ368" s="44"/>
      <c r="AR368" s="57"/>
      <c r="AS368" s="56">
        <f>Tabela4[[#This Row],[Total R$]]-Tabela4[[#This Row],[Total Pago]]</f>
        <v>0</v>
      </c>
      <c r="AT368" s="36"/>
    </row>
    <row r="369" spans="1:75" x14ac:dyDescent="0.25">
      <c r="B369" s="44"/>
      <c r="D369" s="349"/>
      <c r="E369" s="33"/>
      <c r="F369" s="33"/>
      <c r="G369" s="33"/>
      <c r="H369" s="33"/>
      <c r="I369" s="33"/>
      <c r="J369" s="33"/>
      <c r="K369" s="33"/>
      <c r="L369" s="561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44"/>
      <c r="AP369" s="37"/>
      <c r="AQ369" s="44"/>
      <c r="AR369" s="57"/>
      <c r="AS369" s="56">
        <f>Tabela4[[#This Row],[Total R$]]-Tabela4[[#This Row],[Total Pago]]</f>
        <v>0</v>
      </c>
      <c r="AT369" s="36"/>
    </row>
    <row r="370" spans="1:75" x14ac:dyDescent="0.25">
      <c r="B370" s="44"/>
      <c r="D370" s="349"/>
      <c r="E370" s="33"/>
      <c r="F370" s="33"/>
      <c r="G370" s="33"/>
      <c r="H370" s="33"/>
      <c r="I370" s="33"/>
      <c r="J370" s="33"/>
      <c r="K370" s="33"/>
      <c r="L370" s="561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44"/>
      <c r="AP370" s="37"/>
      <c r="AQ370" s="44"/>
      <c r="AR370" s="57"/>
      <c r="AS370" s="56">
        <f>Tabela4[[#This Row],[Total R$]]-Tabela4[[#This Row],[Total Pago]]</f>
        <v>0</v>
      </c>
      <c r="AT370" s="36"/>
    </row>
    <row r="371" spans="1:75" x14ac:dyDescent="0.25">
      <c r="B371" s="44"/>
      <c r="D371" s="349"/>
      <c r="E371" s="33"/>
      <c r="F371" s="33"/>
      <c r="G371" s="33"/>
      <c r="H371" s="33"/>
      <c r="I371" s="33"/>
      <c r="J371" s="33"/>
      <c r="K371" s="33"/>
      <c r="L371" s="561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44"/>
      <c r="AP371" s="37"/>
      <c r="AQ371" s="44"/>
      <c r="AR371" s="57"/>
      <c r="AS371" s="56">
        <f>Tabela4[[#This Row],[Total R$]]-Tabela4[[#This Row],[Total Pago]]</f>
        <v>0</v>
      </c>
      <c r="AT371" s="36"/>
    </row>
    <row r="372" spans="1:75" x14ac:dyDescent="0.25">
      <c r="B372" s="44"/>
      <c r="D372" s="349"/>
      <c r="E372" s="33"/>
      <c r="F372" s="33"/>
      <c r="G372" s="33"/>
      <c r="H372" s="33"/>
      <c r="I372" s="33"/>
      <c r="J372" s="33"/>
      <c r="K372" s="33"/>
      <c r="L372" s="561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44"/>
      <c r="AP372" s="37"/>
      <c r="AQ372" s="44"/>
      <c r="AR372" s="57"/>
      <c r="AS372" s="56">
        <f>Tabela4[[#This Row],[Total R$]]-Tabela4[[#This Row],[Total Pago]]</f>
        <v>0</v>
      </c>
      <c r="AT372" s="36"/>
    </row>
    <row r="373" spans="1:75" x14ac:dyDescent="0.25">
      <c r="B373" s="44"/>
      <c r="D373" s="349"/>
      <c r="E373" s="33"/>
      <c r="F373" s="33"/>
      <c r="G373" s="33"/>
      <c r="H373" s="33"/>
      <c r="I373" s="33"/>
      <c r="J373" s="33"/>
      <c r="K373" s="33"/>
      <c r="L373" s="561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44"/>
      <c r="AP373" s="37"/>
      <c r="AQ373" s="44"/>
      <c r="AR373" s="57"/>
      <c r="AS373" s="56">
        <f>Tabela4[[#This Row],[Total R$]]-Tabela4[[#This Row],[Total Pago]]</f>
        <v>0</v>
      </c>
      <c r="AT373" s="36"/>
    </row>
    <row r="374" spans="1:75" x14ac:dyDescent="0.25">
      <c r="B374" s="44"/>
      <c r="D374" s="349"/>
      <c r="E374" s="33"/>
      <c r="F374" s="33"/>
      <c r="G374" s="33"/>
      <c r="H374" s="33"/>
      <c r="I374" s="33"/>
      <c r="J374" s="33"/>
      <c r="K374" s="33"/>
      <c r="L374" s="561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44"/>
      <c r="AP374" s="37"/>
      <c r="AQ374" s="44"/>
      <c r="AR374" s="57"/>
      <c r="AS374" s="56">
        <f>Tabela4[[#This Row],[Total R$]]-Tabela4[[#This Row],[Total Pago]]</f>
        <v>0</v>
      </c>
      <c r="AT374" s="36"/>
    </row>
    <row r="375" spans="1:75" x14ac:dyDescent="0.25">
      <c r="B375" s="44"/>
      <c r="D375" s="349"/>
      <c r="E375" s="33"/>
      <c r="F375" s="33"/>
      <c r="G375" s="33"/>
      <c r="H375" s="33"/>
      <c r="I375" s="33"/>
      <c r="J375" s="33"/>
      <c r="K375" s="33"/>
      <c r="L375" s="561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44"/>
      <c r="AP375" s="37"/>
      <c r="AQ375" s="44"/>
      <c r="AR375" s="57"/>
      <c r="AS375" s="56">
        <f>Tabela4[[#This Row],[Total R$]]-Tabela4[[#This Row],[Total Pago]]</f>
        <v>0</v>
      </c>
      <c r="AT375" s="36"/>
    </row>
    <row r="376" spans="1:75" x14ac:dyDescent="0.25">
      <c r="B376" s="44"/>
      <c r="D376" s="349"/>
      <c r="E376" s="33"/>
      <c r="F376" s="33"/>
      <c r="G376" s="33"/>
      <c r="H376" s="33"/>
      <c r="I376" s="33"/>
      <c r="J376" s="33"/>
      <c r="K376" s="33"/>
      <c r="L376" s="561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44"/>
      <c r="AP376" s="37"/>
      <c r="AQ376" s="44"/>
      <c r="AR376" s="57"/>
      <c r="AS376" s="56">
        <f>Tabela4[[#This Row],[Total R$]]-Tabela4[[#This Row],[Total Pago]]</f>
        <v>0</v>
      </c>
      <c r="AT376" s="36"/>
    </row>
    <row r="377" spans="1:75" x14ac:dyDescent="0.25">
      <c r="B377" s="44"/>
      <c r="D377" s="349"/>
      <c r="E377" s="33"/>
      <c r="F377" s="33"/>
      <c r="G377" s="33"/>
      <c r="H377" s="33"/>
      <c r="I377" s="33"/>
      <c r="J377" s="33"/>
      <c r="K377" s="33"/>
      <c r="L377" s="561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44"/>
      <c r="AP377" s="37"/>
      <c r="AQ377" s="44"/>
      <c r="AR377" s="57"/>
      <c r="AS377" s="56">
        <f>Tabela4[[#This Row],[Total R$]]-Tabela4[[#This Row],[Total Pago]]</f>
        <v>0</v>
      </c>
      <c r="AT377" s="36"/>
    </row>
    <row r="378" spans="1:75" s="102" customFormat="1" x14ac:dyDescent="0.25">
      <c r="A378" s="27"/>
      <c r="B378" s="44"/>
      <c r="C378" s="27"/>
      <c r="D378" s="349"/>
      <c r="E378" s="33"/>
      <c r="F378" s="33"/>
      <c r="G378" s="33"/>
      <c r="H378" s="33"/>
      <c r="I378" s="33"/>
      <c r="J378" s="33"/>
      <c r="K378" s="33"/>
      <c r="L378" s="561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44"/>
      <c r="AP378" s="37"/>
      <c r="AQ378" s="44"/>
      <c r="AR378" s="57"/>
      <c r="AS378" s="56">
        <f>Tabela4[[#This Row],[Total R$]]-Tabela4[[#This Row],[Total Pago]]</f>
        <v>0</v>
      </c>
      <c r="AT378" s="36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</row>
    <row r="379" spans="1:75" x14ac:dyDescent="0.25">
      <c r="B379" s="44"/>
      <c r="D379" s="349"/>
      <c r="E379" s="33"/>
      <c r="F379" s="33"/>
      <c r="G379" s="33"/>
      <c r="H379" s="33"/>
      <c r="I379" s="33"/>
      <c r="J379" s="33"/>
      <c r="K379" s="33"/>
      <c r="L379" s="561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44"/>
      <c r="AP379" s="37"/>
      <c r="AQ379" s="44"/>
      <c r="AR379" s="97"/>
      <c r="AS379" s="56">
        <f>Tabela4[[#This Row],[Total R$]]-Tabela4[[#This Row],[Total Pago]]</f>
        <v>0</v>
      </c>
      <c r="AT379" s="36"/>
    </row>
    <row r="380" spans="1:75" x14ac:dyDescent="0.25">
      <c r="B380" s="44"/>
      <c r="D380" s="349"/>
      <c r="E380" s="33"/>
      <c r="F380" s="33"/>
      <c r="G380" s="33"/>
      <c r="H380" s="33"/>
      <c r="I380" s="33"/>
      <c r="J380" s="33"/>
      <c r="K380" s="33"/>
      <c r="L380" s="561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44"/>
      <c r="AP380" s="37"/>
      <c r="AQ380" s="44"/>
      <c r="AR380" s="97"/>
      <c r="AS380" s="56">
        <f>Tabela4[[#This Row],[Total R$]]-Tabela4[[#This Row],[Total Pago]]</f>
        <v>0</v>
      </c>
      <c r="AT380" s="36"/>
    </row>
    <row r="381" spans="1:75" s="102" customFormat="1" x14ac:dyDescent="0.25">
      <c r="A381" s="27"/>
      <c r="B381" s="44"/>
      <c r="C381" s="27"/>
      <c r="D381" s="349"/>
      <c r="E381" s="33"/>
      <c r="F381" s="33"/>
      <c r="G381" s="33"/>
      <c r="H381" s="33"/>
      <c r="I381" s="33"/>
      <c r="J381" s="33"/>
      <c r="K381" s="33"/>
      <c r="L381" s="561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44"/>
      <c r="AP381" s="37"/>
      <c r="AQ381" s="44"/>
      <c r="AR381" s="57"/>
      <c r="AS381" s="56">
        <f>Tabela4[[#This Row],[Total R$]]-Tabela4[[#This Row],[Total Pago]]</f>
        <v>0</v>
      </c>
      <c r="AT381" s="36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</row>
    <row r="382" spans="1:75" s="102" customFormat="1" x14ac:dyDescent="0.25">
      <c r="A382" s="27"/>
      <c r="B382" s="44"/>
      <c r="C382" s="27"/>
      <c r="D382" s="349"/>
      <c r="E382" s="33"/>
      <c r="F382" s="33"/>
      <c r="G382" s="33"/>
      <c r="H382" s="33"/>
      <c r="I382" s="33"/>
      <c r="J382" s="33"/>
      <c r="K382" s="33"/>
      <c r="L382" s="561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44"/>
      <c r="AP382" s="37"/>
      <c r="AQ382" s="44"/>
      <c r="AR382" s="57"/>
      <c r="AS382" s="56">
        <f>Tabela4[[#This Row],[Total R$]]-Tabela4[[#This Row],[Total Pago]]</f>
        <v>0</v>
      </c>
      <c r="AT382" s="36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</row>
    <row r="383" spans="1:75" x14ac:dyDescent="0.25">
      <c r="B383" s="44"/>
      <c r="D383" s="349"/>
      <c r="E383" s="33"/>
      <c r="F383" s="33"/>
      <c r="G383" s="33"/>
      <c r="H383" s="33"/>
      <c r="I383" s="33"/>
      <c r="J383" s="33"/>
      <c r="K383" s="33"/>
      <c r="L383" s="561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44"/>
      <c r="AP383" s="37"/>
      <c r="AQ383" s="44"/>
      <c r="AR383" s="57"/>
      <c r="AS383" s="56">
        <f>Tabela4[[#This Row],[Total R$]]-Tabela4[[#This Row],[Total Pago]]</f>
        <v>0</v>
      </c>
      <c r="AT383" s="36"/>
    </row>
    <row r="384" spans="1:75" x14ac:dyDescent="0.25">
      <c r="B384" s="44"/>
      <c r="D384" s="349"/>
      <c r="E384" s="33"/>
      <c r="F384" s="33"/>
      <c r="G384" s="33"/>
      <c r="H384" s="33"/>
      <c r="I384" s="33"/>
      <c r="J384" s="33"/>
      <c r="K384" s="33"/>
      <c r="L384" s="561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44"/>
      <c r="AP384" s="37"/>
      <c r="AQ384" s="44"/>
      <c r="AR384" s="57"/>
      <c r="AS384" s="56">
        <f>Tabela4[[#This Row],[Total R$]]-Tabela4[[#This Row],[Total Pago]]</f>
        <v>0</v>
      </c>
      <c r="AT384" s="36"/>
    </row>
    <row r="385" spans="1:75" x14ac:dyDescent="0.25">
      <c r="B385" s="44"/>
      <c r="D385" s="349"/>
      <c r="E385" s="33"/>
      <c r="F385" s="33"/>
      <c r="G385" s="33"/>
      <c r="H385" s="33"/>
      <c r="I385" s="33"/>
      <c r="J385" s="33"/>
      <c r="K385" s="33"/>
      <c r="L385" s="561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44"/>
      <c r="AP385" s="37"/>
      <c r="AQ385" s="44"/>
      <c r="AR385" s="57"/>
      <c r="AS385" s="56">
        <f>Tabela4[[#This Row],[Total R$]]-Tabela4[[#This Row],[Total Pago]]</f>
        <v>0</v>
      </c>
      <c r="AT385" s="36"/>
    </row>
    <row r="386" spans="1:75" s="102" customFormat="1" x14ac:dyDescent="0.25">
      <c r="A386" s="27"/>
      <c r="B386" s="44"/>
      <c r="C386" s="27"/>
      <c r="D386" s="349"/>
      <c r="E386" s="33"/>
      <c r="F386" s="33"/>
      <c r="G386" s="33"/>
      <c r="H386" s="33"/>
      <c r="I386" s="33"/>
      <c r="J386" s="33"/>
      <c r="K386" s="33"/>
      <c r="L386" s="561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44"/>
      <c r="AP386" s="37"/>
      <c r="AQ386" s="44"/>
      <c r="AR386" s="57"/>
      <c r="AS386" s="56">
        <f>Tabela4[[#This Row],[Total R$]]-Tabela4[[#This Row],[Total Pago]]</f>
        <v>0</v>
      </c>
      <c r="AT386" s="3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</row>
    <row r="387" spans="1:75" s="102" customFormat="1" x14ac:dyDescent="0.25">
      <c r="A387" s="27"/>
      <c r="B387" s="44"/>
      <c r="C387" s="27"/>
      <c r="D387" s="349"/>
      <c r="E387" s="33"/>
      <c r="F387" s="33"/>
      <c r="G387" s="33"/>
      <c r="H387" s="33"/>
      <c r="I387" s="33"/>
      <c r="J387" s="33"/>
      <c r="K387" s="33"/>
      <c r="L387" s="561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44"/>
      <c r="AP387" s="37"/>
      <c r="AQ387" s="44"/>
      <c r="AR387" s="57"/>
      <c r="AS387" s="56">
        <f>Tabela4[[#This Row],[Total R$]]-Tabela4[[#This Row],[Total Pago]]</f>
        <v>0</v>
      </c>
      <c r="AT387" s="36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</row>
    <row r="388" spans="1:75" s="102" customFormat="1" x14ac:dyDescent="0.25">
      <c r="A388" s="27"/>
      <c r="B388" s="44"/>
      <c r="C388" s="27"/>
      <c r="D388" s="349"/>
      <c r="E388" s="33"/>
      <c r="F388" s="33"/>
      <c r="G388" s="33"/>
      <c r="H388" s="33"/>
      <c r="I388" s="33"/>
      <c r="J388" s="33"/>
      <c r="K388" s="33"/>
      <c r="L388" s="561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44"/>
      <c r="AP388" s="37"/>
      <c r="AQ388" s="44"/>
      <c r="AR388" s="57"/>
      <c r="AS388" s="56">
        <f>Tabela4[[#This Row],[Total R$]]-Tabela4[[#This Row],[Total Pago]]</f>
        <v>0</v>
      </c>
      <c r="AT388" s="36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</row>
    <row r="389" spans="1:75" x14ac:dyDescent="0.25">
      <c r="B389" s="44"/>
      <c r="D389" s="349"/>
      <c r="E389" s="33"/>
      <c r="F389" s="33"/>
      <c r="G389" s="33"/>
      <c r="H389" s="33"/>
      <c r="I389" s="33"/>
      <c r="J389" s="33"/>
      <c r="K389" s="33"/>
      <c r="L389" s="561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44"/>
      <c r="AP389" s="37"/>
      <c r="AQ389" s="44"/>
      <c r="AR389" s="57"/>
      <c r="AS389" s="56">
        <f>Tabela4[[#This Row],[Total R$]]-Tabela4[[#This Row],[Total Pago]]</f>
        <v>0</v>
      </c>
      <c r="AT389" s="36"/>
    </row>
    <row r="390" spans="1:75" x14ac:dyDescent="0.25">
      <c r="B390" s="44"/>
      <c r="D390" s="349"/>
      <c r="E390" s="33"/>
      <c r="F390" s="33"/>
      <c r="G390" s="33"/>
      <c r="H390" s="33"/>
      <c r="I390" s="33"/>
      <c r="J390" s="33"/>
      <c r="K390" s="33"/>
      <c r="L390" s="561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44"/>
      <c r="AP390" s="37"/>
      <c r="AQ390" s="44"/>
      <c r="AR390" s="57"/>
      <c r="AS390" s="56">
        <f>Tabela4[[#This Row],[Total R$]]-Tabela4[[#This Row],[Total Pago]]</f>
        <v>0</v>
      </c>
      <c r="AT390" s="36"/>
    </row>
    <row r="391" spans="1:75" x14ac:dyDescent="0.25">
      <c r="B391" s="44"/>
      <c r="D391" s="349"/>
      <c r="E391" s="33"/>
      <c r="F391" s="33"/>
      <c r="G391" s="33"/>
      <c r="H391" s="33"/>
      <c r="I391" s="33"/>
      <c r="J391" s="33"/>
      <c r="K391" s="33"/>
      <c r="L391" s="561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44"/>
      <c r="AP391" s="37"/>
      <c r="AQ391" s="44"/>
      <c r="AR391" s="57"/>
      <c r="AS391" s="56">
        <f>Tabela4[[#This Row],[Total R$]]-Tabela4[[#This Row],[Total Pago]]</f>
        <v>0</v>
      </c>
      <c r="AT391" s="36"/>
    </row>
    <row r="392" spans="1:75" x14ac:dyDescent="0.25">
      <c r="B392" s="44"/>
      <c r="D392" s="349"/>
      <c r="E392" s="33"/>
      <c r="F392" s="33"/>
      <c r="G392" s="33"/>
      <c r="H392" s="33"/>
      <c r="I392" s="33"/>
      <c r="J392" s="33"/>
      <c r="K392" s="33"/>
      <c r="L392" s="561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44"/>
      <c r="AP392" s="37"/>
      <c r="AQ392" s="44"/>
      <c r="AR392" s="57"/>
      <c r="AS392" s="56">
        <f>Tabela4[[#This Row],[Total R$]]-Tabela4[[#This Row],[Total Pago]]</f>
        <v>0</v>
      </c>
      <c r="AT392" s="36"/>
    </row>
    <row r="393" spans="1:75" s="102" customFormat="1" x14ac:dyDescent="0.25">
      <c r="A393" s="27"/>
      <c r="B393" s="44"/>
      <c r="C393" s="27"/>
      <c r="D393" s="349"/>
      <c r="E393" s="33"/>
      <c r="F393" s="33"/>
      <c r="G393" s="33"/>
      <c r="H393" s="33"/>
      <c r="I393" s="33"/>
      <c r="J393" s="33"/>
      <c r="K393" s="33"/>
      <c r="L393" s="561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44"/>
      <c r="AP393" s="37"/>
      <c r="AQ393" s="44"/>
      <c r="AR393" s="57"/>
      <c r="AS393" s="56">
        <f>Tabela4[[#This Row],[Total R$]]-Tabela4[[#This Row],[Total Pago]]</f>
        <v>0</v>
      </c>
      <c r="AT393" s="36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</row>
    <row r="394" spans="1:75" x14ac:dyDescent="0.25">
      <c r="B394" s="44"/>
      <c r="D394" s="349"/>
      <c r="E394" s="33"/>
      <c r="F394" s="33"/>
      <c r="G394" s="33"/>
      <c r="H394" s="33"/>
      <c r="I394" s="33"/>
      <c r="J394" s="33"/>
      <c r="K394" s="33"/>
      <c r="L394" s="561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44"/>
      <c r="AP394" s="37"/>
      <c r="AQ394" s="44"/>
      <c r="AR394" s="57"/>
      <c r="AS394" s="56">
        <f>Tabela4[[#This Row],[Total R$]]-Tabela4[[#This Row],[Total Pago]]</f>
        <v>0</v>
      </c>
      <c r="AT394" s="36"/>
    </row>
    <row r="395" spans="1:75" x14ac:dyDescent="0.25">
      <c r="B395" s="44"/>
      <c r="D395" s="349"/>
      <c r="E395" s="33"/>
      <c r="F395" s="33"/>
      <c r="G395" s="33"/>
      <c r="H395" s="33"/>
      <c r="I395" s="33"/>
      <c r="J395" s="33"/>
      <c r="K395" s="33"/>
      <c r="L395" s="561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44"/>
      <c r="AP395" s="37"/>
      <c r="AQ395" s="44"/>
      <c r="AR395" s="57"/>
      <c r="AS395" s="56">
        <f>Tabela4[[#This Row],[Total R$]]-Tabela4[[#This Row],[Total Pago]]</f>
        <v>0</v>
      </c>
      <c r="AT395" s="36"/>
    </row>
    <row r="396" spans="1:75" x14ac:dyDescent="0.25">
      <c r="B396" s="44"/>
      <c r="D396" s="349"/>
      <c r="E396" s="33"/>
      <c r="F396" s="33"/>
      <c r="G396" s="33"/>
      <c r="H396" s="33"/>
      <c r="I396" s="33"/>
      <c r="J396" s="33"/>
      <c r="K396" s="33"/>
      <c r="L396" s="561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44"/>
      <c r="AP396" s="37"/>
      <c r="AQ396" s="44"/>
      <c r="AR396" s="97"/>
      <c r="AS396" s="56">
        <f>Tabela4[[#This Row],[Total R$]]-Tabela4[[#This Row],[Total Pago]]</f>
        <v>0</v>
      </c>
      <c r="AT396" s="36"/>
    </row>
    <row r="397" spans="1:75" x14ac:dyDescent="0.25">
      <c r="B397" s="44"/>
      <c r="D397" s="349"/>
      <c r="E397" s="33"/>
      <c r="F397" s="33"/>
      <c r="G397" s="33"/>
      <c r="H397" s="33"/>
      <c r="I397" s="33"/>
      <c r="J397" s="33"/>
      <c r="K397" s="33"/>
      <c r="L397" s="561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44"/>
      <c r="AP397" s="37"/>
      <c r="AQ397" s="44"/>
      <c r="AR397" s="97"/>
      <c r="AS397" s="56">
        <f>Tabela4[[#This Row],[Total R$]]-Tabela4[[#This Row],[Total Pago]]</f>
        <v>0</v>
      </c>
      <c r="AT397" s="36"/>
    </row>
    <row r="398" spans="1:75" x14ac:dyDescent="0.25">
      <c r="B398" s="44"/>
      <c r="D398" s="349"/>
      <c r="E398" s="33"/>
      <c r="F398" s="33"/>
      <c r="G398" s="33"/>
      <c r="H398" s="33"/>
      <c r="I398" s="33"/>
      <c r="J398" s="33"/>
      <c r="K398" s="33"/>
      <c r="L398" s="561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44"/>
      <c r="AP398" s="37"/>
      <c r="AQ398" s="44"/>
      <c r="AR398" s="57"/>
      <c r="AS398" s="56">
        <f>Tabela4[[#This Row],[Total R$]]-Tabela4[[#This Row],[Total Pago]]</f>
        <v>0</v>
      </c>
      <c r="AT398" s="36"/>
    </row>
    <row r="399" spans="1:75" x14ac:dyDescent="0.25">
      <c r="B399" s="44"/>
      <c r="D399" s="349"/>
      <c r="E399" s="33"/>
      <c r="F399" s="33"/>
      <c r="G399" s="33"/>
      <c r="H399" s="33"/>
      <c r="I399" s="33"/>
      <c r="J399" s="33"/>
      <c r="K399" s="33"/>
      <c r="L399" s="561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44"/>
      <c r="AP399" s="37"/>
      <c r="AQ399" s="44"/>
      <c r="AR399" s="57"/>
      <c r="AS399" s="56">
        <f>Tabela4[[#This Row],[Total R$]]-Tabela4[[#This Row],[Total Pago]]</f>
        <v>0</v>
      </c>
      <c r="AT399" s="36"/>
    </row>
    <row r="400" spans="1:75" x14ac:dyDescent="0.25">
      <c r="B400" s="44"/>
      <c r="D400" s="349"/>
      <c r="E400" s="33"/>
      <c r="F400" s="33"/>
      <c r="G400" s="33"/>
      <c r="H400" s="33"/>
      <c r="I400" s="33"/>
      <c r="J400" s="33"/>
      <c r="K400" s="33"/>
      <c r="L400" s="561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44"/>
      <c r="AP400" s="37"/>
      <c r="AQ400" s="44"/>
      <c r="AR400" s="57"/>
      <c r="AS400" s="56">
        <f>Tabela4[[#This Row],[Total R$]]-Tabela4[[#This Row],[Total Pago]]</f>
        <v>0</v>
      </c>
      <c r="AT400" s="36"/>
    </row>
    <row r="401" spans="1:75" s="102" customFormat="1" x14ac:dyDescent="0.25">
      <c r="A401" s="27"/>
      <c r="B401" s="44"/>
      <c r="C401" s="27"/>
      <c r="D401" s="349"/>
      <c r="E401" s="33"/>
      <c r="F401" s="33"/>
      <c r="G401" s="33"/>
      <c r="H401" s="33"/>
      <c r="I401" s="33"/>
      <c r="J401" s="33"/>
      <c r="K401" s="33"/>
      <c r="L401" s="561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44"/>
      <c r="AP401" s="37"/>
      <c r="AQ401" s="44"/>
      <c r="AR401" s="57"/>
      <c r="AS401" s="56">
        <f>Tabela4[[#This Row],[Total R$]]-Tabela4[[#This Row],[Total Pago]]</f>
        <v>0</v>
      </c>
      <c r="AT401" s="36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</row>
    <row r="402" spans="1:75" x14ac:dyDescent="0.25">
      <c r="B402" s="44"/>
      <c r="D402" s="349"/>
      <c r="E402" s="33"/>
      <c r="F402" s="33"/>
      <c r="G402" s="33"/>
      <c r="H402" s="33"/>
      <c r="I402" s="33"/>
      <c r="J402" s="33"/>
      <c r="K402" s="33"/>
      <c r="L402" s="561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44"/>
      <c r="AP402" s="37"/>
      <c r="AQ402" s="44"/>
      <c r="AR402" s="57"/>
      <c r="AS402" s="56">
        <f>Tabela4[[#This Row],[Total R$]]-Tabela4[[#This Row],[Total Pago]]</f>
        <v>0</v>
      </c>
      <c r="AT402" s="36"/>
    </row>
    <row r="403" spans="1:75" x14ac:dyDescent="0.25">
      <c r="B403" s="44"/>
      <c r="D403" s="349"/>
      <c r="E403" s="33"/>
      <c r="F403" s="33"/>
      <c r="G403" s="33"/>
      <c r="H403" s="33"/>
      <c r="I403" s="33"/>
      <c r="J403" s="33"/>
      <c r="K403" s="33"/>
      <c r="L403" s="561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44"/>
      <c r="AP403" s="37"/>
      <c r="AQ403" s="44"/>
      <c r="AR403" s="57"/>
      <c r="AS403" s="56">
        <f>Tabela4[[#This Row],[Total R$]]-Tabela4[[#This Row],[Total Pago]]</f>
        <v>0</v>
      </c>
      <c r="AT403" s="36"/>
    </row>
    <row r="404" spans="1:75" x14ac:dyDescent="0.25">
      <c r="B404" s="44"/>
      <c r="D404" s="349"/>
      <c r="E404" s="33"/>
      <c r="F404" s="33"/>
      <c r="G404" s="33"/>
      <c r="H404" s="33"/>
      <c r="I404" s="33"/>
      <c r="J404" s="33"/>
      <c r="K404" s="33"/>
      <c r="L404" s="561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44"/>
      <c r="AP404" s="37"/>
      <c r="AQ404" s="44"/>
      <c r="AR404" s="57"/>
      <c r="AS404" s="56">
        <f>Tabela4[[#This Row],[Total R$]]-Tabela4[[#This Row],[Total Pago]]</f>
        <v>0</v>
      </c>
      <c r="AT404" s="36"/>
    </row>
    <row r="405" spans="1:75" x14ac:dyDescent="0.25">
      <c r="B405" s="44"/>
      <c r="D405" s="349"/>
      <c r="E405" s="33"/>
      <c r="F405" s="33"/>
      <c r="G405" s="33"/>
      <c r="H405" s="33"/>
      <c r="I405" s="33"/>
      <c r="J405" s="33"/>
      <c r="K405" s="33"/>
      <c r="L405" s="561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44"/>
      <c r="AP405" s="37"/>
      <c r="AQ405" s="44"/>
      <c r="AR405" s="57"/>
      <c r="AS405" s="56">
        <f>Tabela4[[#This Row],[Total R$]]-Tabela4[[#This Row],[Total Pago]]</f>
        <v>0</v>
      </c>
      <c r="AT405" s="36"/>
    </row>
    <row r="406" spans="1:75" x14ac:dyDescent="0.25">
      <c r="B406" s="44"/>
      <c r="D406" s="349"/>
      <c r="E406" s="33"/>
      <c r="F406" s="33"/>
      <c r="G406" s="33"/>
      <c r="H406" s="33"/>
      <c r="I406" s="33"/>
      <c r="J406" s="33"/>
      <c r="K406" s="33"/>
      <c r="L406" s="561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44"/>
      <c r="AP406" s="37"/>
      <c r="AQ406" s="44"/>
      <c r="AR406" s="57"/>
      <c r="AS406" s="56">
        <f>Tabela4[[#This Row],[Total R$]]-Tabela4[[#This Row],[Total Pago]]</f>
        <v>0</v>
      </c>
      <c r="AT406" s="36"/>
    </row>
    <row r="407" spans="1:75" x14ac:dyDescent="0.25">
      <c r="B407" s="44"/>
      <c r="D407" s="349"/>
      <c r="E407" s="33"/>
      <c r="F407" s="33"/>
      <c r="G407" s="33"/>
      <c r="H407" s="33"/>
      <c r="I407" s="33"/>
      <c r="J407" s="33"/>
      <c r="K407" s="33"/>
      <c r="L407" s="561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44"/>
      <c r="AP407" s="37"/>
      <c r="AQ407" s="44"/>
      <c r="AR407" s="57"/>
      <c r="AS407" s="56">
        <f>Tabela4[[#This Row],[Total R$]]-Tabela4[[#This Row],[Total Pago]]</f>
        <v>0</v>
      </c>
      <c r="AT407" s="36"/>
    </row>
    <row r="408" spans="1:75" x14ac:dyDescent="0.25">
      <c r="B408" s="44"/>
      <c r="D408" s="349"/>
      <c r="E408" s="33"/>
      <c r="F408" s="33"/>
      <c r="G408" s="33"/>
      <c r="H408" s="33"/>
      <c r="I408" s="33"/>
      <c r="J408" s="33"/>
      <c r="K408" s="33"/>
      <c r="L408" s="561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44"/>
      <c r="AP408" s="37"/>
      <c r="AQ408" s="44"/>
      <c r="AR408" s="57"/>
      <c r="AS408" s="56">
        <f>Tabela4[[#This Row],[Total R$]]-Tabela4[[#This Row],[Total Pago]]</f>
        <v>0</v>
      </c>
      <c r="AT408" s="36"/>
    </row>
    <row r="409" spans="1:75" x14ac:dyDescent="0.25">
      <c r="B409" s="44"/>
      <c r="D409" s="349"/>
      <c r="E409" s="33"/>
      <c r="F409" s="33"/>
      <c r="G409" s="33"/>
      <c r="H409" s="33"/>
      <c r="I409" s="33"/>
      <c r="J409" s="33"/>
      <c r="K409" s="33"/>
      <c r="L409" s="561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44"/>
      <c r="AP409" s="37"/>
      <c r="AQ409" s="44"/>
      <c r="AR409" s="57"/>
      <c r="AS409" s="56">
        <f>Tabela4[[#This Row],[Total R$]]-Tabela4[[#This Row],[Total Pago]]</f>
        <v>0</v>
      </c>
      <c r="AT409" s="36"/>
    </row>
    <row r="410" spans="1:75" x14ac:dyDescent="0.25">
      <c r="B410" s="44"/>
      <c r="D410" s="349"/>
      <c r="E410" s="33"/>
      <c r="F410" s="33"/>
      <c r="G410" s="33"/>
      <c r="H410" s="33"/>
      <c r="I410" s="33"/>
      <c r="J410" s="33"/>
      <c r="K410" s="33"/>
      <c r="L410" s="561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44"/>
      <c r="AP410" s="37"/>
      <c r="AQ410" s="44"/>
      <c r="AR410" s="57"/>
      <c r="AS410" s="56">
        <f>Tabela4[[#This Row],[Total R$]]-Tabela4[[#This Row],[Total Pago]]</f>
        <v>0</v>
      </c>
      <c r="AT410" s="36"/>
    </row>
    <row r="411" spans="1:75" x14ac:dyDescent="0.25">
      <c r="B411" s="44"/>
      <c r="D411" s="349"/>
      <c r="E411" s="33"/>
      <c r="F411" s="33"/>
      <c r="G411" s="33"/>
      <c r="H411" s="33"/>
      <c r="I411" s="33"/>
      <c r="J411" s="33"/>
      <c r="K411" s="33"/>
      <c r="L411" s="561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44"/>
      <c r="AP411" s="37"/>
      <c r="AQ411" s="44"/>
      <c r="AR411" s="57"/>
      <c r="AS411" s="56">
        <f>Tabela4[[#This Row],[Total R$]]-Tabela4[[#This Row],[Total Pago]]</f>
        <v>0</v>
      </c>
      <c r="AT411" s="36"/>
    </row>
    <row r="412" spans="1:75" x14ac:dyDescent="0.25">
      <c r="B412" s="44"/>
      <c r="D412" s="349"/>
      <c r="E412" s="33"/>
      <c r="F412" s="33"/>
      <c r="G412" s="33"/>
      <c r="H412" s="33"/>
      <c r="I412" s="33"/>
      <c r="J412" s="33"/>
      <c r="K412" s="33"/>
      <c r="L412" s="561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44"/>
      <c r="AP412" s="37"/>
      <c r="AQ412" s="44"/>
      <c r="AR412" s="57"/>
      <c r="AS412" s="56">
        <f>Tabela4[[#This Row],[Total R$]]-Tabela4[[#This Row],[Total Pago]]</f>
        <v>0</v>
      </c>
      <c r="AT412" s="36"/>
    </row>
    <row r="413" spans="1:75" x14ac:dyDescent="0.25">
      <c r="B413" s="44"/>
      <c r="D413" s="349"/>
      <c r="E413" s="33"/>
      <c r="F413" s="33"/>
      <c r="G413" s="33"/>
      <c r="H413" s="33"/>
      <c r="I413" s="33"/>
      <c r="J413" s="33"/>
      <c r="K413" s="33"/>
      <c r="L413" s="561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44"/>
      <c r="AP413" s="37"/>
      <c r="AQ413" s="44"/>
      <c r="AR413" s="97"/>
      <c r="AS413" s="56">
        <f>Tabela4[[#This Row],[Total R$]]-Tabela4[[#This Row],[Total Pago]]</f>
        <v>0</v>
      </c>
      <c r="AT413" s="36"/>
    </row>
    <row r="414" spans="1:75" x14ac:dyDescent="0.25">
      <c r="B414" s="44"/>
      <c r="D414" s="349"/>
      <c r="E414" s="33"/>
      <c r="F414" s="33"/>
      <c r="G414" s="33"/>
      <c r="H414" s="33"/>
      <c r="I414" s="33"/>
      <c r="J414" s="33"/>
      <c r="K414" s="33"/>
      <c r="L414" s="561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44"/>
      <c r="AP414" s="37"/>
      <c r="AQ414" s="44"/>
      <c r="AR414" s="97"/>
      <c r="AS414" s="56">
        <f>Tabela4[[#This Row],[Total R$]]-Tabela4[[#This Row],[Total Pago]]</f>
        <v>0</v>
      </c>
      <c r="AT414" s="36"/>
    </row>
    <row r="415" spans="1:75" s="102" customFormat="1" x14ac:dyDescent="0.25">
      <c r="A415" s="27"/>
      <c r="B415" s="44"/>
      <c r="C415" s="27"/>
      <c r="D415" s="349"/>
      <c r="E415" s="33"/>
      <c r="F415" s="33"/>
      <c r="G415" s="33"/>
      <c r="H415" s="33"/>
      <c r="I415" s="33"/>
      <c r="J415" s="33"/>
      <c r="K415" s="33"/>
      <c r="L415" s="561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44"/>
      <c r="AP415" s="37"/>
      <c r="AQ415" s="44"/>
      <c r="AR415" s="97"/>
      <c r="AS415" s="56">
        <f>Tabela4[[#This Row],[Total R$]]-Tabela4[[#This Row],[Total Pago]]</f>
        <v>0</v>
      </c>
      <c r="AT415" s="36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</row>
    <row r="416" spans="1:75" x14ac:dyDescent="0.25">
      <c r="B416" s="44"/>
      <c r="D416" s="349"/>
      <c r="E416" s="33"/>
      <c r="F416" s="33"/>
      <c r="G416" s="33"/>
      <c r="H416" s="33"/>
      <c r="I416" s="33"/>
      <c r="J416" s="33"/>
      <c r="K416" s="33"/>
      <c r="L416" s="561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44"/>
      <c r="AP416" s="37"/>
      <c r="AQ416" s="44"/>
      <c r="AR416" s="57"/>
      <c r="AS416" s="56">
        <f>Tabela4[[#This Row],[Total R$]]-Tabela4[[#This Row],[Total Pago]]</f>
        <v>0</v>
      </c>
      <c r="AT416" s="36"/>
    </row>
    <row r="417" spans="1:75" s="102" customFormat="1" x14ac:dyDescent="0.25">
      <c r="A417" s="27"/>
      <c r="B417" s="44"/>
      <c r="C417" s="27"/>
      <c r="D417" s="349"/>
      <c r="E417" s="33"/>
      <c r="F417" s="33"/>
      <c r="G417" s="33"/>
      <c r="H417" s="33"/>
      <c r="I417" s="33"/>
      <c r="J417" s="33"/>
      <c r="K417" s="33"/>
      <c r="L417" s="561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44"/>
      <c r="AP417" s="37"/>
      <c r="AQ417" s="44"/>
      <c r="AR417" s="57"/>
      <c r="AS417" s="56">
        <f>Tabela4[[#This Row],[Total R$]]-Tabela4[[#This Row],[Total Pago]]</f>
        <v>0</v>
      </c>
      <c r="AT417" s="36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</row>
    <row r="418" spans="1:75" s="102" customFormat="1" x14ac:dyDescent="0.25">
      <c r="A418" s="27"/>
      <c r="B418" s="44"/>
      <c r="C418" s="27"/>
      <c r="D418" s="349"/>
      <c r="E418" s="33"/>
      <c r="F418" s="33"/>
      <c r="G418" s="33"/>
      <c r="H418" s="33"/>
      <c r="I418" s="33"/>
      <c r="J418" s="33"/>
      <c r="K418" s="33"/>
      <c r="L418" s="561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44"/>
      <c r="AP418" s="37"/>
      <c r="AQ418" s="44"/>
      <c r="AR418" s="57"/>
      <c r="AS418" s="56">
        <f>Tabela4[[#This Row],[Total R$]]-Tabela4[[#This Row],[Total Pago]]</f>
        <v>0</v>
      </c>
      <c r="AT418" s="36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</row>
    <row r="419" spans="1:75" x14ac:dyDescent="0.25">
      <c r="B419" s="44"/>
      <c r="D419" s="349"/>
      <c r="E419" s="33"/>
      <c r="F419" s="33"/>
      <c r="G419" s="33"/>
      <c r="H419" s="33"/>
      <c r="I419" s="33"/>
      <c r="J419" s="33"/>
      <c r="K419" s="33"/>
      <c r="L419" s="561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44"/>
      <c r="AP419" s="37"/>
      <c r="AQ419" s="44"/>
      <c r="AR419" s="57"/>
      <c r="AS419" s="56">
        <f>Tabela4[[#This Row],[Total R$]]-Tabela4[[#This Row],[Total Pago]]</f>
        <v>0</v>
      </c>
      <c r="AT419" s="36"/>
    </row>
    <row r="420" spans="1:75" s="102" customFormat="1" x14ac:dyDescent="0.25">
      <c r="A420" s="27"/>
      <c r="B420" s="44"/>
      <c r="C420" s="27"/>
      <c r="D420" s="349"/>
      <c r="E420" s="33"/>
      <c r="F420" s="33"/>
      <c r="G420" s="33"/>
      <c r="H420" s="33"/>
      <c r="I420" s="33"/>
      <c r="J420" s="33"/>
      <c r="K420" s="33"/>
      <c r="L420" s="561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44"/>
      <c r="AP420" s="37"/>
      <c r="AQ420" s="44"/>
      <c r="AR420" s="57"/>
      <c r="AS420" s="56">
        <f>Tabela4[[#This Row],[Total R$]]-Tabela4[[#This Row],[Total Pago]]</f>
        <v>0</v>
      </c>
      <c r="AT420" s="36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</row>
    <row r="421" spans="1:75" x14ac:dyDescent="0.25">
      <c r="B421" s="44"/>
      <c r="D421" s="349"/>
      <c r="E421" s="33"/>
      <c r="F421" s="33"/>
      <c r="G421" s="33"/>
      <c r="H421" s="33"/>
      <c r="I421" s="33"/>
      <c r="J421" s="33"/>
      <c r="K421" s="33"/>
      <c r="L421" s="561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44"/>
      <c r="AP421" s="37"/>
      <c r="AQ421" s="44"/>
      <c r="AR421" s="57"/>
      <c r="AS421" s="56">
        <f>Tabela4[[#This Row],[Total R$]]-Tabela4[[#This Row],[Total Pago]]</f>
        <v>0</v>
      </c>
      <c r="AT421" s="36"/>
    </row>
    <row r="422" spans="1:75" x14ac:dyDescent="0.25">
      <c r="B422" s="44"/>
      <c r="D422" s="349"/>
      <c r="E422" s="33"/>
      <c r="F422" s="33"/>
      <c r="G422" s="33"/>
      <c r="H422" s="33"/>
      <c r="I422" s="33"/>
      <c r="J422" s="33"/>
      <c r="K422" s="33"/>
      <c r="L422" s="561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44"/>
      <c r="AP422" s="37"/>
      <c r="AQ422" s="44"/>
      <c r="AR422" s="57"/>
      <c r="AS422" s="56">
        <f>Tabela4[[#This Row],[Total R$]]-Tabela4[[#This Row],[Total Pago]]</f>
        <v>0</v>
      </c>
      <c r="AT422" s="36"/>
    </row>
    <row r="423" spans="1:75" x14ac:dyDescent="0.25">
      <c r="B423" s="44"/>
      <c r="D423" s="349"/>
      <c r="E423" s="33"/>
      <c r="F423" s="33"/>
      <c r="G423" s="33"/>
      <c r="H423" s="33"/>
      <c r="I423" s="33"/>
      <c r="J423" s="33"/>
      <c r="K423" s="33"/>
      <c r="L423" s="561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44"/>
      <c r="AP423" s="37"/>
      <c r="AQ423" s="44"/>
      <c r="AR423" s="57"/>
      <c r="AS423" s="56">
        <f>Tabela4[[#This Row],[Total R$]]-Tabela4[[#This Row],[Total Pago]]</f>
        <v>0</v>
      </c>
      <c r="AT423" s="36"/>
    </row>
    <row r="424" spans="1:75" x14ac:dyDescent="0.25">
      <c r="B424" s="44"/>
      <c r="D424" s="349"/>
      <c r="E424" s="33"/>
      <c r="F424" s="33"/>
      <c r="G424" s="33"/>
      <c r="H424" s="33"/>
      <c r="I424" s="33"/>
      <c r="J424" s="33"/>
      <c r="K424" s="33"/>
      <c r="L424" s="561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44"/>
      <c r="AP424" s="37"/>
      <c r="AQ424" s="44"/>
      <c r="AR424" s="57"/>
      <c r="AS424" s="56">
        <f>Tabela4[[#This Row],[Total R$]]-Tabela4[[#This Row],[Total Pago]]</f>
        <v>0</v>
      </c>
      <c r="AT424" s="36"/>
    </row>
    <row r="425" spans="1:75" x14ac:dyDescent="0.25">
      <c r="B425" s="44"/>
      <c r="D425" s="349"/>
      <c r="E425" s="33"/>
      <c r="F425" s="33"/>
      <c r="G425" s="33"/>
      <c r="H425" s="33"/>
      <c r="I425" s="33"/>
      <c r="J425" s="33"/>
      <c r="K425" s="33"/>
      <c r="L425" s="561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44"/>
      <c r="AP425" s="37"/>
      <c r="AQ425" s="44"/>
      <c r="AR425" s="57"/>
      <c r="AS425" s="56">
        <f>Tabela4[[#This Row],[Total R$]]-Tabela4[[#This Row],[Total Pago]]</f>
        <v>0</v>
      </c>
      <c r="AT425" s="36"/>
    </row>
    <row r="426" spans="1:75" x14ac:dyDescent="0.25">
      <c r="B426" s="44"/>
      <c r="D426" s="349"/>
      <c r="E426" s="33"/>
      <c r="F426" s="33"/>
      <c r="G426" s="33"/>
      <c r="H426" s="33"/>
      <c r="I426" s="33"/>
      <c r="J426" s="33"/>
      <c r="K426" s="33"/>
      <c r="L426" s="561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44"/>
      <c r="AP426" s="37"/>
      <c r="AQ426" s="44"/>
      <c r="AR426" s="57"/>
      <c r="AS426" s="56">
        <f>Tabela4[[#This Row],[Total R$]]-Tabela4[[#This Row],[Total Pago]]</f>
        <v>0</v>
      </c>
      <c r="AT426" s="36"/>
    </row>
    <row r="427" spans="1:75" x14ac:dyDescent="0.25">
      <c r="B427" s="44"/>
      <c r="D427" s="349"/>
      <c r="E427" s="33"/>
      <c r="F427" s="33"/>
      <c r="G427" s="33"/>
      <c r="H427" s="33"/>
      <c r="I427" s="33"/>
      <c r="J427" s="33"/>
      <c r="K427" s="33"/>
      <c r="L427" s="561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44"/>
      <c r="AP427" s="37"/>
      <c r="AQ427" s="44"/>
      <c r="AR427" s="57"/>
      <c r="AS427" s="56">
        <f>Tabela4[[#This Row],[Total R$]]-Tabela4[[#This Row],[Total Pago]]</f>
        <v>0</v>
      </c>
      <c r="AT427" s="36"/>
    </row>
    <row r="428" spans="1:75" x14ac:dyDescent="0.25">
      <c r="B428" s="44"/>
      <c r="D428" s="349"/>
      <c r="E428" s="33"/>
      <c r="F428" s="33"/>
      <c r="G428" s="33"/>
      <c r="H428" s="33"/>
      <c r="I428" s="33"/>
      <c r="J428" s="33"/>
      <c r="K428" s="33"/>
      <c r="L428" s="561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44"/>
      <c r="AP428" s="37"/>
      <c r="AQ428" s="44"/>
      <c r="AR428" s="57"/>
      <c r="AS428" s="56">
        <f>Tabela4[[#This Row],[Total R$]]-Tabela4[[#This Row],[Total Pago]]</f>
        <v>0</v>
      </c>
      <c r="AT428" s="36"/>
    </row>
    <row r="429" spans="1:75" x14ac:dyDescent="0.25">
      <c r="B429" s="44"/>
      <c r="D429" s="349"/>
      <c r="E429" s="33"/>
      <c r="F429" s="33"/>
      <c r="G429" s="33"/>
      <c r="H429" s="33"/>
      <c r="I429" s="33"/>
      <c r="J429" s="33"/>
      <c r="K429" s="33"/>
      <c r="L429" s="561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44"/>
      <c r="AP429" s="37"/>
      <c r="AQ429" s="44"/>
      <c r="AR429" s="57"/>
      <c r="AS429" s="56">
        <f>Tabela4[[#This Row],[Total R$]]-Tabela4[[#This Row],[Total Pago]]</f>
        <v>0</v>
      </c>
      <c r="AT429" s="36"/>
    </row>
    <row r="430" spans="1:75" x14ac:dyDescent="0.25">
      <c r="B430" s="44"/>
      <c r="D430" s="349"/>
      <c r="E430" s="33"/>
      <c r="F430" s="33"/>
      <c r="G430" s="33"/>
      <c r="H430" s="33"/>
      <c r="I430" s="33"/>
      <c r="J430" s="33"/>
      <c r="K430" s="33"/>
      <c r="L430" s="561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44"/>
      <c r="AP430" s="37"/>
      <c r="AQ430" s="44"/>
      <c r="AR430" s="57"/>
      <c r="AS430" s="56">
        <f>Tabela4[[#This Row],[Total R$]]-Tabela4[[#This Row],[Total Pago]]</f>
        <v>0</v>
      </c>
      <c r="AT430" s="36"/>
    </row>
    <row r="431" spans="1:75" x14ac:dyDescent="0.25">
      <c r="B431" s="44"/>
      <c r="D431" s="349"/>
      <c r="E431" s="33"/>
      <c r="F431" s="33"/>
      <c r="G431" s="33"/>
      <c r="H431" s="33"/>
      <c r="I431" s="33"/>
      <c r="J431" s="33"/>
      <c r="K431" s="33"/>
      <c r="L431" s="561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44"/>
      <c r="AP431" s="37"/>
      <c r="AQ431" s="44"/>
      <c r="AR431" s="57"/>
      <c r="AS431" s="56">
        <f>Tabela4[[#This Row],[Total R$]]-Tabela4[[#This Row],[Total Pago]]</f>
        <v>0</v>
      </c>
      <c r="AT431" s="36"/>
    </row>
    <row r="432" spans="1:75" x14ac:dyDescent="0.25">
      <c r="B432" s="44"/>
      <c r="D432" s="349"/>
      <c r="E432" s="33"/>
      <c r="F432" s="33"/>
      <c r="G432" s="33"/>
      <c r="H432" s="33"/>
      <c r="I432" s="33"/>
      <c r="J432" s="33"/>
      <c r="K432" s="33"/>
      <c r="L432" s="561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44"/>
      <c r="AP432" s="37"/>
      <c r="AQ432" s="44"/>
      <c r="AR432" s="57"/>
      <c r="AS432" s="56">
        <f>Tabela4[[#This Row],[Total R$]]-Tabela4[[#This Row],[Total Pago]]</f>
        <v>0</v>
      </c>
      <c r="AT432" s="36"/>
    </row>
    <row r="433" spans="2:46" x14ac:dyDescent="0.25">
      <c r="B433" s="44"/>
      <c r="D433" s="349"/>
      <c r="E433" s="33"/>
      <c r="F433" s="33"/>
      <c r="G433" s="33"/>
      <c r="H433" s="33"/>
      <c r="I433" s="33"/>
      <c r="J433" s="33"/>
      <c r="K433" s="33"/>
      <c r="L433" s="561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44"/>
      <c r="AP433" s="37"/>
      <c r="AQ433" s="44"/>
      <c r="AR433" s="57"/>
      <c r="AS433" s="56">
        <f>Tabela4[[#This Row],[Total R$]]-Tabela4[[#This Row],[Total Pago]]</f>
        <v>0</v>
      </c>
      <c r="AT433" s="36"/>
    </row>
    <row r="434" spans="2:46" x14ac:dyDescent="0.25">
      <c r="B434" s="44"/>
      <c r="D434" s="349"/>
      <c r="E434" s="33"/>
      <c r="F434" s="33"/>
      <c r="G434" s="33"/>
      <c r="H434" s="33"/>
      <c r="I434" s="33"/>
      <c r="J434" s="33"/>
      <c r="K434" s="33"/>
      <c r="L434" s="561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44"/>
      <c r="AP434" s="37"/>
      <c r="AQ434" s="44"/>
      <c r="AR434" s="57"/>
      <c r="AS434" s="56">
        <f>Tabela4[[#This Row],[Total R$]]-Tabela4[[#This Row],[Total Pago]]</f>
        <v>0</v>
      </c>
      <c r="AT434" s="36"/>
    </row>
    <row r="435" spans="2:46" x14ac:dyDescent="0.25">
      <c r="B435" s="44"/>
      <c r="D435" s="349"/>
      <c r="E435" s="33"/>
      <c r="F435" s="33"/>
      <c r="G435" s="33"/>
      <c r="H435" s="33"/>
      <c r="I435" s="33"/>
      <c r="J435" s="33"/>
      <c r="K435" s="33"/>
      <c r="L435" s="561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44"/>
      <c r="AP435" s="37"/>
      <c r="AQ435" s="44"/>
      <c r="AR435" s="57"/>
      <c r="AS435" s="56">
        <f>Tabela4[[#This Row],[Total R$]]-Tabela4[[#This Row],[Total Pago]]</f>
        <v>0</v>
      </c>
      <c r="AT435" s="36"/>
    </row>
    <row r="436" spans="2:46" x14ac:dyDescent="0.25">
      <c r="B436" s="44"/>
      <c r="D436" s="349"/>
      <c r="E436" s="33"/>
      <c r="F436" s="33"/>
      <c r="G436" s="33"/>
      <c r="H436" s="33"/>
      <c r="I436" s="33"/>
      <c r="J436" s="33"/>
      <c r="K436" s="33"/>
      <c r="L436" s="561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44"/>
      <c r="AP436" s="37"/>
      <c r="AQ436" s="44"/>
      <c r="AR436" s="57"/>
      <c r="AS436" s="56">
        <f>Tabela4[[#This Row],[Total R$]]-Tabela4[[#This Row],[Total Pago]]</f>
        <v>0</v>
      </c>
      <c r="AT436" s="36"/>
    </row>
    <row r="437" spans="2:46" x14ac:dyDescent="0.25">
      <c r="B437" s="44"/>
      <c r="D437" s="349"/>
      <c r="E437" s="33"/>
      <c r="F437" s="33"/>
      <c r="G437" s="33"/>
      <c r="H437" s="33"/>
      <c r="I437" s="33"/>
      <c r="J437" s="33"/>
      <c r="K437" s="33"/>
      <c r="L437" s="561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44"/>
      <c r="AP437" s="37"/>
      <c r="AQ437" s="44"/>
      <c r="AR437" s="57"/>
      <c r="AS437" s="56">
        <f>Tabela4[[#This Row],[Total R$]]-Tabela4[[#This Row],[Total Pago]]</f>
        <v>0</v>
      </c>
      <c r="AT437" s="36"/>
    </row>
    <row r="438" spans="2:46" x14ac:dyDescent="0.25">
      <c r="B438" s="44"/>
      <c r="D438" s="349"/>
      <c r="E438" s="33"/>
      <c r="F438" s="33"/>
      <c r="G438" s="33"/>
      <c r="H438" s="33"/>
      <c r="I438" s="33"/>
      <c r="J438" s="33"/>
      <c r="K438" s="33"/>
      <c r="L438" s="561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44"/>
      <c r="AP438" s="37"/>
      <c r="AQ438" s="44"/>
      <c r="AR438" s="57"/>
      <c r="AS438" s="56">
        <f>Tabela4[[#This Row],[Total R$]]-Tabela4[[#This Row],[Total Pago]]</f>
        <v>0</v>
      </c>
      <c r="AT438" s="36"/>
    </row>
    <row r="439" spans="2:46" x14ac:dyDescent="0.25">
      <c r="B439" s="44"/>
      <c r="D439" s="349"/>
      <c r="E439" s="33"/>
      <c r="F439" s="33"/>
      <c r="G439" s="33"/>
      <c r="H439" s="33"/>
      <c r="I439" s="33"/>
      <c r="J439" s="33"/>
      <c r="K439" s="33"/>
      <c r="L439" s="561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44"/>
      <c r="AP439" s="37"/>
      <c r="AQ439" s="44"/>
      <c r="AR439" s="57"/>
      <c r="AS439" s="56">
        <f>Tabela4[[#This Row],[Total R$]]-Tabela4[[#This Row],[Total Pago]]</f>
        <v>0</v>
      </c>
      <c r="AT439" s="36"/>
    </row>
    <row r="440" spans="2:46" x14ac:dyDescent="0.25">
      <c r="B440" s="44"/>
      <c r="D440" s="349"/>
      <c r="E440" s="33"/>
      <c r="F440" s="33"/>
      <c r="G440" s="33"/>
      <c r="H440" s="33"/>
      <c r="I440" s="33"/>
      <c r="J440" s="33"/>
      <c r="K440" s="33"/>
      <c r="L440" s="561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44"/>
      <c r="AP440" s="37"/>
      <c r="AQ440" s="44"/>
      <c r="AR440" s="97"/>
      <c r="AS440" s="56">
        <f>Tabela4[[#This Row],[Total R$]]-Tabela4[[#This Row],[Total Pago]]</f>
        <v>0</v>
      </c>
      <c r="AT440" s="36"/>
    </row>
    <row r="441" spans="2:46" x14ac:dyDescent="0.25">
      <c r="B441" s="44"/>
      <c r="D441" s="349"/>
      <c r="E441" s="33"/>
      <c r="F441" s="33"/>
      <c r="G441" s="33"/>
      <c r="H441" s="33"/>
      <c r="I441" s="33"/>
      <c r="J441" s="33"/>
      <c r="K441" s="33"/>
      <c r="L441" s="561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44"/>
      <c r="AP441" s="37"/>
      <c r="AQ441" s="44"/>
      <c r="AR441" s="97"/>
      <c r="AS441" s="56">
        <f>Tabela4[[#This Row],[Total R$]]-Tabela4[[#This Row],[Total Pago]]</f>
        <v>0</v>
      </c>
      <c r="AT441" s="36"/>
    </row>
    <row r="442" spans="2:46" x14ac:dyDescent="0.25">
      <c r="B442" s="44"/>
      <c r="D442" s="349"/>
      <c r="E442" s="33"/>
      <c r="F442" s="33"/>
      <c r="G442" s="33"/>
      <c r="H442" s="33"/>
      <c r="I442" s="33"/>
      <c r="J442" s="33"/>
      <c r="K442" s="33"/>
      <c r="L442" s="561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44"/>
      <c r="AP442" s="37"/>
      <c r="AQ442" s="44"/>
      <c r="AR442" s="97"/>
      <c r="AS442" s="56">
        <f>Tabela4[[#This Row],[Total R$]]-Tabela4[[#This Row],[Total Pago]]</f>
        <v>0</v>
      </c>
      <c r="AT442" s="36"/>
    </row>
    <row r="443" spans="2:46" x14ac:dyDescent="0.25">
      <c r="B443" s="44"/>
      <c r="D443" s="349"/>
      <c r="E443" s="33"/>
      <c r="F443" s="33"/>
      <c r="G443" s="33"/>
      <c r="H443" s="33"/>
      <c r="I443" s="33"/>
      <c r="J443" s="33"/>
      <c r="K443" s="33"/>
      <c r="L443" s="561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44"/>
      <c r="AP443" s="37"/>
      <c r="AQ443" s="44"/>
      <c r="AR443" s="57"/>
      <c r="AS443" s="56">
        <f>Tabela4[[#This Row],[Total R$]]-Tabela4[[#This Row],[Total Pago]]</f>
        <v>0</v>
      </c>
      <c r="AT443" s="36"/>
    </row>
    <row r="444" spans="2:46" x14ac:dyDescent="0.25">
      <c r="B444" s="44"/>
      <c r="D444" s="349"/>
      <c r="E444" s="33"/>
      <c r="F444" s="33"/>
      <c r="G444" s="33"/>
      <c r="H444" s="33"/>
      <c r="I444" s="33"/>
      <c r="J444" s="33"/>
      <c r="K444" s="33"/>
      <c r="L444" s="561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44"/>
      <c r="AP444" s="37"/>
      <c r="AQ444" s="44"/>
      <c r="AR444" s="97"/>
      <c r="AS444" s="56">
        <f>Tabela4[[#This Row],[Total R$]]-Tabela4[[#This Row],[Total Pago]]</f>
        <v>0</v>
      </c>
      <c r="AT444" s="36"/>
    </row>
    <row r="445" spans="2:46" x14ac:dyDescent="0.25">
      <c r="B445" s="44"/>
      <c r="D445" s="349"/>
      <c r="E445" s="33"/>
      <c r="F445" s="33"/>
      <c r="G445" s="33"/>
      <c r="H445" s="33"/>
      <c r="I445" s="33"/>
      <c r="J445" s="33"/>
      <c r="K445" s="33"/>
      <c r="L445" s="561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44"/>
      <c r="AP445" s="37"/>
      <c r="AQ445" s="44"/>
      <c r="AR445" s="57"/>
      <c r="AS445" s="56">
        <f>Tabela4[[#This Row],[Total R$]]-Tabela4[[#This Row],[Total Pago]]</f>
        <v>0</v>
      </c>
      <c r="AT445" s="36"/>
    </row>
    <row r="446" spans="2:46" x14ac:dyDescent="0.25">
      <c r="B446" s="44"/>
      <c r="D446" s="349"/>
      <c r="E446" s="33"/>
      <c r="F446" s="33"/>
      <c r="G446" s="33"/>
      <c r="H446" s="33"/>
      <c r="I446" s="33"/>
      <c r="J446" s="33"/>
      <c r="K446" s="33"/>
      <c r="L446" s="561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44"/>
      <c r="AP446" s="37"/>
      <c r="AQ446" s="44"/>
      <c r="AR446" s="57"/>
      <c r="AS446" s="56">
        <f>Tabela4[[#This Row],[Total R$]]-Tabela4[[#This Row],[Total Pago]]</f>
        <v>0</v>
      </c>
      <c r="AT446" s="36"/>
    </row>
    <row r="447" spans="2:46" x14ac:dyDescent="0.25">
      <c r="B447" s="44"/>
      <c r="D447" s="349"/>
      <c r="E447" s="33"/>
      <c r="F447" s="33"/>
      <c r="G447" s="33"/>
      <c r="H447" s="33"/>
      <c r="I447" s="33"/>
      <c r="J447" s="33"/>
      <c r="K447" s="33"/>
      <c r="L447" s="561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44"/>
      <c r="AP447" s="37"/>
      <c r="AQ447" s="44"/>
      <c r="AR447" s="57"/>
      <c r="AS447" s="56">
        <f>Tabela4[[#This Row],[Total R$]]-Tabela4[[#This Row],[Total Pago]]</f>
        <v>0</v>
      </c>
      <c r="AT447" s="36"/>
    </row>
    <row r="448" spans="2:46" x14ac:dyDescent="0.25">
      <c r="B448" s="44"/>
      <c r="D448" s="349"/>
      <c r="E448" s="33"/>
      <c r="F448" s="33"/>
      <c r="G448" s="33"/>
      <c r="H448" s="33"/>
      <c r="I448" s="33"/>
      <c r="J448" s="33"/>
      <c r="K448" s="33"/>
      <c r="L448" s="561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44"/>
      <c r="AP448" s="37"/>
      <c r="AQ448" s="44"/>
      <c r="AR448" s="97"/>
      <c r="AS448" s="56">
        <f>Tabela4[[#This Row],[Total R$]]-Tabela4[[#This Row],[Total Pago]]</f>
        <v>0</v>
      </c>
      <c r="AT448" s="36"/>
    </row>
    <row r="449" spans="2:46" x14ac:dyDescent="0.25">
      <c r="B449" s="44"/>
      <c r="D449" s="349"/>
      <c r="E449" s="33"/>
      <c r="F449" s="33"/>
      <c r="G449" s="33"/>
      <c r="H449" s="33"/>
      <c r="I449" s="33"/>
      <c r="J449" s="33"/>
      <c r="K449" s="33"/>
      <c r="L449" s="561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44"/>
      <c r="AP449" s="37"/>
      <c r="AQ449" s="44"/>
      <c r="AR449" s="57"/>
      <c r="AS449" s="56">
        <f>Tabela4[[#This Row],[Total R$]]-Tabela4[[#This Row],[Total Pago]]</f>
        <v>0</v>
      </c>
      <c r="AT449" s="36"/>
    </row>
    <row r="450" spans="2:46" x14ac:dyDescent="0.25">
      <c r="B450" s="44"/>
      <c r="D450" s="349"/>
      <c r="E450" s="33"/>
      <c r="F450" s="33"/>
      <c r="G450" s="33"/>
      <c r="H450" s="33"/>
      <c r="I450" s="33"/>
      <c r="J450" s="33"/>
      <c r="K450" s="33"/>
      <c r="L450" s="561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44"/>
      <c r="AP450" s="37"/>
      <c r="AQ450" s="44"/>
      <c r="AR450" s="57"/>
      <c r="AS450" s="56">
        <f>Tabela4[[#This Row],[Total R$]]-Tabela4[[#This Row],[Total Pago]]</f>
        <v>0</v>
      </c>
      <c r="AT450" s="36"/>
    </row>
    <row r="451" spans="2:46" x14ac:dyDescent="0.25">
      <c r="B451" s="44"/>
      <c r="D451" s="349"/>
      <c r="E451" s="33"/>
      <c r="F451" s="33"/>
      <c r="G451" s="33"/>
      <c r="H451" s="33"/>
      <c r="I451" s="33"/>
      <c r="J451" s="33"/>
      <c r="K451" s="33"/>
      <c r="L451" s="561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44"/>
      <c r="AP451" s="37"/>
      <c r="AQ451" s="44"/>
      <c r="AR451" s="97"/>
      <c r="AS451" s="56">
        <f>Tabela4[[#This Row],[Total R$]]-Tabela4[[#This Row],[Total Pago]]</f>
        <v>0</v>
      </c>
      <c r="AT451" s="36"/>
    </row>
    <row r="452" spans="2:46" x14ac:dyDescent="0.25">
      <c r="B452" s="44"/>
      <c r="D452" s="349"/>
      <c r="E452" s="33"/>
      <c r="F452" s="33"/>
      <c r="G452" s="33"/>
      <c r="H452" s="33"/>
      <c r="I452" s="33"/>
      <c r="J452" s="33"/>
      <c r="K452" s="33"/>
      <c r="L452" s="561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44"/>
      <c r="AP452" s="37"/>
      <c r="AQ452" s="44"/>
      <c r="AR452" s="57"/>
      <c r="AS452" s="56">
        <f>Tabela4[[#This Row],[Total R$]]-Tabela4[[#This Row],[Total Pago]]</f>
        <v>0</v>
      </c>
      <c r="AT452" s="36"/>
    </row>
    <row r="453" spans="2:46" x14ac:dyDescent="0.25">
      <c r="B453" s="44"/>
      <c r="D453" s="349"/>
      <c r="E453" s="33"/>
      <c r="F453" s="33"/>
      <c r="G453" s="33"/>
      <c r="H453" s="33"/>
      <c r="I453" s="33"/>
      <c r="J453" s="33"/>
      <c r="K453" s="33"/>
      <c r="L453" s="561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44"/>
      <c r="AP453" s="37"/>
      <c r="AQ453" s="44"/>
      <c r="AR453" s="97"/>
      <c r="AS453" s="56">
        <f>Tabela4[[#This Row],[Total R$]]-Tabela4[[#This Row],[Total Pago]]</f>
        <v>0</v>
      </c>
      <c r="AT453" s="36"/>
    </row>
    <row r="454" spans="2:46" x14ac:dyDescent="0.25">
      <c r="B454" s="44"/>
      <c r="D454" s="349"/>
      <c r="E454" s="33"/>
      <c r="F454" s="33"/>
      <c r="G454" s="33"/>
      <c r="H454" s="33"/>
      <c r="I454" s="33"/>
      <c r="J454" s="33"/>
      <c r="K454" s="33"/>
      <c r="L454" s="561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44"/>
      <c r="AP454" s="37"/>
      <c r="AQ454" s="44"/>
      <c r="AR454" s="97"/>
      <c r="AS454" s="56">
        <f>Tabela4[[#This Row],[Total R$]]-Tabela4[[#This Row],[Total Pago]]</f>
        <v>0</v>
      </c>
      <c r="AT454" s="36"/>
    </row>
    <row r="455" spans="2:46" x14ac:dyDescent="0.25">
      <c r="B455" s="44"/>
      <c r="D455" s="349"/>
      <c r="E455" s="33"/>
      <c r="F455" s="33"/>
      <c r="G455" s="33"/>
      <c r="H455" s="33"/>
      <c r="I455" s="33"/>
      <c r="J455" s="33"/>
      <c r="K455" s="33"/>
      <c r="L455" s="561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44"/>
      <c r="AP455" s="37"/>
      <c r="AQ455" s="44"/>
      <c r="AR455" s="57"/>
      <c r="AS455" s="56">
        <f>Tabela4[[#This Row],[Total R$]]-Tabela4[[#This Row],[Total Pago]]</f>
        <v>0</v>
      </c>
      <c r="AT455" s="36"/>
    </row>
    <row r="456" spans="2:46" x14ac:dyDescent="0.25">
      <c r="B456" s="44"/>
      <c r="D456" s="349"/>
      <c r="E456" s="33"/>
      <c r="F456" s="33"/>
      <c r="G456" s="33"/>
      <c r="H456" s="33"/>
      <c r="I456" s="33"/>
      <c r="J456" s="33"/>
      <c r="K456" s="33"/>
      <c r="L456" s="561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44"/>
      <c r="AP456" s="37"/>
      <c r="AQ456" s="44"/>
      <c r="AR456" s="57"/>
      <c r="AS456" s="56">
        <f>Tabela4[[#This Row],[Total R$]]-Tabela4[[#This Row],[Total Pago]]</f>
        <v>0</v>
      </c>
      <c r="AT456" s="36"/>
    </row>
    <row r="457" spans="2:46" x14ac:dyDescent="0.25">
      <c r="B457" s="44"/>
      <c r="D457" s="349"/>
      <c r="E457" s="33"/>
      <c r="F457" s="33"/>
      <c r="G457" s="33"/>
      <c r="H457" s="33"/>
      <c r="I457" s="33"/>
      <c r="J457" s="33"/>
      <c r="K457" s="33"/>
      <c r="L457" s="561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44"/>
      <c r="AP457" s="37"/>
      <c r="AQ457" s="44"/>
      <c r="AR457" s="57"/>
      <c r="AS457" s="56">
        <f>Tabela4[[#This Row],[Total R$]]-Tabela4[[#This Row],[Total Pago]]</f>
        <v>0</v>
      </c>
      <c r="AT457" s="36"/>
    </row>
    <row r="458" spans="2:46" x14ac:dyDescent="0.25">
      <c r="B458" s="44"/>
      <c r="D458" s="349"/>
      <c r="E458" s="33"/>
      <c r="F458" s="33"/>
      <c r="G458" s="33"/>
      <c r="H458" s="33"/>
      <c r="I458" s="33"/>
      <c r="J458" s="33"/>
      <c r="K458" s="33"/>
      <c r="L458" s="561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44"/>
      <c r="AP458" s="37"/>
      <c r="AQ458" s="44"/>
      <c r="AR458" s="57"/>
      <c r="AS458" s="56">
        <f>Tabela4[[#This Row],[Total R$]]-Tabela4[[#This Row],[Total Pago]]</f>
        <v>0</v>
      </c>
      <c r="AT458" s="36"/>
    </row>
    <row r="459" spans="2:46" x14ac:dyDescent="0.25">
      <c r="B459" s="44"/>
      <c r="D459" s="349"/>
      <c r="E459" s="33"/>
      <c r="F459" s="33"/>
      <c r="G459" s="33"/>
      <c r="H459" s="33"/>
      <c r="I459" s="33"/>
      <c r="J459" s="33"/>
      <c r="K459" s="33"/>
      <c r="L459" s="561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44"/>
      <c r="AP459" s="37"/>
      <c r="AQ459" s="44"/>
      <c r="AR459" s="97"/>
      <c r="AS459" s="56">
        <f>Tabela4[[#This Row],[Total R$]]-Tabela4[[#This Row],[Total Pago]]</f>
        <v>0</v>
      </c>
      <c r="AT459" s="36"/>
    </row>
    <row r="460" spans="2:46" x14ac:dyDescent="0.25">
      <c r="B460" s="44"/>
      <c r="D460" s="349"/>
      <c r="E460" s="33"/>
      <c r="F460" s="33"/>
      <c r="G460" s="33"/>
      <c r="H460" s="33"/>
      <c r="I460" s="33"/>
      <c r="J460" s="33"/>
      <c r="K460" s="33"/>
      <c r="L460" s="561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44"/>
      <c r="AP460" s="37"/>
      <c r="AQ460" s="44"/>
      <c r="AR460" s="57"/>
      <c r="AS460" s="56">
        <f>Tabela4[[#This Row],[Total R$]]-Tabela4[[#This Row],[Total Pago]]</f>
        <v>0</v>
      </c>
      <c r="AT460" s="36"/>
    </row>
    <row r="461" spans="2:46" x14ac:dyDescent="0.25">
      <c r="B461" s="44"/>
      <c r="D461" s="349"/>
      <c r="E461" s="33"/>
      <c r="F461" s="33"/>
      <c r="G461" s="33"/>
      <c r="H461" s="33"/>
      <c r="I461" s="33"/>
      <c r="J461" s="33"/>
      <c r="K461" s="33"/>
      <c r="L461" s="561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44"/>
      <c r="AP461" s="37"/>
      <c r="AQ461" s="44"/>
      <c r="AR461" s="57"/>
      <c r="AS461" s="56">
        <f>Tabela4[[#This Row],[Total R$]]-Tabela4[[#This Row],[Total Pago]]</f>
        <v>0</v>
      </c>
      <c r="AT461" s="36"/>
    </row>
    <row r="462" spans="2:46" x14ac:dyDescent="0.25">
      <c r="B462" s="44"/>
      <c r="D462" s="349"/>
      <c r="E462" s="33"/>
      <c r="F462" s="33"/>
      <c r="G462" s="33"/>
      <c r="H462" s="33"/>
      <c r="I462" s="33"/>
      <c r="J462" s="33"/>
      <c r="K462" s="33"/>
      <c r="L462" s="561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44"/>
      <c r="AP462" s="37"/>
      <c r="AQ462" s="44"/>
      <c r="AR462" s="57"/>
      <c r="AS462" s="56">
        <f>Tabela4[[#This Row],[Total R$]]-Tabela4[[#This Row],[Total Pago]]</f>
        <v>0</v>
      </c>
      <c r="AT462" s="36"/>
    </row>
    <row r="463" spans="2:46" x14ac:dyDescent="0.25">
      <c r="B463" s="44"/>
      <c r="D463" s="349"/>
      <c r="E463" s="33"/>
      <c r="F463" s="33"/>
      <c r="G463" s="33"/>
      <c r="H463" s="33"/>
      <c r="I463" s="33"/>
      <c r="J463" s="33"/>
      <c r="K463" s="33"/>
      <c r="L463" s="561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44"/>
      <c r="AP463" s="37"/>
      <c r="AQ463" s="44"/>
      <c r="AR463" s="57"/>
      <c r="AS463" s="56">
        <f>Tabela4[[#This Row],[Total R$]]-Tabela4[[#This Row],[Total Pago]]</f>
        <v>0</v>
      </c>
      <c r="AT463" s="36"/>
    </row>
    <row r="464" spans="2:46" x14ac:dyDescent="0.25">
      <c r="B464" s="44"/>
      <c r="D464" s="349"/>
      <c r="E464" s="33"/>
      <c r="F464" s="33"/>
      <c r="G464" s="33"/>
      <c r="H464" s="33"/>
      <c r="I464" s="33"/>
      <c r="J464" s="33"/>
      <c r="K464" s="33"/>
      <c r="L464" s="561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44"/>
      <c r="AP464" s="37"/>
      <c r="AQ464" s="44"/>
      <c r="AR464" s="57"/>
      <c r="AS464" s="56">
        <f>Tabela4[[#This Row],[Total R$]]-Tabela4[[#This Row],[Total Pago]]</f>
        <v>0</v>
      </c>
      <c r="AT464" s="36"/>
    </row>
    <row r="465" spans="2:46" x14ac:dyDescent="0.25">
      <c r="B465" s="44"/>
      <c r="D465" s="349"/>
      <c r="E465" s="33"/>
      <c r="F465" s="33"/>
      <c r="G465" s="33"/>
      <c r="H465" s="33"/>
      <c r="I465" s="33"/>
      <c r="J465" s="33"/>
      <c r="K465" s="33"/>
      <c r="L465" s="561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44"/>
      <c r="AP465" s="37"/>
      <c r="AQ465" s="44"/>
      <c r="AR465" s="57"/>
      <c r="AS465" s="56">
        <f>Tabela4[[#This Row],[Total R$]]-Tabela4[[#This Row],[Total Pago]]</f>
        <v>0</v>
      </c>
      <c r="AT465" s="36"/>
    </row>
    <row r="466" spans="2:46" x14ac:dyDescent="0.25">
      <c r="B466" s="44"/>
      <c r="D466" s="349"/>
      <c r="E466" s="33"/>
      <c r="F466" s="33"/>
      <c r="G466" s="33"/>
      <c r="H466" s="33"/>
      <c r="I466" s="33"/>
      <c r="J466" s="33"/>
      <c r="K466" s="33"/>
      <c r="L466" s="561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44"/>
      <c r="AP466" s="37"/>
      <c r="AQ466" s="44"/>
      <c r="AR466" s="57"/>
      <c r="AS466" s="56">
        <f>Tabela4[[#This Row],[Total R$]]-Tabela4[[#This Row],[Total Pago]]</f>
        <v>0</v>
      </c>
      <c r="AT466" s="36"/>
    </row>
    <row r="467" spans="2:46" x14ac:dyDescent="0.25">
      <c r="B467" s="44"/>
      <c r="D467" s="349"/>
      <c r="E467" s="33"/>
      <c r="F467" s="33"/>
      <c r="G467" s="33"/>
      <c r="H467" s="33"/>
      <c r="I467" s="33"/>
      <c r="J467" s="33"/>
      <c r="K467" s="33"/>
      <c r="L467" s="561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44"/>
      <c r="AP467" s="37"/>
      <c r="AQ467" s="44"/>
      <c r="AR467" s="57"/>
      <c r="AS467" s="56">
        <f>Tabela4[[#This Row],[Total R$]]-Tabela4[[#This Row],[Total Pago]]</f>
        <v>0</v>
      </c>
      <c r="AT467" s="36"/>
    </row>
    <row r="468" spans="2:46" x14ac:dyDescent="0.25">
      <c r="B468" s="44"/>
      <c r="D468" s="349"/>
      <c r="E468" s="33"/>
      <c r="F468" s="33"/>
      <c r="G468" s="33"/>
      <c r="H468" s="33"/>
      <c r="I468" s="33"/>
      <c r="J468" s="33"/>
      <c r="K468" s="33"/>
      <c r="L468" s="561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44"/>
      <c r="AP468" s="37"/>
      <c r="AQ468" s="44"/>
      <c r="AR468" s="57"/>
      <c r="AS468" s="56">
        <f>Tabela4[[#This Row],[Total R$]]-Tabela4[[#This Row],[Total Pago]]</f>
        <v>0</v>
      </c>
      <c r="AT468" s="36"/>
    </row>
    <row r="469" spans="2:46" x14ac:dyDescent="0.25">
      <c r="B469" s="44"/>
      <c r="D469" s="349"/>
      <c r="E469" s="33"/>
      <c r="F469" s="33"/>
      <c r="G469" s="33"/>
      <c r="H469" s="33"/>
      <c r="I469" s="33"/>
      <c r="J469" s="33"/>
      <c r="K469" s="33"/>
      <c r="L469" s="561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44"/>
      <c r="AP469" s="37"/>
      <c r="AQ469" s="44"/>
      <c r="AR469" s="57"/>
      <c r="AS469" s="56">
        <f>Tabela4[[#This Row],[Total R$]]-Tabela4[[#This Row],[Total Pago]]</f>
        <v>0</v>
      </c>
      <c r="AT469" s="36"/>
    </row>
    <row r="470" spans="2:46" x14ac:dyDescent="0.25">
      <c r="B470" s="44"/>
      <c r="D470" s="349"/>
      <c r="E470" s="33"/>
      <c r="F470" s="33"/>
      <c r="G470" s="33"/>
      <c r="H470" s="33"/>
      <c r="I470" s="33"/>
      <c r="J470" s="33"/>
      <c r="K470" s="33"/>
      <c r="L470" s="561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44"/>
      <c r="AP470" s="37"/>
      <c r="AQ470" s="44"/>
      <c r="AR470" s="57"/>
      <c r="AS470" s="56">
        <f>Tabela4[[#This Row],[Total R$]]-Tabela4[[#This Row],[Total Pago]]</f>
        <v>0</v>
      </c>
      <c r="AT470" s="36"/>
    </row>
    <row r="471" spans="2:46" x14ac:dyDescent="0.25">
      <c r="B471" s="44"/>
      <c r="D471" s="349"/>
      <c r="E471" s="33"/>
      <c r="F471" s="33"/>
      <c r="G471" s="33"/>
      <c r="H471" s="33"/>
      <c r="I471" s="33"/>
      <c r="J471" s="33"/>
      <c r="K471" s="33"/>
      <c r="L471" s="561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44"/>
      <c r="AP471" s="37"/>
      <c r="AQ471" s="44"/>
      <c r="AR471" s="57"/>
      <c r="AS471" s="56">
        <f>Tabela4[[#This Row],[Total R$]]-Tabela4[[#This Row],[Total Pago]]</f>
        <v>0</v>
      </c>
      <c r="AT471" s="36"/>
    </row>
    <row r="472" spans="2:46" x14ac:dyDescent="0.25">
      <c r="B472" s="44"/>
      <c r="D472" s="349"/>
      <c r="E472" s="33"/>
      <c r="F472" s="33"/>
      <c r="G472" s="33"/>
      <c r="H472" s="33"/>
      <c r="I472" s="33"/>
      <c r="J472" s="33"/>
      <c r="K472" s="33"/>
      <c r="L472" s="561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44"/>
      <c r="AP472" s="37"/>
      <c r="AQ472" s="44"/>
      <c r="AR472" s="57"/>
      <c r="AS472" s="56">
        <f>Tabela4[[#This Row],[Total R$]]-Tabela4[[#This Row],[Total Pago]]</f>
        <v>0</v>
      </c>
      <c r="AT472" s="36"/>
    </row>
    <row r="473" spans="2:46" x14ac:dyDescent="0.25">
      <c r="B473" s="44"/>
      <c r="D473" s="349"/>
      <c r="E473" s="33"/>
      <c r="F473" s="33"/>
      <c r="G473" s="33"/>
      <c r="H473" s="33"/>
      <c r="I473" s="33"/>
      <c r="J473" s="33"/>
      <c r="K473" s="33"/>
      <c r="L473" s="561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44"/>
      <c r="AP473" s="37"/>
      <c r="AQ473" s="44"/>
      <c r="AR473" s="57"/>
      <c r="AS473" s="56">
        <f>Tabela4[[#This Row],[Total R$]]-Tabela4[[#This Row],[Total Pago]]</f>
        <v>0</v>
      </c>
      <c r="AT473" s="36"/>
    </row>
    <row r="474" spans="2:46" x14ac:dyDescent="0.25">
      <c r="B474" s="44"/>
      <c r="D474" s="349"/>
      <c r="E474" s="33"/>
      <c r="F474" s="33"/>
      <c r="G474" s="33"/>
      <c r="H474" s="33"/>
      <c r="I474" s="33"/>
      <c r="J474" s="33"/>
      <c r="K474" s="33"/>
      <c r="L474" s="561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44"/>
      <c r="AP474" s="37"/>
      <c r="AQ474" s="44"/>
      <c r="AR474" s="57"/>
      <c r="AS474" s="56">
        <f>Tabela4[[#This Row],[Total R$]]-Tabela4[[#This Row],[Total Pago]]</f>
        <v>0</v>
      </c>
      <c r="AT474" s="36"/>
    </row>
    <row r="475" spans="2:46" x14ac:dyDescent="0.25">
      <c r="B475" s="44"/>
      <c r="D475" s="349"/>
      <c r="E475" s="33"/>
      <c r="F475" s="33"/>
      <c r="G475" s="33"/>
      <c r="H475" s="33"/>
      <c r="I475" s="33"/>
      <c r="J475" s="33"/>
      <c r="K475" s="33"/>
      <c r="L475" s="561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44"/>
      <c r="AP475" s="37"/>
      <c r="AQ475" s="44"/>
      <c r="AR475" s="57"/>
      <c r="AS475" s="56">
        <f>Tabela4[[#This Row],[Total R$]]-Tabela4[[#This Row],[Total Pago]]</f>
        <v>0</v>
      </c>
      <c r="AT475" s="36"/>
    </row>
    <row r="476" spans="2:46" x14ac:dyDescent="0.25">
      <c r="B476" s="44"/>
      <c r="D476" s="349"/>
      <c r="E476" s="33"/>
      <c r="F476" s="33"/>
      <c r="G476" s="33"/>
      <c r="H476" s="33"/>
      <c r="I476" s="33"/>
      <c r="J476" s="33"/>
      <c r="K476" s="33"/>
      <c r="L476" s="561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44"/>
      <c r="AP476" s="37"/>
      <c r="AQ476" s="44"/>
      <c r="AR476" s="57"/>
      <c r="AS476" s="56">
        <f>Tabela4[[#This Row],[Total R$]]-Tabela4[[#This Row],[Total Pago]]</f>
        <v>0</v>
      </c>
      <c r="AT476" s="36"/>
    </row>
    <row r="477" spans="2:46" x14ac:dyDescent="0.25">
      <c r="B477" s="44"/>
      <c r="D477" s="349"/>
      <c r="E477" s="33"/>
      <c r="F477" s="33"/>
      <c r="G477" s="33"/>
      <c r="H477" s="33"/>
      <c r="I477" s="33"/>
      <c r="J477" s="33"/>
      <c r="K477" s="33"/>
      <c r="L477" s="561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44"/>
      <c r="AP477" s="37"/>
      <c r="AQ477" s="44"/>
      <c r="AR477" s="57"/>
      <c r="AS477" s="56">
        <f>Tabela4[[#This Row],[Total R$]]-Tabela4[[#This Row],[Total Pago]]</f>
        <v>0</v>
      </c>
      <c r="AT477" s="36"/>
    </row>
    <row r="478" spans="2:46" x14ac:dyDescent="0.25">
      <c r="B478" s="44"/>
      <c r="D478" s="349"/>
      <c r="E478" s="33"/>
      <c r="F478" s="33"/>
      <c r="G478" s="33"/>
      <c r="H478" s="33"/>
      <c r="I478" s="33"/>
      <c r="J478" s="33"/>
      <c r="K478" s="33"/>
      <c r="L478" s="561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44"/>
      <c r="AP478" s="37"/>
      <c r="AQ478" s="44"/>
      <c r="AR478" s="57"/>
      <c r="AS478" s="56">
        <f>Tabela4[[#This Row],[Total R$]]-Tabela4[[#This Row],[Total Pago]]</f>
        <v>0</v>
      </c>
      <c r="AT478" s="36"/>
    </row>
    <row r="479" spans="2:46" x14ac:dyDescent="0.25">
      <c r="B479" s="44"/>
      <c r="D479" s="349"/>
      <c r="E479" s="33"/>
      <c r="F479" s="33"/>
      <c r="G479" s="33"/>
      <c r="H479" s="33"/>
      <c r="I479" s="33"/>
      <c r="J479" s="33"/>
      <c r="K479" s="33"/>
      <c r="L479" s="561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44"/>
      <c r="AP479" s="37"/>
      <c r="AQ479" s="44"/>
      <c r="AR479" s="57"/>
      <c r="AS479" s="56">
        <f>Tabela4[[#This Row],[Total R$]]-Tabela4[[#This Row],[Total Pago]]</f>
        <v>0</v>
      </c>
      <c r="AT479" s="36"/>
    </row>
    <row r="480" spans="2:46" x14ac:dyDescent="0.25">
      <c r="B480" s="44"/>
      <c r="D480" s="349"/>
      <c r="E480" s="33"/>
      <c r="F480" s="33"/>
      <c r="G480" s="33"/>
      <c r="H480" s="33"/>
      <c r="I480" s="33"/>
      <c r="J480" s="33"/>
      <c r="K480" s="33"/>
      <c r="L480" s="561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44"/>
      <c r="AP480" s="37"/>
      <c r="AQ480" s="44"/>
      <c r="AR480" s="57"/>
      <c r="AS480" s="56">
        <f>Tabela4[[#This Row],[Total R$]]-Tabela4[[#This Row],[Total Pago]]</f>
        <v>0</v>
      </c>
      <c r="AT480" s="36"/>
    </row>
    <row r="481" spans="2:46" x14ac:dyDescent="0.25">
      <c r="B481" s="44"/>
      <c r="D481" s="349"/>
      <c r="E481" s="33"/>
      <c r="F481" s="33"/>
      <c r="G481" s="33"/>
      <c r="H481" s="33"/>
      <c r="I481" s="33"/>
      <c r="J481" s="33"/>
      <c r="K481" s="33"/>
      <c r="L481" s="561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44"/>
      <c r="AP481" s="37"/>
      <c r="AQ481" s="44"/>
      <c r="AR481" s="57"/>
      <c r="AS481" s="56">
        <f>Tabela4[[#This Row],[Total R$]]-Tabela4[[#This Row],[Total Pago]]</f>
        <v>0</v>
      </c>
      <c r="AT481" s="36"/>
    </row>
    <row r="482" spans="2:46" x14ac:dyDescent="0.25">
      <c r="B482" s="44"/>
      <c r="D482" s="349"/>
      <c r="E482" s="33"/>
      <c r="F482" s="33"/>
      <c r="G482" s="33"/>
      <c r="H482" s="33"/>
      <c r="I482" s="33"/>
      <c r="J482" s="33"/>
      <c r="K482" s="33"/>
      <c r="L482" s="561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44"/>
      <c r="AP482" s="37"/>
      <c r="AQ482" s="44"/>
      <c r="AR482" s="57"/>
      <c r="AS482" s="56">
        <f>Tabela4[[#This Row],[Total R$]]-Tabela4[[#This Row],[Total Pago]]</f>
        <v>0</v>
      </c>
      <c r="AT482" s="36"/>
    </row>
    <row r="483" spans="2:46" x14ac:dyDescent="0.25">
      <c r="B483" s="44"/>
      <c r="D483" s="349"/>
      <c r="E483" s="33"/>
      <c r="F483" s="33"/>
      <c r="G483" s="33"/>
      <c r="H483" s="33"/>
      <c r="I483" s="33"/>
      <c r="J483" s="33"/>
      <c r="K483" s="33"/>
      <c r="L483" s="561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44"/>
      <c r="AP483" s="37"/>
      <c r="AQ483" s="44"/>
      <c r="AR483" s="57"/>
      <c r="AS483" s="56">
        <f>Tabela4[[#This Row],[Total R$]]-Tabela4[[#This Row],[Total Pago]]</f>
        <v>0</v>
      </c>
      <c r="AT483" s="36"/>
    </row>
    <row r="484" spans="2:46" x14ac:dyDescent="0.25">
      <c r="B484" s="44"/>
      <c r="D484" s="349"/>
      <c r="E484" s="33"/>
      <c r="F484" s="33"/>
      <c r="G484" s="33"/>
      <c r="H484" s="33"/>
      <c r="I484" s="33"/>
      <c r="J484" s="33"/>
      <c r="K484" s="33"/>
      <c r="L484" s="561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44"/>
      <c r="AP484" s="37"/>
      <c r="AQ484" s="44"/>
      <c r="AR484" s="57"/>
      <c r="AS484" s="56">
        <f>Tabela4[[#This Row],[Total R$]]-Tabela4[[#This Row],[Total Pago]]</f>
        <v>0</v>
      </c>
      <c r="AT484" s="36"/>
    </row>
    <row r="485" spans="2:46" x14ac:dyDescent="0.25">
      <c r="B485" s="44"/>
      <c r="D485" s="349"/>
      <c r="E485" s="33"/>
      <c r="F485" s="33"/>
      <c r="G485" s="33"/>
      <c r="H485" s="33"/>
      <c r="I485" s="33"/>
      <c r="J485" s="33"/>
      <c r="K485" s="33"/>
      <c r="L485" s="561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44"/>
      <c r="AP485" s="37"/>
      <c r="AQ485" s="44"/>
      <c r="AR485" s="57"/>
      <c r="AS485" s="56">
        <f>Tabela4[[#This Row],[Total R$]]-Tabela4[[#This Row],[Total Pago]]</f>
        <v>0</v>
      </c>
      <c r="AT485" s="36"/>
    </row>
    <row r="486" spans="2:46" x14ac:dyDescent="0.25">
      <c r="B486" s="44"/>
      <c r="D486" s="349"/>
      <c r="E486" s="33"/>
      <c r="F486" s="33"/>
      <c r="G486" s="33"/>
      <c r="H486" s="33"/>
      <c r="I486" s="33"/>
      <c r="J486" s="33"/>
      <c r="K486" s="33"/>
      <c r="L486" s="561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44"/>
      <c r="AP486" s="37"/>
      <c r="AQ486" s="44"/>
      <c r="AR486" s="57"/>
      <c r="AS486" s="56">
        <f>Tabela4[[#This Row],[Total R$]]-Tabela4[[#This Row],[Total Pago]]</f>
        <v>0</v>
      </c>
      <c r="AT486" s="36"/>
    </row>
    <row r="487" spans="2:46" x14ac:dyDescent="0.25">
      <c r="B487" s="44"/>
      <c r="D487" s="349"/>
      <c r="E487" s="33"/>
      <c r="F487" s="33"/>
      <c r="G487" s="33"/>
      <c r="H487" s="33"/>
      <c r="I487" s="33"/>
      <c r="J487" s="33"/>
      <c r="K487" s="33"/>
      <c r="L487" s="561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44"/>
      <c r="AP487" s="37"/>
      <c r="AQ487" s="44"/>
      <c r="AR487" s="57"/>
      <c r="AS487" s="56">
        <f>Tabela4[[#This Row],[Total R$]]-Tabela4[[#This Row],[Total Pago]]</f>
        <v>0</v>
      </c>
      <c r="AT487" s="36"/>
    </row>
    <row r="488" spans="2:46" x14ac:dyDescent="0.25">
      <c r="B488" s="44"/>
      <c r="D488" s="349"/>
      <c r="E488" s="33"/>
      <c r="F488" s="33"/>
      <c r="G488" s="33"/>
      <c r="H488" s="33"/>
      <c r="I488" s="33"/>
      <c r="J488" s="33"/>
      <c r="K488" s="33"/>
      <c r="L488" s="561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44"/>
      <c r="AP488" s="37"/>
      <c r="AQ488" s="44"/>
      <c r="AR488" s="57"/>
      <c r="AS488" s="56">
        <f>Tabela4[[#This Row],[Total R$]]-Tabela4[[#This Row],[Total Pago]]</f>
        <v>0</v>
      </c>
      <c r="AT488" s="36"/>
    </row>
    <row r="489" spans="2:46" x14ac:dyDescent="0.25">
      <c r="B489" s="44"/>
      <c r="D489" s="349"/>
      <c r="E489" s="33"/>
      <c r="F489" s="33"/>
      <c r="G489" s="33"/>
      <c r="H489" s="33"/>
      <c r="I489" s="33"/>
      <c r="J489" s="33"/>
      <c r="K489" s="33"/>
      <c r="L489" s="561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44"/>
      <c r="AP489" s="37"/>
      <c r="AQ489" s="44"/>
      <c r="AR489" s="57"/>
      <c r="AS489" s="56">
        <f>Tabela4[[#This Row],[Total R$]]-Tabela4[[#This Row],[Total Pago]]</f>
        <v>0</v>
      </c>
      <c r="AT489" s="36"/>
    </row>
    <row r="490" spans="2:46" x14ac:dyDescent="0.25">
      <c r="B490" s="44"/>
      <c r="D490" s="349"/>
      <c r="E490" s="33"/>
      <c r="F490" s="33"/>
      <c r="G490" s="33"/>
      <c r="H490" s="33"/>
      <c r="I490" s="33"/>
      <c r="J490" s="33"/>
      <c r="K490" s="33"/>
      <c r="L490" s="561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44"/>
      <c r="AP490" s="37"/>
      <c r="AQ490" s="44"/>
      <c r="AR490" s="57"/>
      <c r="AS490" s="56">
        <f>Tabela4[[#This Row],[Total R$]]-Tabela4[[#This Row],[Total Pago]]</f>
        <v>0</v>
      </c>
      <c r="AT490" s="36"/>
    </row>
    <row r="491" spans="2:46" x14ac:dyDescent="0.25">
      <c r="B491" s="44"/>
      <c r="D491" s="349"/>
      <c r="E491" s="33"/>
      <c r="F491" s="33"/>
      <c r="G491" s="33"/>
      <c r="H491" s="33"/>
      <c r="I491" s="33"/>
      <c r="J491" s="33"/>
      <c r="K491" s="33"/>
      <c r="L491" s="561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44"/>
      <c r="AP491" s="37"/>
      <c r="AQ491" s="44"/>
      <c r="AR491" s="57"/>
      <c r="AS491" s="56">
        <f>Tabela4[[#This Row],[Total R$]]-Tabela4[[#This Row],[Total Pago]]</f>
        <v>0</v>
      </c>
      <c r="AT491" s="36"/>
    </row>
    <row r="492" spans="2:46" x14ac:dyDescent="0.25">
      <c r="B492" s="44"/>
      <c r="D492" s="349"/>
      <c r="E492" s="33"/>
      <c r="F492" s="33"/>
      <c r="G492" s="33"/>
      <c r="H492" s="33"/>
      <c r="I492" s="33"/>
      <c r="J492" s="33"/>
      <c r="K492" s="33"/>
      <c r="L492" s="561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44"/>
      <c r="AP492" s="37"/>
      <c r="AQ492" s="44"/>
      <c r="AR492" s="57"/>
      <c r="AS492" s="56">
        <f>Tabela4[[#This Row],[Total R$]]-Tabela4[[#This Row],[Total Pago]]</f>
        <v>0</v>
      </c>
      <c r="AT492" s="36"/>
    </row>
    <row r="493" spans="2:46" x14ac:dyDescent="0.25">
      <c r="B493" s="44"/>
      <c r="D493" s="349"/>
      <c r="E493" s="33"/>
      <c r="F493" s="33"/>
      <c r="G493" s="33"/>
      <c r="H493" s="33"/>
      <c r="I493" s="33"/>
      <c r="J493" s="33"/>
      <c r="K493" s="33"/>
      <c r="L493" s="561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44"/>
      <c r="AP493" s="37"/>
      <c r="AQ493" s="44"/>
      <c r="AR493" s="57"/>
      <c r="AS493" s="56">
        <f>Tabela4[[#This Row],[Total R$]]-Tabela4[[#This Row],[Total Pago]]</f>
        <v>0</v>
      </c>
      <c r="AT493" s="36"/>
    </row>
    <row r="494" spans="2:46" x14ac:dyDescent="0.25">
      <c r="B494" s="44"/>
      <c r="D494" s="349"/>
      <c r="E494" s="33"/>
      <c r="F494" s="33"/>
      <c r="G494" s="33"/>
      <c r="H494" s="33"/>
      <c r="I494" s="33"/>
      <c r="J494" s="33"/>
      <c r="K494" s="33"/>
      <c r="L494" s="561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44"/>
      <c r="AP494" s="37"/>
      <c r="AQ494" s="44"/>
      <c r="AR494" s="57"/>
      <c r="AS494" s="56">
        <f>Tabela4[[#This Row],[Total R$]]-Tabela4[[#This Row],[Total Pago]]</f>
        <v>0</v>
      </c>
      <c r="AT494" s="36"/>
    </row>
    <row r="495" spans="2:46" x14ac:dyDescent="0.25">
      <c r="B495" s="44"/>
      <c r="D495" s="349"/>
      <c r="E495" s="33"/>
      <c r="F495" s="33"/>
      <c r="G495" s="33"/>
      <c r="H495" s="33"/>
      <c r="I495" s="33"/>
      <c r="J495" s="33"/>
      <c r="K495" s="33"/>
      <c r="L495" s="561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44"/>
      <c r="AP495" s="37"/>
      <c r="AQ495" s="44"/>
      <c r="AR495" s="57"/>
      <c r="AS495" s="56">
        <f>Tabela4[[#This Row],[Total R$]]-Tabela4[[#This Row],[Total Pago]]</f>
        <v>0</v>
      </c>
      <c r="AT495" s="36"/>
    </row>
    <row r="496" spans="2:46" x14ac:dyDescent="0.25">
      <c r="B496" s="44"/>
      <c r="D496" s="349"/>
      <c r="E496" s="33"/>
      <c r="F496" s="33"/>
      <c r="G496" s="33"/>
      <c r="H496" s="33"/>
      <c r="I496" s="33"/>
      <c r="J496" s="33"/>
      <c r="K496" s="33"/>
      <c r="L496" s="561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44"/>
      <c r="AP496" s="37"/>
      <c r="AQ496" s="44"/>
      <c r="AR496" s="57"/>
      <c r="AS496" s="56">
        <f>Tabela4[[#This Row],[Total R$]]-Tabela4[[#This Row],[Total Pago]]</f>
        <v>0</v>
      </c>
      <c r="AT496" s="36"/>
    </row>
    <row r="497" spans="2:46" x14ac:dyDescent="0.25">
      <c r="B497" s="44"/>
      <c r="D497" s="349"/>
      <c r="E497" s="33"/>
      <c r="F497" s="33"/>
      <c r="G497" s="33"/>
      <c r="H497" s="33"/>
      <c r="I497" s="33"/>
      <c r="J497" s="33"/>
      <c r="K497" s="33"/>
      <c r="L497" s="561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44"/>
      <c r="AP497" s="37"/>
      <c r="AQ497" s="44"/>
      <c r="AR497" s="57"/>
      <c r="AS497" s="56">
        <f>Tabela4[[#This Row],[Total R$]]-Tabela4[[#This Row],[Total Pago]]</f>
        <v>0</v>
      </c>
      <c r="AT497" s="36"/>
    </row>
    <row r="498" spans="2:46" x14ac:dyDescent="0.25">
      <c r="B498" s="44"/>
      <c r="D498" s="349"/>
      <c r="E498" s="33"/>
      <c r="F498" s="33"/>
      <c r="G498" s="33"/>
      <c r="H498" s="33"/>
      <c r="I498" s="33"/>
      <c r="J498" s="33"/>
      <c r="K498" s="33"/>
      <c r="L498" s="561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44"/>
      <c r="AP498" s="37"/>
      <c r="AQ498" s="44"/>
      <c r="AR498" s="57"/>
      <c r="AS498" s="56">
        <f>Tabela4[[#This Row],[Total R$]]-Tabela4[[#This Row],[Total Pago]]</f>
        <v>0</v>
      </c>
      <c r="AT498" s="36"/>
    </row>
    <row r="499" spans="2:46" x14ac:dyDescent="0.25">
      <c r="B499" s="44"/>
      <c r="D499" s="349"/>
      <c r="E499" s="33"/>
      <c r="F499" s="33"/>
      <c r="G499" s="33"/>
      <c r="H499" s="33"/>
      <c r="I499" s="33"/>
      <c r="J499" s="33"/>
      <c r="K499" s="33"/>
      <c r="L499" s="561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44"/>
      <c r="AP499" s="37"/>
      <c r="AQ499" s="44"/>
      <c r="AR499" s="57"/>
      <c r="AS499" s="56">
        <f>Tabela4[[#This Row],[Total R$]]-Tabela4[[#This Row],[Total Pago]]</f>
        <v>0</v>
      </c>
      <c r="AT499" s="36"/>
    </row>
    <row r="500" spans="2:46" x14ac:dyDescent="0.25">
      <c r="B500" s="44"/>
      <c r="D500" s="349"/>
      <c r="E500" s="33"/>
      <c r="F500" s="33"/>
      <c r="G500" s="33"/>
      <c r="H500" s="33"/>
      <c r="I500" s="33"/>
      <c r="J500" s="33"/>
      <c r="K500" s="33"/>
      <c r="L500" s="561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44"/>
      <c r="AP500" s="37"/>
      <c r="AQ500" s="44"/>
      <c r="AR500" s="57"/>
      <c r="AS500" s="56">
        <f>Tabela4[[#This Row],[Total R$]]-Tabela4[[#This Row],[Total Pago]]</f>
        <v>0</v>
      </c>
      <c r="AT500" s="36"/>
    </row>
    <row r="501" spans="2:46" x14ac:dyDescent="0.25">
      <c r="B501" s="44"/>
      <c r="D501" s="349"/>
      <c r="E501" s="33"/>
      <c r="F501" s="33"/>
      <c r="G501" s="33"/>
      <c r="H501" s="33"/>
      <c r="I501" s="33"/>
      <c r="J501" s="33"/>
      <c r="K501" s="33"/>
      <c r="L501" s="561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44"/>
      <c r="AP501" s="37"/>
      <c r="AQ501" s="44"/>
      <c r="AR501" s="57"/>
      <c r="AS501" s="56">
        <f>Tabela4[[#This Row],[Total R$]]-Tabela4[[#This Row],[Total Pago]]</f>
        <v>0</v>
      </c>
      <c r="AT501" s="36"/>
    </row>
    <row r="502" spans="2:46" x14ac:dyDescent="0.25">
      <c r="B502" s="44"/>
      <c r="D502" s="349"/>
      <c r="E502" s="33"/>
      <c r="F502" s="33"/>
      <c r="G502" s="33"/>
      <c r="H502" s="33"/>
      <c r="I502" s="33"/>
      <c r="J502" s="33"/>
      <c r="K502" s="33"/>
      <c r="L502" s="561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44"/>
      <c r="AP502" s="37"/>
      <c r="AQ502" s="44"/>
      <c r="AR502" s="57"/>
      <c r="AS502" s="56">
        <f>Tabela4[[#This Row],[Total R$]]-Tabela4[[#This Row],[Total Pago]]</f>
        <v>0</v>
      </c>
      <c r="AT502" s="36"/>
    </row>
    <row r="503" spans="2:46" x14ac:dyDescent="0.25">
      <c r="B503" s="44"/>
      <c r="D503" s="349"/>
      <c r="E503" s="33"/>
      <c r="F503" s="33"/>
      <c r="G503" s="33"/>
      <c r="H503" s="33"/>
      <c r="I503" s="33"/>
      <c r="J503" s="33"/>
      <c r="K503" s="33"/>
      <c r="L503" s="561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44"/>
      <c r="AP503" s="37"/>
      <c r="AQ503" s="44"/>
      <c r="AR503" s="57"/>
      <c r="AS503" s="56">
        <f>Tabela4[[#This Row],[Total R$]]-Tabela4[[#This Row],[Total Pago]]</f>
        <v>0</v>
      </c>
      <c r="AT503" s="36"/>
    </row>
    <row r="504" spans="2:46" x14ac:dyDescent="0.25">
      <c r="B504" s="44"/>
      <c r="D504" s="349"/>
      <c r="E504" s="33"/>
      <c r="F504" s="33"/>
      <c r="G504" s="33"/>
      <c r="H504" s="33"/>
      <c r="I504" s="33"/>
      <c r="J504" s="33"/>
      <c r="K504" s="33"/>
      <c r="L504" s="561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44"/>
      <c r="AP504" s="37"/>
      <c r="AQ504" s="44"/>
      <c r="AR504" s="57"/>
      <c r="AS504" s="56">
        <f>Tabela4[[#This Row],[Total R$]]-Tabela4[[#This Row],[Total Pago]]</f>
        <v>0</v>
      </c>
      <c r="AT504" s="36"/>
    </row>
    <row r="505" spans="2:46" x14ac:dyDescent="0.25">
      <c r="B505" s="44"/>
      <c r="D505" s="349"/>
      <c r="E505" s="33"/>
      <c r="F505" s="33"/>
      <c r="G505" s="33"/>
      <c r="H505" s="33"/>
      <c r="I505" s="33"/>
      <c r="J505" s="33"/>
      <c r="K505" s="33"/>
      <c r="L505" s="561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44"/>
      <c r="AP505" s="37"/>
      <c r="AQ505" s="44"/>
      <c r="AR505" s="57"/>
      <c r="AS505" s="56">
        <f>Tabela4[[#This Row],[Total R$]]-Tabela4[[#This Row],[Total Pago]]</f>
        <v>0</v>
      </c>
      <c r="AT505" s="36"/>
    </row>
    <row r="506" spans="2:46" x14ac:dyDescent="0.25">
      <c r="B506" s="44"/>
      <c r="D506" s="349"/>
      <c r="E506" s="33"/>
      <c r="F506" s="33"/>
      <c r="G506" s="33"/>
      <c r="H506" s="33"/>
      <c r="I506" s="33"/>
      <c r="J506" s="33"/>
      <c r="K506" s="33"/>
      <c r="L506" s="561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44"/>
      <c r="AP506" s="37"/>
      <c r="AQ506" s="44"/>
      <c r="AR506" s="57"/>
      <c r="AS506" s="56">
        <f>Tabela4[[#This Row],[Total R$]]-Tabela4[[#This Row],[Total Pago]]</f>
        <v>0</v>
      </c>
      <c r="AT506" s="36"/>
    </row>
    <row r="507" spans="2:46" x14ac:dyDescent="0.25">
      <c r="B507" s="44"/>
      <c r="D507" s="349"/>
      <c r="E507" s="33"/>
      <c r="F507" s="33"/>
      <c r="G507" s="33"/>
      <c r="H507" s="33"/>
      <c r="I507" s="33"/>
      <c r="J507" s="33"/>
      <c r="K507" s="33"/>
      <c r="L507" s="561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44"/>
      <c r="AP507" s="37"/>
      <c r="AQ507" s="44"/>
      <c r="AR507" s="57"/>
      <c r="AS507" s="56">
        <f>Tabela4[[#This Row],[Total R$]]-Tabela4[[#This Row],[Total Pago]]</f>
        <v>0</v>
      </c>
      <c r="AT507" s="36"/>
    </row>
    <row r="508" spans="2:46" x14ac:dyDescent="0.25">
      <c r="B508" s="44"/>
      <c r="D508" s="349"/>
      <c r="E508" s="33"/>
      <c r="F508" s="33"/>
      <c r="G508" s="33"/>
      <c r="H508" s="33"/>
      <c r="I508" s="33"/>
      <c r="J508" s="33"/>
      <c r="K508" s="33"/>
      <c r="L508" s="561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44"/>
      <c r="AP508" s="37"/>
      <c r="AQ508" s="44"/>
      <c r="AR508" s="57"/>
      <c r="AS508" s="56">
        <f>Tabela4[[#This Row],[Total R$]]-Tabela4[[#This Row],[Total Pago]]</f>
        <v>0</v>
      </c>
      <c r="AT508" s="36"/>
    </row>
    <row r="509" spans="2:46" x14ac:dyDescent="0.25">
      <c r="B509" s="44"/>
      <c r="D509" s="349"/>
      <c r="E509" s="33"/>
      <c r="F509" s="33"/>
      <c r="G509" s="33"/>
      <c r="H509" s="33"/>
      <c r="I509" s="33"/>
      <c r="J509" s="33"/>
      <c r="K509" s="33"/>
      <c r="L509" s="561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44"/>
      <c r="AP509" s="37"/>
      <c r="AQ509" s="44"/>
      <c r="AR509" s="57"/>
      <c r="AS509" s="56">
        <f>Tabela4[[#This Row],[Total R$]]-Tabela4[[#This Row],[Total Pago]]</f>
        <v>0</v>
      </c>
      <c r="AT509" s="36"/>
    </row>
    <row r="510" spans="2:46" x14ac:dyDescent="0.25">
      <c r="B510" s="44"/>
      <c r="D510" s="349"/>
      <c r="E510" s="33"/>
      <c r="F510" s="33"/>
      <c r="G510" s="33"/>
      <c r="H510" s="33"/>
      <c r="I510" s="33"/>
      <c r="J510" s="33"/>
      <c r="K510" s="33"/>
      <c r="L510" s="561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44"/>
      <c r="AP510" s="37"/>
      <c r="AQ510" s="44"/>
      <c r="AR510" s="57"/>
      <c r="AS510" s="56">
        <f>Tabela4[[#This Row],[Total R$]]-Tabela4[[#This Row],[Total Pago]]</f>
        <v>0</v>
      </c>
      <c r="AT510" s="36"/>
    </row>
    <row r="511" spans="2:46" x14ac:dyDescent="0.25">
      <c r="B511" s="44"/>
      <c r="D511" s="349"/>
      <c r="E511" s="33"/>
      <c r="F511" s="33"/>
      <c r="G511" s="33"/>
      <c r="H511" s="33"/>
      <c r="I511" s="33"/>
      <c r="J511" s="33"/>
      <c r="K511" s="33"/>
      <c r="L511" s="561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44"/>
      <c r="AP511" s="37"/>
      <c r="AQ511" s="44"/>
      <c r="AR511" s="57"/>
      <c r="AS511" s="56">
        <f>Tabela4[[#This Row],[Total R$]]-Tabela4[[#This Row],[Total Pago]]</f>
        <v>0</v>
      </c>
      <c r="AT511" s="36"/>
    </row>
    <row r="512" spans="2:46" x14ac:dyDescent="0.25">
      <c r="B512" s="44"/>
      <c r="D512" s="349"/>
      <c r="E512" s="33"/>
      <c r="F512" s="33"/>
      <c r="G512" s="33"/>
      <c r="H512" s="33"/>
      <c r="I512" s="33"/>
      <c r="J512" s="33"/>
      <c r="K512" s="33"/>
      <c r="L512" s="561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44"/>
      <c r="AP512" s="37"/>
      <c r="AQ512" s="44"/>
      <c r="AR512" s="57"/>
      <c r="AS512" s="56">
        <f>Tabela4[[#This Row],[Total R$]]-Tabela4[[#This Row],[Total Pago]]</f>
        <v>0</v>
      </c>
      <c r="AT512" s="36"/>
    </row>
    <row r="513" spans="2:46" x14ac:dyDescent="0.25">
      <c r="B513" s="44"/>
      <c r="D513" s="349"/>
      <c r="E513" s="33"/>
      <c r="F513" s="33"/>
      <c r="G513" s="33"/>
      <c r="H513" s="33"/>
      <c r="I513" s="33"/>
      <c r="J513" s="33"/>
      <c r="K513" s="33"/>
      <c r="L513" s="561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44"/>
      <c r="AP513" s="37"/>
      <c r="AQ513" s="44"/>
      <c r="AR513" s="57"/>
      <c r="AS513" s="56">
        <f>Tabela4[[#This Row],[Total R$]]-Tabela4[[#This Row],[Total Pago]]</f>
        <v>0</v>
      </c>
      <c r="AT513" s="36"/>
    </row>
    <row r="514" spans="2:46" x14ac:dyDescent="0.25">
      <c r="B514" s="44"/>
      <c r="D514" s="349"/>
      <c r="E514" s="33"/>
      <c r="F514" s="33"/>
      <c r="G514" s="33"/>
      <c r="H514" s="33"/>
      <c r="I514" s="33"/>
      <c r="J514" s="33"/>
      <c r="K514" s="33"/>
      <c r="L514" s="561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44"/>
      <c r="AP514" s="37"/>
      <c r="AQ514" s="44"/>
      <c r="AR514" s="57"/>
      <c r="AS514" s="56">
        <f>Tabela4[[#This Row],[Total R$]]-Tabela4[[#This Row],[Total Pago]]</f>
        <v>0</v>
      </c>
      <c r="AT514" s="36"/>
    </row>
    <row r="515" spans="2:46" x14ac:dyDescent="0.25">
      <c r="B515" s="44"/>
      <c r="D515" s="349"/>
      <c r="E515" s="33"/>
      <c r="F515" s="33"/>
      <c r="G515" s="33"/>
      <c r="H515" s="33"/>
      <c r="I515" s="33"/>
      <c r="J515" s="33"/>
      <c r="K515" s="33"/>
      <c r="L515" s="561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44"/>
      <c r="AP515" s="37"/>
      <c r="AQ515" s="44"/>
      <c r="AR515" s="57"/>
      <c r="AS515" s="56">
        <f>Tabela4[[#This Row],[Total R$]]-Tabela4[[#This Row],[Total Pago]]</f>
        <v>0</v>
      </c>
      <c r="AT515" s="36"/>
    </row>
    <row r="516" spans="2:46" x14ac:dyDescent="0.25">
      <c r="B516" s="44"/>
      <c r="D516" s="349"/>
      <c r="E516" s="33"/>
      <c r="F516" s="33"/>
      <c r="G516" s="33"/>
      <c r="H516" s="33"/>
      <c r="I516" s="33"/>
      <c r="J516" s="33"/>
      <c r="K516" s="33"/>
      <c r="L516" s="561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44"/>
      <c r="AP516" s="37"/>
      <c r="AQ516" s="44"/>
      <c r="AR516" s="57"/>
      <c r="AS516" s="56">
        <f>Tabela4[[#This Row],[Total R$]]-Tabela4[[#This Row],[Total Pago]]</f>
        <v>0</v>
      </c>
      <c r="AT516" s="36"/>
    </row>
    <row r="517" spans="2:46" x14ac:dyDescent="0.25">
      <c r="B517" s="44"/>
      <c r="D517" s="349"/>
      <c r="E517" s="33"/>
      <c r="F517" s="33"/>
      <c r="G517" s="33"/>
      <c r="H517" s="33"/>
      <c r="I517" s="33"/>
      <c r="J517" s="33"/>
      <c r="K517" s="33"/>
      <c r="L517" s="561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44"/>
      <c r="AP517" s="37"/>
      <c r="AQ517" s="44"/>
      <c r="AR517" s="57"/>
      <c r="AS517" s="56">
        <f>Tabela4[[#This Row],[Total R$]]-Tabela4[[#This Row],[Total Pago]]</f>
        <v>0</v>
      </c>
      <c r="AT517" s="36"/>
    </row>
    <row r="518" spans="2:46" x14ac:dyDescent="0.25">
      <c r="B518" s="44"/>
      <c r="D518" s="349"/>
      <c r="E518" s="33"/>
      <c r="F518" s="33"/>
      <c r="G518" s="33"/>
      <c r="H518" s="33"/>
      <c r="I518" s="33"/>
      <c r="J518" s="33"/>
      <c r="K518" s="33"/>
      <c r="L518" s="561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44"/>
      <c r="AP518" s="37"/>
      <c r="AQ518" s="44"/>
      <c r="AR518" s="57"/>
      <c r="AS518" s="56">
        <f>Tabela4[[#This Row],[Total R$]]-Tabela4[[#This Row],[Total Pago]]</f>
        <v>0</v>
      </c>
      <c r="AT518" s="36"/>
    </row>
    <row r="519" spans="2:46" x14ac:dyDescent="0.25">
      <c r="B519" s="44"/>
      <c r="D519" s="349"/>
      <c r="E519" s="33"/>
      <c r="F519" s="33"/>
      <c r="G519" s="33"/>
      <c r="H519" s="33"/>
      <c r="I519" s="33"/>
      <c r="J519" s="33"/>
      <c r="K519" s="33"/>
      <c r="L519" s="561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44"/>
      <c r="AP519" s="37"/>
      <c r="AQ519" s="44"/>
      <c r="AR519" s="57"/>
      <c r="AS519" s="56">
        <f>Tabela4[[#This Row],[Total R$]]-Tabela4[[#This Row],[Total Pago]]</f>
        <v>0</v>
      </c>
      <c r="AT519" s="36"/>
    </row>
    <row r="520" spans="2:46" x14ac:dyDescent="0.25">
      <c r="B520" s="44"/>
      <c r="D520" s="349"/>
      <c r="E520" s="33"/>
      <c r="F520" s="33"/>
      <c r="G520" s="33"/>
      <c r="H520" s="33"/>
      <c r="I520" s="33"/>
      <c r="J520" s="33"/>
      <c r="K520" s="33"/>
      <c r="L520" s="561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44"/>
      <c r="AP520" s="37"/>
      <c r="AQ520" s="44"/>
      <c r="AR520" s="57"/>
      <c r="AS520" s="56">
        <f>Tabela4[[#This Row],[Total R$]]-Tabela4[[#This Row],[Total Pago]]</f>
        <v>0</v>
      </c>
      <c r="AT520" s="36"/>
    </row>
    <row r="521" spans="2:46" x14ac:dyDescent="0.25">
      <c r="B521" s="44"/>
      <c r="D521" s="349"/>
      <c r="E521" s="33"/>
      <c r="F521" s="33"/>
      <c r="G521" s="33"/>
      <c r="H521" s="33"/>
      <c r="I521" s="33"/>
      <c r="J521" s="33"/>
      <c r="K521" s="33"/>
      <c r="L521" s="561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44"/>
      <c r="AP521" s="37"/>
      <c r="AQ521" s="44"/>
      <c r="AR521" s="57"/>
      <c r="AS521" s="56">
        <f>Tabela4[[#This Row],[Total R$]]-Tabela4[[#This Row],[Total Pago]]</f>
        <v>0</v>
      </c>
      <c r="AT521" s="36"/>
    </row>
    <row r="522" spans="2:46" x14ac:dyDescent="0.25">
      <c r="B522" s="44"/>
      <c r="D522" s="349"/>
      <c r="E522" s="33"/>
      <c r="F522" s="33"/>
      <c r="G522" s="33"/>
      <c r="H522" s="33"/>
      <c r="I522" s="33"/>
      <c r="J522" s="33"/>
      <c r="K522" s="33"/>
      <c r="L522" s="561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44"/>
      <c r="AP522" s="37"/>
      <c r="AQ522" s="44"/>
      <c r="AR522" s="57"/>
      <c r="AS522" s="56">
        <f>Tabela4[[#This Row],[Total R$]]-Tabela4[[#This Row],[Total Pago]]</f>
        <v>0</v>
      </c>
      <c r="AT522" s="36"/>
    </row>
    <row r="523" spans="2:46" x14ac:dyDescent="0.25">
      <c r="B523" s="44"/>
      <c r="D523" s="349"/>
      <c r="E523" s="33"/>
      <c r="F523" s="33"/>
      <c r="G523" s="33"/>
      <c r="H523" s="33"/>
      <c r="I523" s="33"/>
      <c r="J523" s="33"/>
      <c r="K523" s="33"/>
      <c r="L523" s="561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44"/>
      <c r="AP523" s="37"/>
      <c r="AQ523" s="44"/>
      <c r="AR523" s="57"/>
      <c r="AS523" s="56">
        <f>Tabela4[[#This Row],[Total R$]]-Tabela4[[#This Row],[Total Pago]]</f>
        <v>0</v>
      </c>
      <c r="AT523" s="36"/>
    </row>
    <row r="524" spans="2:46" x14ac:dyDescent="0.25">
      <c r="B524" s="44"/>
      <c r="D524" s="349"/>
      <c r="E524" s="33"/>
      <c r="F524" s="33"/>
      <c r="G524" s="33"/>
      <c r="H524" s="33"/>
      <c r="I524" s="33"/>
      <c r="J524" s="33"/>
      <c r="K524" s="33"/>
      <c r="L524" s="561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44"/>
      <c r="AP524" s="37"/>
      <c r="AQ524" s="44"/>
      <c r="AR524" s="57"/>
      <c r="AS524" s="56">
        <f>Tabela4[[#This Row],[Total R$]]-Tabela4[[#This Row],[Total Pago]]</f>
        <v>0</v>
      </c>
      <c r="AT524" s="36"/>
    </row>
    <row r="525" spans="2:46" x14ac:dyDescent="0.25">
      <c r="B525" s="44"/>
      <c r="D525" s="349"/>
      <c r="E525" s="33"/>
      <c r="F525" s="33"/>
      <c r="G525" s="33"/>
      <c r="H525" s="33"/>
      <c r="I525" s="33"/>
      <c r="J525" s="33"/>
      <c r="K525" s="33"/>
      <c r="L525" s="561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44"/>
      <c r="AP525" s="37"/>
      <c r="AQ525" s="44"/>
      <c r="AR525" s="57"/>
      <c r="AS525" s="56">
        <f>Tabela4[[#This Row],[Total R$]]-Tabela4[[#This Row],[Total Pago]]</f>
        <v>0</v>
      </c>
      <c r="AT525" s="36"/>
    </row>
    <row r="526" spans="2:46" x14ac:dyDescent="0.25">
      <c r="B526" s="44"/>
      <c r="D526" s="349"/>
      <c r="E526" s="33"/>
      <c r="F526" s="33"/>
      <c r="G526" s="33"/>
      <c r="H526" s="33"/>
      <c r="I526" s="33"/>
      <c r="J526" s="33"/>
      <c r="K526" s="33"/>
      <c r="L526" s="561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44"/>
      <c r="AP526" s="37"/>
      <c r="AQ526" s="44"/>
      <c r="AR526" s="57"/>
      <c r="AS526" s="56">
        <f>Tabela4[[#This Row],[Total R$]]-Tabela4[[#This Row],[Total Pago]]</f>
        <v>0</v>
      </c>
      <c r="AT526" s="36"/>
    </row>
    <row r="527" spans="2:46" x14ac:dyDescent="0.25">
      <c r="B527" s="44"/>
      <c r="D527" s="349"/>
      <c r="E527" s="33"/>
      <c r="F527" s="33"/>
      <c r="G527" s="33"/>
      <c r="H527" s="33"/>
      <c r="I527" s="33"/>
      <c r="J527" s="33"/>
      <c r="K527" s="33"/>
      <c r="L527" s="561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44"/>
      <c r="AP527" s="37"/>
      <c r="AQ527" s="44"/>
      <c r="AR527" s="57"/>
      <c r="AS527" s="56">
        <f>Tabela4[[#This Row],[Total R$]]-Tabela4[[#This Row],[Total Pago]]</f>
        <v>0</v>
      </c>
      <c r="AT527" s="36"/>
    </row>
    <row r="528" spans="2:46" x14ac:dyDescent="0.25">
      <c r="B528" s="44"/>
      <c r="D528" s="349"/>
      <c r="E528" s="33"/>
      <c r="F528" s="33"/>
      <c r="G528" s="33"/>
      <c r="H528" s="33"/>
      <c r="I528" s="33"/>
      <c r="J528" s="33"/>
      <c r="K528" s="33"/>
      <c r="L528" s="561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44"/>
      <c r="AP528" s="37"/>
      <c r="AQ528" s="44"/>
      <c r="AR528" s="57"/>
      <c r="AS528" s="56">
        <f>Tabela4[[#This Row],[Total R$]]-Tabela4[[#This Row],[Total Pago]]</f>
        <v>0</v>
      </c>
      <c r="AT528" s="36"/>
    </row>
    <row r="529" spans="2:46" x14ac:dyDescent="0.25">
      <c r="B529" s="44"/>
      <c r="D529" s="349"/>
      <c r="E529" s="33"/>
      <c r="F529" s="33"/>
      <c r="G529" s="33"/>
      <c r="H529" s="33"/>
      <c r="I529" s="33"/>
      <c r="J529" s="33"/>
      <c r="K529" s="33"/>
      <c r="L529" s="561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44"/>
      <c r="AP529" s="37"/>
      <c r="AQ529" s="44"/>
      <c r="AR529" s="57"/>
      <c r="AS529" s="56">
        <f>Tabela4[[#This Row],[Total R$]]-Tabela4[[#This Row],[Total Pago]]</f>
        <v>0</v>
      </c>
      <c r="AT529" s="36"/>
    </row>
    <row r="530" spans="2:46" x14ac:dyDescent="0.25">
      <c r="B530" s="44"/>
      <c r="D530" s="349"/>
      <c r="E530" s="33"/>
      <c r="F530" s="33"/>
      <c r="G530" s="33"/>
      <c r="H530" s="33"/>
      <c r="I530" s="33"/>
      <c r="J530" s="33"/>
      <c r="K530" s="33"/>
      <c r="L530" s="561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44"/>
      <c r="AP530" s="37"/>
      <c r="AQ530" s="44"/>
      <c r="AR530" s="57"/>
      <c r="AS530" s="56">
        <f>Tabela4[[#This Row],[Total R$]]-Tabela4[[#This Row],[Total Pago]]</f>
        <v>0</v>
      </c>
      <c r="AT530" s="36"/>
    </row>
    <row r="531" spans="2:46" x14ac:dyDescent="0.25">
      <c r="B531" s="44"/>
      <c r="D531" s="349"/>
      <c r="E531" s="33"/>
      <c r="F531" s="33"/>
      <c r="G531" s="33"/>
      <c r="H531" s="33"/>
      <c r="I531" s="33"/>
      <c r="J531" s="33"/>
      <c r="K531" s="33"/>
      <c r="L531" s="561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44"/>
      <c r="AP531" s="37"/>
      <c r="AQ531" s="44"/>
      <c r="AR531" s="57"/>
      <c r="AS531" s="56">
        <f>Tabela4[[#This Row],[Total R$]]-Tabela4[[#This Row],[Total Pago]]</f>
        <v>0</v>
      </c>
      <c r="AT531" s="36"/>
    </row>
    <row r="532" spans="2:46" x14ac:dyDescent="0.25">
      <c r="B532" s="44"/>
      <c r="D532" s="349"/>
      <c r="E532" s="33"/>
      <c r="F532" s="33"/>
      <c r="G532" s="33"/>
      <c r="H532" s="33"/>
      <c r="I532" s="33"/>
      <c r="J532" s="33"/>
      <c r="K532" s="33"/>
      <c r="L532" s="561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44"/>
      <c r="AP532" s="37"/>
      <c r="AQ532" s="44"/>
      <c r="AR532" s="57"/>
      <c r="AS532" s="56">
        <f>Tabela4[[#This Row],[Total R$]]-Tabela4[[#This Row],[Total Pago]]</f>
        <v>0</v>
      </c>
      <c r="AT532" s="36"/>
    </row>
    <row r="533" spans="2:46" x14ac:dyDescent="0.25">
      <c r="B533" s="44"/>
      <c r="D533" s="349"/>
      <c r="E533" s="33"/>
      <c r="F533" s="33"/>
      <c r="G533" s="33"/>
      <c r="H533" s="33"/>
      <c r="I533" s="33"/>
      <c r="J533" s="33"/>
      <c r="K533" s="33"/>
      <c r="L533" s="561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44"/>
      <c r="AP533" s="37"/>
      <c r="AQ533" s="44"/>
      <c r="AR533" s="57"/>
      <c r="AS533" s="56">
        <f>Tabela4[[#This Row],[Total R$]]-Tabela4[[#This Row],[Total Pago]]</f>
        <v>0</v>
      </c>
      <c r="AT533" s="36"/>
    </row>
    <row r="534" spans="2:46" x14ac:dyDescent="0.25">
      <c r="B534" s="44"/>
      <c r="D534" s="349"/>
      <c r="E534" s="33"/>
      <c r="F534" s="33"/>
      <c r="G534" s="33"/>
      <c r="H534" s="33"/>
      <c r="I534" s="33"/>
      <c r="J534" s="33"/>
      <c r="K534" s="33"/>
      <c r="L534" s="561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44"/>
      <c r="AP534" s="37"/>
      <c r="AQ534" s="44"/>
      <c r="AR534" s="57"/>
      <c r="AS534" s="56">
        <f>Tabela4[[#This Row],[Total R$]]-Tabela4[[#This Row],[Total Pago]]</f>
        <v>0</v>
      </c>
      <c r="AT534" s="36"/>
    </row>
    <row r="535" spans="2:46" x14ac:dyDescent="0.25">
      <c r="B535" s="44"/>
      <c r="D535" s="349"/>
      <c r="E535" s="33"/>
      <c r="F535" s="33"/>
      <c r="G535" s="33"/>
      <c r="H535" s="33"/>
      <c r="I535" s="33"/>
      <c r="J535" s="33"/>
      <c r="K535" s="33"/>
      <c r="L535" s="561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44"/>
      <c r="AP535" s="37"/>
      <c r="AQ535" s="44"/>
      <c r="AR535" s="57"/>
      <c r="AS535" s="56">
        <f>Tabela4[[#This Row],[Total R$]]-Tabela4[[#This Row],[Total Pago]]</f>
        <v>0</v>
      </c>
      <c r="AT535" s="36"/>
    </row>
    <row r="536" spans="2:46" x14ac:dyDescent="0.25">
      <c r="B536" s="44"/>
      <c r="D536" s="349"/>
      <c r="E536" s="33"/>
      <c r="F536" s="33"/>
      <c r="G536" s="33"/>
      <c r="H536" s="33"/>
      <c r="I536" s="33"/>
      <c r="J536" s="33"/>
      <c r="K536" s="33"/>
      <c r="L536" s="561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44"/>
      <c r="AP536" s="37"/>
      <c r="AQ536" s="44"/>
      <c r="AR536" s="57"/>
      <c r="AS536" s="56">
        <f>Tabela4[[#This Row],[Total R$]]-Tabela4[[#This Row],[Total Pago]]</f>
        <v>0</v>
      </c>
      <c r="AT536" s="36"/>
    </row>
    <row r="537" spans="2:46" x14ac:dyDescent="0.25">
      <c r="B537" s="44"/>
      <c r="D537" s="349"/>
      <c r="E537" s="33"/>
      <c r="F537" s="33"/>
      <c r="G537" s="33"/>
      <c r="H537" s="33"/>
      <c r="I537" s="33"/>
      <c r="J537" s="33"/>
      <c r="K537" s="33"/>
      <c r="L537" s="561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44"/>
      <c r="AP537" s="37"/>
      <c r="AQ537" s="44"/>
      <c r="AR537" s="57"/>
      <c r="AS537" s="56">
        <f>Tabela4[[#This Row],[Total R$]]-Tabela4[[#This Row],[Total Pago]]</f>
        <v>0</v>
      </c>
      <c r="AT537" s="36"/>
    </row>
    <row r="538" spans="2:46" x14ac:dyDescent="0.25">
      <c r="B538" s="44"/>
      <c r="D538" s="349"/>
      <c r="E538" s="33"/>
      <c r="F538" s="33"/>
      <c r="G538" s="33"/>
      <c r="H538" s="33"/>
      <c r="I538" s="33"/>
      <c r="J538" s="33"/>
      <c r="K538" s="33"/>
      <c r="L538" s="561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44"/>
      <c r="AP538" s="37"/>
      <c r="AQ538" s="44"/>
      <c r="AR538" s="57"/>
      <c r="AS538" s="56">
        <f>Tabela4[[#This Row],[Total R$]]-Tabela4[[#This Row],[Total Pago]]</f>
        <v>0</v>
      </c>
      <c r="AT538" s="36"/>
    </row>
    <row r="539" spans="2:46" x14ac:dyDescent="0.25">
      <c r="B539" s="44"/>
      <c r="D539" s="349"/>
      <c r="E539" s="33"/>
      <c r="F539" s="33"/>
      <c r="G539" s="33"/>
      <c r="H539" s="33"/>
      <c r="I539" s="33"/>
      <c r="J539" s="33"/>
      <c r="K539" s="33"/>
      <c r="L539" s="561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44"/>
      <c r="AP539" s="37"/>
      <c r="AQ539" s="44"/>
      <c r="AR539" s="57"/>
      <c r="AS539" s="56">
        <f>Tabela4[[#This Row],[Total R$]]-Tabela4[[#This Row],[Total Pago]]</f>
        <v>0</v>
      </c>
      <c r="AT539" s="36"/>
    </row>
    <row r="540" spans="2:46" x14ac:dyDescent="0.25">
      <c r="B540" s="44"/>
      <c r="D540" s="349"/>
      <c r="E540" s="33"/>
      <c r="F540" s="33"/>
      <c r="G540" s="33"/>
      <c r="H540" s="33"/>
      <c r="I540" s="33"/>
      <c r="J540" s="33"/>
      <c r="K540" s="33"/>
      <c r="L540" s="561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44"/>
      <c r="AP540" s="37"/>
      <c r="AQ540" s="44"/>
      <c r="AR540" s="57"/>
      <c r="AS540" s="56">
        <f>Tabela4[[#This Row],[Total R$]]-Tabela4[[#This Row],[Total Pago]]</f>
        <v>0</v>
      </c>
      <c r="AT540" s="36"/>
    </row>
    <row r="541" spans="2:46" x14ac:dyDescent="0.25">
      <c r="B541" s="44"/>
      <c r="D541" s="349"/>
      <c r="E541" s="33"/>
      <c r="F541" s="33"/>
      <c r="G541" s="33"/>
      <c r="H541" s="33"/>
      <c r="I541" s="33"/>
      <c r="J541" s="33"/>
      <c r="K541" s="33"/>
      <c r="L541" s="561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44"/>
      <c r="AP541" s="37"/>
      <c r="AQ541" s="44"/>
      <c r="AR541" s="57"/>
      <c r="AS541" s="56">
        <f>Tabela4[[#This Row],[Total R$]]-Tabela4[[#This Row],[Total Pago]]</f>
        <v>0</v>
      </c>
      <c r="AT541" s="36"/>
    </row>
    <row r="542" spans="2:46" x14ac:dyDescent="0.25">
      <c r="B542" s="44"/>
      <c r="D542" s="349"/>
      <c r="E542" s="33"/>
      <c r="F542" s="33"/>
      <c r="G542" s="33"/>
      <c r="H542" s="33"/>
      <c r="I542" s="33"/>
      <c r="J542" s="33"/>
      <c r="K542" s="33"/>
      <c r="L542" s="561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44"/>
      <c r="AP542" s="37"/>
      <c r="AQ542" s="44"/>
      <c r="AR542" s="57"/>
      <c r="AS542" s="56">
        <f>Tabela4[[#This Row],[Total R$]]-Tabela4[[#This Row],[Total Pago]]</f>
        <v>0</v>
      </c>
      <c r="AT542" s="36"/>
    </row>
    <row r="543" spans="2:46" x14ac:dyDescent="0.25">
      <c r="B543" s="44"/>
      <c r="D543" s="349"/>
      <c r="E543" s="33"/>
      <c r="F543" s="33"/>
      <c r="G543" s="33"/>
      <c r="H543" s="33"/>
      <c r="I543" s="33"/>
      <c r="J543" s="33"/>
      <c r="K543" s="33"/>
      <c r="L543" s="561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44"/>
      <c r="AP543" s="37"/>
      <c r="AQ543" s="44"/>
      <c r="AR543" s="57"/>
      <c r="AS543" s="56">
        <f>Tabela4[[#This Row],[Total R$]]-Tabela4[[#This Row],[Total Pago]]</f>
        <v>0</v>
      </c>
      <c r="AT543" s="36"/>
    </row>
    <row r="544" spans="2:46" x14ac:dyDescent="0.25">
      <c r="B544" s="44"/>
      <c r="D544" s="349"/>
      <c r="E544" s="33"/>
      <c r="F544" s="33"/>
      <c r="G544" s="33"/>
      <c r="H544" s="33"/>
      <c r="I544" s="33"/>
      <c r="J544" s="33"/>
      <c r="K544" s="33"/>
      <c r="L544" s="561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44"/>
      <c r="AP544" s="37"/>
      <c r="AQ544" s="44"/>
      <c r="AR544" s="57"/>
      <c r="AS544" s="56">
        <f>Tabela4[[#This Row],[Total R$]]-Tabela4[[#This Row],[Total Pago]]</f>
        <v>0</v>
      </c>
      <c r="AT544" s="36"/>
    </row>
    <row r="545" spans="2:46" x14ac:dyDescent="0.25">
      <c r="B545" s="44"/>
      <c r="D545" s="349"/>
      <c r="E545" s="33"/>
      <c r="F545" s="33"/>
      <c r="G545" s="33"/>
      <c r="H545" s="33"/>
      <c r="I545" s="33"/>
      <c r="J545" s="33"/>
      <c r="K545" s="33"/>
      <c r="L545" s="561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44"/>
      <c r="AP545" s="37"/>
      <c r="AQ545" s="44"/>
      <c r="AR545" s="57"/>
      <c r="AS545" s="56">
        <f>Tabela4[[#This Row],[Total R$]]-Tabela4[[#This Row],[Total Pago]]</f>
        <v>0</v>
      </c>
      <c r="AT545" s="36"/>
    </row>
    <row r="546" spans="2:46" x14ac:dyDescent="0.25">
      <c r="B546" s="44"/>
      <c r="D546" s="349"/>
      <c r="E546" s="33"/>
      <c r="F546" s="33"/>
      <c r="G546" s="33"/>
      <c r="H546" s="33"/>
      <c r="I546" s="33"/>
      <c r="J546" s="33"/>
      <c r="K546" s="33"/>
      <c r="L546" s="561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44"/>
      <c r="AP546" s="37"/>
      <c r="AQ546" s="44"/>
      <c r="AR546" s="57"/>
      <c r="AS546" s="56">
        <f>Tabela4[[#This Row],[Total R$]]-Tabela4[[#This Row],[Total Pago]]</f>
        <v>0</v>
      </c>
      <c r="AT546" s="36"/>
    </row>
    <row r="547" spans="2:46" x14ac:dyDescent="0.25">
      <c r="B547" s="44"/>
      <c r="D547" s="349"/>
      <c r="E547" s="33"/>
      <c r="F547" s="33"/>
      <c r="G547" s="33"/>
      <c r="H547" s="33"/>
      <c r="I547" s="33"/>
      <c r="J547" s="33"/>
      <c r="K547" s="33"/>
      <c r="L547" s="561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44"/>
      <c r="AP547" s="37"/>
      <c r="AQ547" s="44"/>
      <c r="AR547" s="57"/>
      <c r="AS547" s="56">
        <f>Tabela4[[#This Row],[Total R$]]-Tabela4[[#This Row],[Total Pago]]</f>
        <v>0</v>
      </c>
      <c r="AT547" s="36"/>
    </row>
    <row r="548" spans="2:46" x14ac:dyDescent="0.25">
      <c r="B548" s="44"/>
      <c r="D548" s="349"/>
      <c r="E548" s="33"/>
      <c r="F548" s="33"/>
      <c r="G548" s="33"/>
      <c r="H548" s="33"/>
      <c r="I548" s="33"/>
      <c r="J548" s="33"/>
      <c r="K548" s="33"/>
      <c r="L548" s="561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44"/>
      <c r="AP548" s="37"/>
      <c r="AQ548" s="44"/>
      <c r="AR548" s="57"/>
      <c r="AS548" s="56">
        <f>Tabela4[[#This Row],[Total R$]]-Tabela4[[#This Row],[Total Pago]]</f>
        <v>0</v>
      </c>
      <c r="AT548" s="36"/>
    </row>
    <row r="549" spans="2:46" x14ac:dyDescent="0.25">
      <c r="B549" s="44"/>
      <c r="D549" s="349"/>
      <c r="E549" s="33"/>
      <c r="F549" s="33"/>
      <c r="G549" s="33"/>
      <c r="H549" s="33"/>
      <c r="I549" s="33"/>
      <c r="J549" s="33"/>
      <c r="K549" s="33"/>
      <c r="L549" s="561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44"/>
      <c r="AP549" s="37"/>
      <c r="AQ549" s="44"/>
      <c r="AR549" s="57"/>
      <c r="AS549" s="56">
        <f>Tabela4[[#This Row],[Total R$]]-Tabela4[[#This Row],[Total Pago]]</f>
        <v>0</v>
      </c>
      <c r="AT549" s="36"/>
    </row>
    <row r="550" spans="2:46" x14ac:dyDescent="0.25">
      <c r="B550" s="44"/>
      <c r="D550" s="349"/>
      <c r="E550" s="33"/>
      <c r="F550" s="33"/>
      <c r="G550" s="33"/>
      <c r="H550" s="33"/>
      <c r="I550" s="33"/>
      <c r="J550" s="33"/>
      <c r="K550" s="33"/>
      <c r="L550" s="561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44"/>
      <c r="AP550" s="37"/>
      <c r="AQ550" s="44"/>
      <c r="AR550" s="57"/>
      <c r="AS550" s="56">
        <f>Tabela4[[#This Row],[Total R$]]-Tabela4[[#This Row],[Total Pago]]</f>
        <v>0</v>
      </c>
      <c r="AT550" s="36"/>
    </row>
    <row r="551" spans="2:46" x14ac:dyDescent="0.25">
      <c r="B551" s="44"/>
      <c r="D551" s="349"/>
      <c r="E551" s="33"/>
      <c r="F551" s="33"/>
      <c r="G551" s="33"/>
      <c r="H551" s="33"/>
      <c r="I551" s="33"/>
      <c r="J551" s="33"/>
      <c r="K551" s="33"/>
      <c r="L551" s="561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44"/>
      <c r="AP551" s="37"/>
      <c r="AQ551" s="44"/>
      <c r="AR551" s="57"/>
      <c r="AS551" s="56">
        <f>Tabela4[[#This Row],[Total R$]]-Tabela4[[#This Row],[Total Pago]]</f>
        <v>0</v>
      </c>
      <c r="AT551" s="36"/>
    </row>
    <row r="552" spans="2:46" x14ac:dyDescent="0.25">
      <c r="B552" s="44"/>
      <c r="D552" s="349"/>
      <c r="E552" s="33"/>
      <c r="F552" s="33"/>
      <c r="G552" s="33"/>
      <c r="H552" s="33"/>
      <c r="I552" s="33"/>
      <c r="J552" s="33"/>
      <c r="K552" s="33"/>
      <c r="L552" s="561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44"/>
      <c r="AP552" s="37"/>
      <c r="AQ552" s="44"/>
      <c r="AR552" s="57"/>
      <c r="AS552" s="56">
        <f>Tabela4[[#This Row],[Total R$]]-Tabela4[[#This Row],[Total Pago]]</f>
        <v>0</v>
      </c>
      <c r="AT552" s="36"/>
    </row>
    <row r="553" spans="2:46" x14ac:dyDescent="0.25">
      <c r="B553" s="44"/>
      <c r="D553" s="349"/>
      <c r="E553" s="33"/>
      <c r="F553" s="33"/>
      <c r="G553" s="33"/>
      <c r="H553" s="33"/>
      <c r="I553" s="33"/>
      <c r="J553" s="33"/>
      <c r="K553" s="33"/>
      <c r="L553" s="561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44"/>
      <c r="AP553" s="37"/>
      <c r="AQ553" s="44"/>
      <c r="AR553" s="57"/>
      <c r="AS553" s="56">
        <f>Tabela4[[#This Row],[Total R$]]-Tabela4[[#This Row],[Total Pago]]</f>
        <v>0</v>
      </c>
      <c r="AT553" s="36"/>
    </row>
    <row r="554" spans="2:46" x14ac:dyDescent="0.25">
      <c r="B554" s="44"/>
      <c r="D554" s="349"/>
      <c r="E554" s="33"/>
      <c r="F554" s="33"/>
      <c r="G554" s="33"/>
      <c r="H554" s="33"/>
      <c r="I554" s="33"/>
      <c r="J554" s="33"/>
      <c r="K554" s="33"/>
      <c r="L554" s="561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44"/>
      <c r="AP554" s="37"/>
      <c r="AQ554" s="44"/>
      <c r="AR554" s="57"/>
      <c r="AS554" s="56">
        <f>Tabela4[[#This Row],[Total R$]]-Tabela4[[#This Row],[Total Pago]]</f>
        <v>0</v>
      </c>
      <c r="AT554" s="36"/>
    </row>
    <row r="555" spans="2:46" x14ac:dyDescent="0.25">
      <c r="B555" s="44"/>
      <c r="D555" s="349"/>
      <c r="E555" s="33"/>
      <c r="F555" s="33"/>
      <c r="G555" s="33"/>
      <c r="H555" s="33"/>
      <c r="I555" s="33"/>
      <c r="J555" s="33"/>
      <c r="K555" s="33"/>
      <c r="L555" s="561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44"/>
      <c r="AP555" s="37"/>
      <c r="AQ555" s="44"/>
      <c r="AR555" s="57"/>
      <c r="AS555" s="56">
        <f>Tabela4[[#This Row],[Total R$]]-Tabela4[[#This Row],[Total Pago]]</f>
        <v>0</v>
      </c>
      <c r="AT555" s="36"/>
    </row>
    <row r="556" spans="2:46" x14ac:dyDescent="0.25">
      <c r="B556" s="44"/>
      <c r="D556" s="349"/>
      <c r="E556" s="33"/>
      <c r="F556" s="33"/>
      <c r="G556" s="33"/>
      <c r="H556" s="33"/>
      <c r="I556" s="33"/>
      <c r="J556" s="33"/>
      <c r="K556" s="33"/>
      <c r="L556" s="561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44"/>
      <c r="AP556" s="37"/>
      <c r="AQ556" s="44"/>
      <c r="AR556" s="57"/>
      <c r="AS556" s="56">
        <f>Tabela4[[#This Row],[Total R$]]-Tabela4[[#This Row],[Total Pago]]</f>
        <v>0</v>
      </c>
      <c r="AT556" s="36"/>
    </row>
    <row r="557" spans="2:46" x14ac:dyDescent="0.25">
      <c r="B557" s="44"/>
      <c r="D557" s="349"/>
      <c r="E557" s="33"/>
      <c r="F557" s="33"/>
      <c r="G557" s="33"/>
      <c r="H557" s="33"/>
      <c r="I557" s="33"/>
      <c r="J557" s="33"/>
      <c r="K557" s="33"/>
      <c r="L557" s="561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44"/>
      <c r="AP557" s="37"/>
      <c r="AQ557" s="44"/>
      <c r="AR557" s="57"/>
      <c r="AS557" s="56">
        <f>Tabela4[[#This Row],[Total R$]]-Tabela4[[#This Row],[Total Pago]]</f>
        <v>0</v>
      </c>
      <c r="AT557" s="36"/>
    </row>
    <row r="558" spans="2:46" x14ac:dyDescent="0.25">
      <c r="B558" s="44"/>
      <c r="D558" s="349"/>
      <c r="E558" s="33"/>
      <c r="F558" s="33"/>
      <c r="G558" s="33"/>
      <c r="H558" s="33"/>
      <c r="I558" s="33"/>
      <c r="J558" s="33"/>
      <c r="K558" s="33"/>
      <c r="L558" s="561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44"/>
      <c r="AP558" s="37"/>
      <c r="AQ558" s="44"/>
      <c r="AR558" s="57"/>
      <c r="AS558" s="56">
        <f>Tabela4[[#This Row],[Total R$]]-Tabela4[[#This Row],[Total Pago]]</f>
        <v>0</v>
      </c>
      <c r="AT558" s="36"/>
    </row>
    <row r="559" spans="2:46" x14ac:dyDescent="0.25">
      <c r="B559" s="44"/>
      <c r="D559" s="349"/>
      <c r="E559" s="33"/>
      <c r="F559" s="33"/>
      <c r="G559" s="33"/>
      <c r="H559" s="33"/>
      <c r="I559" s="33"/>
      <c r="J559" s="33"/>
      <c r="K559" s="33"/>
      <c r="L559" s="561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44"/>
      <c r="AP559" s="37"/>
      <c r="AQ559" s="44"/>
      <c r="AR559" s="57"/>
      <c r="AS559" s="56">
        <f>Tabela4[[#This Row],[Total R$]]-Tabela4[[#This Row],[Total Pago]]</f>
        <v>0</v>
      </c>
      <c r="AT559" s="36"/>
    </row>
    <row r="560" spans="2:46" x14ac:dyDescent="0.25">
      <c r="B560" s="44"/>
      <c r="D560" s="349"/>
      <c r="E560" s="33"/>
      <c r="F560" s="33"/>
      <c r="G560" s="33"/>
      <c r="H560" s="33"/>
      <c r="I560" s="33"/>
      <c r="J560" s="33"/>
      <c r="K560" s="33"/>
      <c r="L560" s="561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44"/>
      <c r="AP560" s="37"/>
      <c r="AQ560" s="44"/>
      <c r="AR560" s="57"/>
      <c r="AS560" s="56">
        <f>Tabela4[[#This Row],[Total R$]]-Tabela4[[#This Row],[Total Pago]]</f>
        <v>0</v>
      </c>
      <c r="AT560" s="36"/>
    </row>
    <row r="561" spans="2:46" x14ac:dyDescent="0.25">
      <c r="B561" s="44"/>
      <c r="D561" s="349"/>
      <c r="E561" s="33"/>
      <c r="F561" s="33"/>
      <c r="G561" s="33"/>
      <c r="H561" s="33"/>
      <c r="I561" s="33"/>
      <c r="J561" s="33"/>
      <c r="K561" s="33"/>
      <c r="L561" s="561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44"/>
      <c r="AP561" s="37"/>
      <c r="AQ561" s="44"/>
      <c r="AR561" s="57"/>
      <c r="AS561" s="56">
        <f>Tabela4[[#This Row],[Total R$]]-Tabela4[[#This Row],[Total Pago]]</f>
        <v>0</v>
      </c>
      <c r="AT561" s="36"/>
    </row>
    <row r="562" spans="2:46" x14ac:dyDescent="0.25">
      <c r="B562" s="44"/>
      <c r="D562" s="349"/>
      <c r="E562" s="33"/>
      <c r="F562" s="33"/>
      <c r="G562" s="33"/>
      <c r="H562" s="33"/>
      <c r="I562" s="33"/>
      <c r="J562" s="33"/>
      <c r="K562" s="33"/>
      <c r="L562" s="561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44"/>
      <c r="AP562" s="37"/>
      <c r="AQ562" s="44"/>
      <c r="AR562" s="57"/>
      <c r="AS562" s="56">
        <f>Tabela4[[#This Row],[Total R$]]-Tabela4[[#This Row],[Total Pago]]</f>
        <v>0</v>
      </c>
      <c r="AT562" s="36"/>
    </row>
    <row r="563" spans="2:46" x14ac:dyDescent="0.25">
      <c r="B563" s="44"/>
      <c r="D563" s="349"/>
      <c r="E563" s="33"/>
      <c r="F563" s="33"/>
      <c r="G563" s="33"/>
      <c r="H563" s="33"/>
      <c r="I563" s="33"/>
      <c r="J563" s="33"/>
      <c r="K563" s="33"/>
      <c r="L563" s="561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44"/>
      <c r="AP563" s="37"/>
      <c r="AQ563" s="44"/>
      <c r="AR563" s="57"/>
      <c r="AS563" s="56">
        <f>Tabela4[[#This Row],[Total R$]]-Tabela4[[#This Row],[Total Pago]]</f>
        <v>0</v>
      </c>
      <c r="AT563" s="36"/>
    </row>
    <row r="564" spans="2:46" x14ac:dyDescent="0.25">
      <c r="B564" s="44"/>
      <c r="D564" s="349"/>
      <c r="E564" s="33"/>
      <c r="F564" s="33"/>
      <c r="G564" s="33"/>
      <c r="H564" s="33"/>
      <c r="I564" s="33"/>
      <c r="J564" s="33"/>
      <c r="K564" s="33"/>
      <c r="L564" s="561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44"/>
      <c r="AP564" s="37"/>
      <c r="AQ564" s="44"/>
      <c r="AR564" s="57"/>
      <c r="AS564" s="56">
        <f>Tabela4[[#This Row],[Total R$]]-Tabela4[[#This Row],[Total Pago]]</f>
        <v>0</v>
      </c>
      <c r="AT564" s="36"/>
    </row>
    <row r="565" spans="2:46" x14ac:dyDescent="0.25">
      <c r="B565" s="44"/>
      <c r="D565" s="349"/>
      <c r="E565" s="33"/>
      <c r="F565" s="33"/>
      <c r="G565" s="33"/>
      <c r="H565" s="33"/>
      <c r="I565" s="33"/>
      <c r="J565" s="33"/>
      <c r="K565" s="33"/>
      <c r="L565" s="561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44"/>
      <c r="AP565" s="37"/>
      <c r="AQ565" s="44"/>
      <c r="AR565" s="57"/>
      <c r="AS565" s="56">
        <f>Tabela4[[#This Row],[Total R$]]-Tabela4[[#This Row],[Total Pago]]</f>
        <v>0</v>
      </c>
      <c r="AT565" s="36"/>
    </row>
    <row r="566" spans="2:46" x14ac:dyDescent="0.25">
      <c r="B566" s="44"/>
      <c r="D566" s="349"/>
      <c r="E566" s="33"/>
      <c r="F566" s="33"/>
      <c r="G566" s="33"/>
      <c r="H566" s="33"/>
      <c r="I566" s="33"/>
      <c r="J566" s="33"/>
      <c r="K566" s="33"/>
      <c r="L566" s="561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44"/>
      <c r="AP566" s="37"/>
      <c r="AQ566" s="44"/>
      <c r="AR566" s="57"/>
      <c r="AS566" s="56">
        <f>Tabela4[[#This Row],[Total R$]]-Tabela4[[#This Row],[Total Pago]]</f>
        <v>0</v>
      </c>
      <c r="AT566" s="36"/>
    </row>
    <row r="567" spans="2:46" x14ac:dyDescent="0.25">
      <c r="B567" s="44"/>
      <c r="D567" s="349"/>
      <c r="E567" s="33"/>
      <c r="F567" s="33"/>
      <c r="G567" s="33"/>
      <c r="H567" s="33"/>
      <c r="I567" s="33"/>
      <c r="J567" s="33"/>
      <c r="K567" s="33"/>
      <c r="L567" s="561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44"/>
      <c r="AP567" s="37"/>
      <c r="AQ567" s="44"/>
      <c r="AR567" s="57"/>
      <c r="AS567" s="56">
        <f>Tabela4[[#This Row],[Total R$]]-Tabela4[[#This Row],[Total Pago]]</f>
        <v>0</v>
      </c>
      <c r="AT567" s="36"/>
    </row>
    <row r="568" spans="2:46" x14ac:dyDescent="0.25">
      <c r="B568" s="44"/>
      <c r="D568" s="349"/>
      <c r="E568" s="33"/>
      <c r="F568" s="33"/>
      <c r="G568" s="33"/>
      <c r="H568" s="33"/>
      <c r="I568" s="33"/>
      <c r="J568" s="33"/>
      <c r="K568" s="33"/>
      <c r="L568" s="561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44"/>
      <c r="AP568" s="37"/>
      <c r="AQ568" s="44"/>
      <c r="AR568" s="57"/>
      <c r="AS568" s="56">
        <f>Tabela4[[#This Row],[Total R$]]-Tabela4[[#This Row],[Total Pago]]</f>
        <v>0</v>
      </c>
      <c r="AT568" s="36"/>
    </row>
    <row r="569" spans="2:46" x14ac:dyDescent="0.25">
      <c r="B569" s="44"/>
      <c r="D569" s="349"/>
      <c r="E569" s="33"/>
      <c r="F569" s="33"/>
      <c r="G569" s="33"/>
      <c r="H569" s="33"/>
      <c r="I569" s="33"/>
      <c r="J569" s="33"/>
      <c r="K569" s="33"/>
      <c r="L569" s="561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44"/>
      <c r="AP569" s="37"/>
      <c r="AQ569" s="44"/>
      <c r="AR569" s="57"/>
      <c r="AS569" s="56">
        <f>Tabela4[[#This Row],[Total R$]]-Tabela4[[#This Row],[Total Pago]]</f>
        <v>0</v>
      </c>
      <c r="AT569" s="36"/>
    </row>
    <row r="570" spans="2:46" x14ac:dyDescent="0.25">
      <c r="B570" s="44"/>
      <c r="D570" s="349"/>
      <c r="E570" s="33"/>
      <c r="F570" s="33"/>
      <c r="G570" s="33"/>
      <c r="H570" s="33"/>
      <c r="I570" s="33"/>
      <c r="J570" s="33"/>
      <c r="K570" s="33"/>
      <c r="L570" s="561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44"/>
      <c r="AP570" s="37"/>
      <c r="AQ570" s="44"/>
      <c r="AR570" s="57"/>
      <c r="AS570" s="56">
        <f>Tabela4[[#This Row],[Total R$]]-Tabela4[[#This Row],[Total Pago]]</f>
        <v>0</v>
      </c>
      <c r="AT570" s="36"/>
    </row>
    <row r="571" spans="2:46" x14ac:dyDescent="0.25">
      <c r="B571" s="44"/>
      <c r="D571" s="349"/>
      <c r="E571" s="33"/>
      <c r="F571" s="33"/>
      <c r="G571" s="33"/>
      <c r="H571" s="33"/>
      <c r="I571" s="33"/>
      <c r="J571" s="33"/>
      <c r="K571" s="33"/>
      <c r="L571" s="561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44"/>
      <c r="AP571" s="37"/>
      <c r="AQ571" s="44"/>
      <c r="AR571" s="57"/>
      <c r="AS571" s="56">
        <f>Tabela4[[#This Row],[Total R$]]-Tabela4[[#This Row],[Total Pago]]</f>
        <v>0</v>
      </c>
      <c r="AT571" s="36"/>
    </row>
    <row r="572" spans="2:46" x14ac:dyDescent="0.25">
      <c r="B572" s="44"/>
      <c r="D572" s="349"/>
      <c r="E572" s="33"/>
      <c r="F572" s="33"/>
      <c r="G572" s="33"/>
      <c r="H572" s="33"/>
      <c r="I572" s="33"/>
      <c r="J572" s="33"/>
      <c r="K572" s="33"/>
      <c r="L572" s="561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44"/>
      <c r="AP572" s="37"/>
      <c r="AQ572" s="44"/>
      <c r="AR572" s="57"/>
      <c r="AS572" s="56">
        <f>Tabela4[[#This Row],[Total R$]]-Tabela4[[#This Row],[Total Pago]]</f>
        <v>0</v>
      </c>
      <c r="AT572" s="36"/>
    </row>
    <row r="573" spans="2:46" x14ac:dyDescent="0.25">
      <c r="B573" s="44"/>
      <c r="D573" s="349"/>
      <c r="E573" s="33"/>
      <c r="F573" s="33"/>
      <c r="G573" s="33"/>
      <c r="H573" s="33"/>
      <c r="I573" s="33"/>
      <c r="J573" s="33"/>
      <c r="K573" s="33"/>
      <c r="L573" s="561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44"/>
      <c r="AP573" s="37"/>
      <c r="AQ573" s="44"/>
      <c r="AR573" s="57"/>
      <c r="AS573" s="56">
        <f>Tabela4[[#This Row],[Total R$]]-Tabela4[[#This Row],[Total Pago]]</f>
        <v>0</v>
      </c>
      <c r="AT573" s="36"/>
    </row>
    <row r="574" spans="2:46" x14ac:dyDescent="0.25">
      <c r="B574" s="44"/>
      <c r="D574" s="349"/>
      <c r="E574" s="33"/>
      <c r="F574" s="33"/>
      <c r="G574" s="33"/>
      <c r="H574" s="33"/>
      <c r="I574" s="33"/>
      <c r="J574" s="33"/>
      <c r="K574" s="33"/>
      <c r="L574" s="561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44"/>
      <c r="AP574" s="37"/>
      <c r="AQ574" s="44"/>
      <c r="AR574" s="57"/>
      <c r="AS574" s="56">
        <f>Tabela4[[#This Row],[Total R$]]-Tabela4[[#This Row],[Total Pago]]</f>
        <v>0</v>
      </c>
      <c r="AT574" s="36"/>
    </row>
    <row r="575" spans="2:46" x14ac:dyDescent="0.25">
      <c r="B575" s="44"/>
      <c r="D575" s="349"/>
      <c r="E575" s="33"/>
      <c r="F575" s="33"/>
      <c r="G575" s="33"/>
      <c r="H575" s="33"/>
      <c r="I575" s="33"/>
      <c r="J575" s="33"/>
      <c r="K575" s="33"/>
      <c r="L575" s="561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44"/>
      <c r="AP575" s="37"/>
      <c r="AQ575" s="44"/>
      <c r="AR575" s="57"/>
      <c r="AS575" s="56">
        <f>Tabela4[[#This Row],[Total R$]]-Tabela4[[#This Row],[Total Pago]]</f>
        <v>0</v>
      </c>
      <c r="AT575" s="36"/>
    </row>
    <row r="576" spans="2:46" x14ac:dyDescent="0.25">
      <c r="B576" s="44"/>
      <c r="D576" s="349"/>
      <c r="E576" s="33"/>
      <c r="F576" s="33"/>
      <c r="G576" s="33"/>
      <c r="H576" s="33"/>
      <c r="I576" s="33"/>
      <c r="J576" s="33"/>
      <c r="K576" s="33"/>
      <c r="L576" s="561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44"/>
      <c r="AP576" s="37"/>
      <c r="AQ576" s="44"/>
      <c r="AR576" s="57"/>
      <c r="AS576" s="56">
        <f>Tabela4[[#This Row],[Total R$]]-Tabela4[[#This Row],[Total Pago]]</f>
        <v>0</v>
      </c>
      <c r="AT576" s="36"/>
    </row>
    <row r="577" spans="2:46" x14ac:dyDescent="0.25">
      <c r="B577" s="44"/>
      <c r="D577" s="349"/>
      <c r="E577" s="33"/>
      <c r="F577" s="33"/>
      <c r="G577" s="33"/>
      <c r="H577" s="33"/>
      <c r="I577" s="33"/>
      <c r="J577" s="33"/>
      <c r="K577" s="33"/>
      <c r="L577" s="561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44"/>
      <c r="AP577" s="37"/>
      <c r="AQ577" s="44"/>
      <c r="AR577" s="57"/>
      <c r="AS577" s="56">
        <f>Tabela4[[#This Row],[Total R$]]-Tabela4[[#This Row],[Total Pago]]</f>
        <v>0</v>
      </c>
      <c r="AT577" s="36"/>
    </row>
    <row r="578" spans="2:46" x14ac:dyDescent="0.25">
      <c r="B578" s="44"/>
      <c r="D578" s="349"/>
      <c r="E578" s="33"/>
      <c r="F578" s="33"/>
      <c r="G578" s="33"/>
      <c r="H578" s="33"/>
      <c r="I578" s="33"/>
      <c r="J578" s="33"/>
      <c r="K578" s="33"/>
      <c r="L578" s="561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44"/>
      <c r="AP578" s="37"/>
      <c r="AQ578" s="44"/>
      <c r="AR578" s="57"/>
      <c r="AS578" s="56">
        <f>Tabela4[[#This Row],[Total R$]]-Tabela4[[#This Row],[Total Pago]]</f>
        <v>0</v>
      </c>
      <c r="AT578" s="36"/>
    </row>
    <row r="579" spans="2:46" x14ac:dyDescent="0.25">
      <c r="B579" s="44"/>
      <c r="D579" s="349"/>
      <c r="E579" s="33"/>
      <c r="F579" s="33"/>
      <c r="G579" s="33"/>
      <c r="H579" s="33"/>
      <c r="I579" s="33"/>
      <c r="J579" s="33"/>
      <c r="K579" s="33"/>
      <c r="L579" s="561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44"/>
      <c r="AP579" s="37"/>
      <c r="AQ579" s="44"/>
      <c r="AR579" s="57"/>
      <c r="AS579" s="56">
        <f>Tabela4[[#This Row],[Total R$]]-Tabela4[[#This Row],[Total Pago]]</f>
        <v>0</v>
      </c>
      <c r="AT579" s="36"/>
    </row>
    <row r="580" spans="2:46" x14ac:dyDescent="0.25">
      <c r="B580" s="44"/>
      <c r="D580" s="349"/>
      <c r="E580" s="33"/>
      <c r="F580" s="33"/>
      <c r="G580" s="33"/>
      <c r="H580" s="33"/>
      <c r="I580" s="33"/>
      <c r="J580" s="33"/>
      <c r="K580" s="33"/>
      <c r="L580" s="561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44"/>
      <c r="AP580" s="37"/>
      <c r="AQ580" s="44"/>
      <c r="AR580" s="57"/>
      <c r="AS580" s="56">
        <f>Tabela4[[#This Row],[Total R$]]-Tabela4[[#This Row],[Total Pago]]</f>
        <v>0</v>
      </c>
      <c r="AT580" s="36"/>
    </row>
    <row r="581" spans="2:46" x14ac:dyDescent="0.25">
      <c r="B581" s="44"/>
      <c r="D581" s="349"/>
      <c r="E581" s="33"/>
      <c r="F581" s="33"/>
      <c r="G581" s="33"/>
      <c r="H581" s="33"/>
      <c r="I581" s="33"/>
      <c r="J581" s="33"/>
      <c r="K581" s="33"/>
      <c r="L581" s="561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44"/>
      <c r="AP581" s="37"/>
      <c r="AQ581" s="44"/>
      <c r="AR581" s="57"/>
      <c r="AS581" s="56">
        <f>Tabela4[[#This Row],[Total R$]]-Tabela4[[#This Row],[Total Pago]]</f>
        <v>0</v>
      </c>
      <c r="AT581" s="36"/>
    </row>
    <row r="582" spans="2:46" x14ac:dyDescent="0.25">
      <c r="B582" s="44"/>
      <c r="D582" s="349"/>
      <c r="E582" s="33"/>
      <c r="F582" s="33"/>
      <c r="G582" s="33"/>
      <c r="H582" s="33"/>
      <c r="I582" s="33"/>
      <c r="J582" s="33"/>
      <c r="K582" s="33"/>
      <c r="L582" s="561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44"/>
      <c r="AP582" s="37"/>
      <c r="AQ582" s="44"/>
      <c r="AR582" s="57"/>
      <c r="AS582" s="56">
        <f>Tabela4[[#This Row],[Total R$]]-Tabela4[[#This Row],[Total Pago]]</f>
        <v>0</v>
      </c>
      <c r="AT582" s="36"/>
    </row>
    <row r="583" spans="2:46" x14ac:dyDescent="0.25">
      <c r="B583" s="44"/>
      <c r="D583" s="349"/>
      <c r="E583" s="33"/>
      <c r="F583" s="33"/>
      <c r="G583" s="33"/>
      <c r="H583" s="33"/>
      <c r="I583" s="33"/>
      <c r="J583" s="33"/>
      <c r="K583" s="33"/>
      <c r="L583" s="561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44"/>
      <c r="AP583" s="37"/>
      <c r="AQ583" s="44"/>
      <c r="AR583" s="57"/>
      <c r="AS583" s="56">
        <f>Tabela4[[#This Row],[Total R$]]-Tabela4[[#This Row],[Total Pago]]</f>
        <v>0</v>
      </c>
      <c r="AT583" s="36"/>
    </row>
    <row r="584" spans="2:46" x14ac:dyDescent="0.25">
      <c r="B584" s="44"/>
      <c r="D584" s="349"/>
      <c r="E584" s="33"/>
      <c r="F584" s="33"/>
      <c r="G584" s="33"/>
      <c r="H584" s="33"/>
      <c r="I584" s="33"/>
      <c r="J584" s="33"/>
      <c r="K584" s="33"/>
      <c r="L584" s="561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44"/>
      <c r="AP584" s="37"/>
      <c r="AQ584" s="44"/>
      <c r="AR584" s="57"/>
      <c r="AS584" s="56">
        <f>Tabela4[[#This Row],[Total R$]]-Tabela4[[#This Row],[Total Pago]]</f>
        <v>0</v>
      </c>
      <c r="AT584" s="36"/>
    </row>
    <row r="585" spans="2:46" x14ac:dyDescent="0.25">
      <c r="B585" s="44"/>
      <c r="D585" s="349"/>
      <c r="E585" s="33"/>
      <c r="F585" s="33"/>
      <c r="G585" s="33"/>
      <c r="H585" s="33"/>
      <c r="I585" s="33"/>
      <c r="J585" s="33"/>
      <c r="K585" s="33"/>
      <c r="L585" s="561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44"/>
      <c r="AP585" s="37"/>
      <c r="AQ585" s="44"/>
      <c r="AR585" s="57"/>
      <c r="AS585" s="56">
        <f>Tabela4[[#This Row],[Total R$]]-Tabela4[[#This Row],[Total Pago]]</f>
        <v>0</v>
      </c>
      <c r="AT585" s="36"/>
    </row>
    <row r="586" spans="2:46" x14ac:dyDescent="0.25">
      <c r="B586" s="44"/>
      <c r="D586" s="349"/>
      <c r="E586" s="33"/>
      <c r="F586" s="33"/>
      <c r="G586" s="33"/>
      <c r="H586" s="33"/>
      <c r="I586" s="33"/>
      <c r="J586" s="33"/>
      <c r="K586" s="33"/>
      <c r="L586" s="561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44"/>
      <c r="AP586" s="37"/>
      <c r="AQ586" s="44"/>
      <c r="AR586" s="57"/>
      <c r="AS586" s="56">
        <f>Tabela4[[#This Row],[Total R$]]-Tabela4[[#This Row],[Total Pago]]</f>
        <v>0</v>
      </c>
      <c r="AT586" s="36"/>
    </row>
    <row r="587" spans="2:46" x14ac:dyDescent="0.25">
      <c r="B587" s="44"/>
      <c r="D587" s="349"/>
      <c r="E587" s="33"/>
      <c r="F587" s="33"/>
      <c r="G587" s="33"/>
      <c r="H587" s="33"/>
      <c r="I587" s="33"/>
      <c r="J587" s="33"/>
      <c r="K587" s="33"/>
      <c r="L587" s="561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44"/>
      <c r="AP587" s="37"/>
      <c r="AQ587" s="44"/>
      <c r="AR587" s="57"/>
      <c r="AS587" s="56">
        <f>Tabela4[[#This Row],[Total R$]]-Tabela4[[#This Row],[Total Pago]]</f>
        <v>0</v>
      </c>
      <c r="AT587" s="36"/>
    </row>
    <row r="588" spans="2:46" x14ac:dyDescent="0.25">
      <c r="B588" s="44"/>
      <c r="D588" s="349"/>
      <c r="E588" s="33"/>
      <c r="F588" s="33"/>
      <c r="G588" s="33"/>
      <c r="H588" s="33"/>
      <c r="I588" s="33"/>
      <c r="J588" s="33"/>
      <c r="K588" s="33"/>
      <c r="L588" s="561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44"/>
      <c r="AP588" s="37"/>
      <c r="AQ588" s="44"/>
      <c r="AR588" s="57"/>
      <c r="AS588" s="56">
        <f>Tabela4[[#This Row],[Total R$]]-Tabela4[[#This Row],[Total Pago]]</f>
        <v>0</v>
      </c>
      <c r="AT588" s="36"/>
    </row>
    <row r="589" spans="2:46" x14ac:dyDescent="0.25">
      <c r="B589" s="44"/>
      <c r="D589" s="349"/>
      <c r="E589" s="33"/>
      <c r="F589" s="33"/>
      <c r="G589" s="33"/>
      <c r="H589" s="33"/>
      <c r="I589" s="33"/>
      <c r="J589" s="33"/>
      <c r="K589" s="33"/>
      <c r="L589" s="561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44"/>
      <c r="AP589" s="37"/>
      <c r="AQ589" s="44"/>
      <c r="AR589" s="57"/>
      <c r="AS589" s="56">
        <f>Tabela4[[#This Row],[Total R$]]-Tabela4[[#This Row],[Total Pago]]</f>
        <v>0</v>
      </c>
      <c r="AT589" s="36"/>
    </row>
    <row r="590" spans="2:46" x14ac:dyDescent="0.25">
      <c r="B590" s="44"/>
      <c r="D590" s="349"/>
      <c r="E590" s="33"/>
      <c r="F590" s="33"/>
      <c r="G590" s="33"/>
      <c r="H590" s="33"/>
      <c r="I590" s="33"/>
      <c r="J590" s="33"/>
      <c r="K590" s="33"/>
      <c r="L590" s="561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44"/>
      <c r="AP590" s="37"/>
      <c r="AQ590" s="44"/>
      <c r="AR590" s="57"/>
      <c r="AS590" s="56">
        <f>Tabela4[[#This Row],[Total R$]]-Tabela4[[#This Row],[Total Pago]]</f>
        <v>0</v>
      </c>
      <c r="AT590" s="36"/>
    </row>
    <row r="591" spans="2:46" x14ac:dyDescent="0.25">
      <c r="B591" s="44"/>
      <c r="D591" s="349"/>
      <c r="E591" s="33"/>
      <c r="F591" s="33"/>
      <c r="G591" s="33"/>
      <c r="H591" s="33"/>
      <c r="I591" s="33"/>
      <c r="J591" s="33"/>
      <c r="K591" s="33"/>
      <c r="L591" s="561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44"/>
      <c r="AP591" s="37"/>
      <c r="AQ591" s="44"/>
      <c r="AR591" s="57"/>
      <c r="AS591" s="56">
        <f>Tabela4[[#This Row],[Total R$]]-Tabela4[[#This Row],[Total Pago]]</f>
        <v>0</v>
      </c>
      <c r="AT591" s="36"/>
    </row>
    <row r="592" spans="2:46" x14ac:dyDescent="0.25">
      <c r="B592" s="44"/>
      <c r="D592" s="349"/>
      <c r="E592" s="33"/>
      <c r="F592" s="33"/>
      <c r="G592" s="33"/>
      <c r="H592" s="33"/>
      <c r="I592" s="33"/>
      <c r="J592" s="33"/>
      <c r="K592" s="33"/>
      <c r="L592" s="561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44"/>
      <c r="AP592" s="37"/>
      <c r="AQ592" s="44"/>
      <c r="AR592" s="57"/>
      <c r="AS592" s="56">
        <f>Tabela4[[#This Row],[Total R$]]-Tabela4[[#This Row],[Total Pago]]</f>
        <v>0</v>
      </c>
      <c r="AT592" s="36"/>
    </row>
    <row r="593" spans="2:46" x14ac:dyDescent="0.25">
      <c r="B593" s="44"/>
      <c r="D593" s="349"/>
      <c r="E593" s="33"/>
      <c r="F593" s="33"/>
      <c r="G593" s="33"/>
      <c r="H593" s="33"/>
      <c r="I593" s="33"/>
      <c r="J593" s="33"/>
      <c r="K593" s="33"/>
      <c r="L593" s="561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44"/>
      <c r="AP593" s="37"/>
      <c r="AQ593" s="44"/>
      <c r="AR593" s="57"/>
      <c r="AS593" s="56">
        <f>Tabela4[[#This Row],[Total R$]]-Tabela4[[#This Row],[Total Pago]]</f>
        <v>0</v>
      </c>
      <c r="AT593" s="36"/>
    </row>
    <row r="594" spans="2:46" x14ac:dyDescent="0.25">
      <c r="B594" s="44"/>
      <c r="D594" s="349"/>
      <c r="E594" s="33"/>
      <c r="F594" s="33"/>
      <c r="G594" s="33"/>
      <c r="H594" s="33"/>
      <c r="I594" s="33"/>
      <c r="J594" s="33"/>
      <c r="K594" s="33"/>
      <c r="L594" s="561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44"/>
      <c r="AP594" s="37"/>
      <c r="AQ594" s="44"/>
      <c r="AR594" s="57"/>
      <c r="AS594" s="56">
        <f>Tabela4[[#This Row],[Total R$]]-Tabela4[[#This Row],[Total Pago]]</f>
        <v>0</v>
      </c>
      <c r="AT594" s="36"/>
    </row>
    <row r="595" spans="2:46" x14ac:dyDescent="0.25">
      <c r="B595" s="44"/>
      <c r="D595" s="349"/>
      <c r="E595" s="33"/>
      <c r="F595" s="33"/>
      <c r="G595" s="33"/>
      <c r="H595" s="33"/>
      <c r="I595" s="33"/>
      <c r="J595" s="33"/>
      <c r="K595" s="33"/>
      <c r="L595" s="561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44"/>
      <c r="AP595" s="37"/>
      <c r="AQ595" s="44"/>
      <c r="AR595" s="57"/>
      <c r="AS595" s="56">
        <f>Tabela4[[#This Row],[Total R$]]-Tabela4[[#This Row],[Total Pago]]</f>
        <v>0</v>
      </c>
      <c r="AT595" s="36"/>
    </row>
    <row r="596" spans="2:46" x14ac:dyDescent="0.25">
      <c r="B596" s="44"/>
      <c r="D596" s="349"/>
      <c r="E596" s="33"/>
      <c r="F596" s="33"/>
      <c r="G596" s="33"/>
      <c r="H596" s="33"/>
      <c r="I596" s="33"/>
      <c r="J596" s="33"/>
      <c r="K596" s="33"/>
      <c r="L596" s="561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44"/>
      <c r="AP596" s="37"/>
      <c r="AQ596" s="44"/>
      <c r="AR596" s="57"/>
      <c r="AS596" s="56">
        <f>Tabela4[[#This Row],[Total R$]]-Tabela4[[#This Row],[Total Pago]]</f>
        <v>0</v>
      </c>
      <c r="AT596" s="36"/>
    </row>
    <row r="597" spans="2:46" x14ac:dyDescent="0.25">
      <c r="B597" s="44"/>
      <c r="D597" s="349"/>
      <c r="E597" s="33"/>
      <c r="F597" s="33"/>
      <c r="G597" s="33"/>
      <c r="H597" s="33"/>
      <c r="I597" s="33"/>
      <c r="J597" s="33"/>
      <c r="K597" s="33"/>
      <c r="L597" s="561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44"/>
      <c r="AP597" s="37"/>
      <c r="AQ597" s="44"/>
      <c r="AR597" s="57"/>
      <c r="AS597" s="56">
        <f>Tabela4[[#This Row],[Total R$]]-Tabela4[[#This Row],[Total Pago]]</f>
        <v>0</v>
      </c>
      <c r="AT597" s="36"/>
    </row>
    <row r="598" spans="2:46" x14ac:dyDescent="0.25">
      <c r="B598" s="44"/>
      <c r="D598" s="349"/>
      <c r="E598" s="33"/>
      <c r="F598" s="33"/>
      <c r="G598" s="33"/>
      <c r="H598" s="33"/>
      <c r="I598" s="33"/>
      <c r="J598" s="33"/>
      <c r="K598" s="33"/>
      <c r="L598" s="561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44"/>
      <c r="AP598" s="37"/>
      <c r="AQ598" s="44"/>
      <c r="AR598" s="57"/>
      <c r="AS598" s="56">
        <f>Tabela4[[#This Row],[Total R$]]-Tabela4[[#This Row],[Total Pago]]</f>
        <v>0</v>
      </c>
      <c r="AT598" s="36"/>
    </row>
    <row r="599" spans="2:46" x14ac:dyDescent="0.25">
      <c r="B599" s="44"/>
      <c r="D599" s="349"/>
      <c r="E599" s="33"/>
      <c r="F599" s="33"/>
      <c r="G599" s="33"/>
      <c r="H599" s="33"/>
      <c r="I599" s="33"/>
      <c r="J599" s="33"/>
      <c r="K599" s="33"/>
      <c r="L599" s="561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44"/>
      <c r="AP599" s="37"/>
      <c r="AQ599" s="44"/>
      <c r="AR599" s="57"/>
      <c r="AS599" s="56">
        <f>Tabela4[[#This Row],[Total R$]]-Tabela4[[#This Row],[Total Pago]]</f>
        <v>0</v>
      </c>
      <c r="AT599" s="36"/>
    </row>
    <row r="600" spans="2:46" x14ac:dyDescent="0.25">
      <c r="B600" s="44"/>
      <c r="D600" s="349"/>
      <c r="E600" s="33"/>
      <c r="F600" s="33"/>
      <c r="G600" s="33"/>
      <c r="H600" s="33"/>
      <c r="I600" s="33"/>
      <c r="J600" s="33"/>
      <c r="K600" s="33"/>
      <c r="L600" s="561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44"/>
      <c r="AP600" s="37"/>
      <c r="AQ600" s="44"/>
      <c r="AR600" s="57"/>
      <c r="AS600" s="56">
        <f>Tabela4[[#This Row],[Total R$]]-Tabela4[[#This Row],[Total Pago]]</f>
        <v>0</v>
      </c>
      <c r="AT600" s="36"/>
    </row>
    <row r="601" spans="2:46" x14ac:dyDescent="0.25">
      <c r="B601" s="44"/>
      <c r="D601" s="349"/>
      <c r="E601" s="33"/>
      <c r="F601" s="33"/>
      <c r="G601" s="33"/>
      <c r="H601" s="33"/>
      <c r="I601" s="33"/>
      <c r="J601" s="33"/>
      <c r="K601" s="33"/>
      <c r="L601" s="561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44"/>
      <c r="AP601" s="37"/>
      <c r="AQ601" s="44"/>
      <c r="AR601" s="57"/>
      <c r="AS601" s="56">
        <f>Tabela4[[#This Row],[Total R$]]-Tabela4[[#This Row],[Total Pago]]</f>
        <v>0</v>
      </c>
      <c r="AT601" s="36"/>
    </row>
    <row r="602" spans="2:46" x14ac:dyDescent="0.25">
      <c r="B602" s="44"/>
      <c r="D602" s="349"/>
      <c r="E602" s="33"/>
      <c r="F602" s="33"/>
      <c r="G602" s="33"/>
      <c r="H602" s="33"/>
      <c r="I602" s="33"/>
      <c r="J602" s="33"/>
      <c r="K602" s="33"/>
      <c r="L602" s="561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44"/>
      <c r="AP602" s="37"/>
      <c r="AQ602" s="44"/>
      <c r="AR602" s="57"/>
      <c r="AS602" s="56">
        <f>Tabela4[[#This Row],[Total R$]]-Tabela4[[#This Row],[Total Pago]]</f>
        <v>0</v>
      </c>
      <c r="AT602" s="36"/>
    </row>
    <row r="603" spans="2:46" x14ac:dyDescent="0.25">
      <c r="B603" s="44"/>
      <c r="D603" s="349"/>
      <c r="E603" s="33"/>
      <c r="F603" s="33"/>
      <c r="G603" s="33"/>
      <c r="H603" s="33"/>
      <c r="I603" s="33"/>
      <c r="J603" s="33"/>
      <c r="K603" s="33"/>
      <c r="L603" s="561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44"/>
      <c r="AP603" s="37"/>
      <c r="AQ603" s="44"/>
      <c r="AR603" s="57"/>
      <c r="AS603" s="56">
        <f>Tabela4[[#This Row],[Total R$]]-Tabela4[[#This Row],[Total Pago]]</f>
        <v>0</v>
      </c>
      <c r="AT603" s="36"/>
    </row>
    <row r="604" spans="2:46" x14ac:dyDescent="0.25">
      <c r="B604" s="44"/>
      <c r="D604" s="349"/>
      <c r="E604" s="33"/>
      <c r="F604" s="33"/>
      <c r="G604" s="33"/>
      <c r="H604" s="33"/>
      <c r="I604" s="33"/>
      <c r="J604" s="33"/>
      <c r="K604" s="33"/>
      <c r="L604" s="561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44"/>
      <c r="AP604" s="37"/>
      <c r="AQ604" s="44"/>
      <c r="AR604" s="57"/>
      <c r="AS604" s="56">
        <f>Tabela4[[#This Row],[Total R$]]-Tabela4[[#This Row],[Total Pago]]</f>
        <v>0</v>
      </c>
      <c r="AT604" s="36"/>
    </row>
    <row r="605" spans="2:46" x14ac:dyDescent="0.25">
      <c r="B605" s="44"/>
      <c r="D605" s="349"/>
      <c r="E605" s="33"/>
      <c r="F605" s="33"/>
      <c r="G605" s="33"/>
      <c r="H605" s="33"/>
      <c r="I605" s="33"/>
      <c r="J605" s="33"/>
      <c r="K605" s="33"/>
      <c r="L605" s="561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44"/>
      <c r="AP605" s="37"/>
      <c r="AQ605" s="44"/>
      <c r="AR605" s="57"/>
      <c r="AS605" s="56">
        <f>Tabela4[[#This Row],[Total R$]]-Tabela4[[#This Row],[Total Pago]]</f>
        <v>0</v>
      </c>
      <c r="AT605" s="36"/>
    </row>
    <row r="606" spans="2:46" x14ac:dyDescent="0.25">
      <c r="B606" s="44"/>
      <c r="D606" s="349"/>
      <c r="E606" s="33"/>
      <c r="F606" s="33"/>
      <c r="G606" s="33"/>
      <c r="H606" s="33"/>
      <c r="I606" s="33"/>
      <c r="J606" s="33"/>
      <c r="K606" s="33"/>
      <c r="L606" s="561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44"/>
      <c r="AP606" s="37"/>
      <c r="AQ606" s="44"/>
      <c r="AR606" s="57"/>
      <c r="AS606" s="56">
        <f>Tabela4[[#This Row],[Total R$]]-Tabela4[[#This Row],[Total Pago]]</f>
        <v>0</v>
      </c>
      <c r="AT606" s="36"/>
    </row>
    <row r="607" spans="2:46" x14ac:dyDescent="0.25">
      <c r="B607" s="44"/>
      <c r="D607" s="349"/>
      <c r="E607" s="33"/>
      <c r="F607" s="33"/>
      <c r="G607" s="33"/>
      <c r="H607" s="33"/>
      <c r="I607" s="33"/>
      <c r="J607" s="33"/>
      <c r="K607" s="33"/>
      <c r="L607" s="561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44"/>
      <c r="AP607" s="37"/>
      <c r="AQ607" s="44"/>
      <c r="AR607" s="57"/>
      <c r="AS607" s="56">
        <f>Tabela4[[#This Row],[Total R$]]-Tabela4[[#This Row],[Total Pago]]</f>
        <v>0</v>
      </c>
      <c r="AT607" s="36"/>
    </row>
    <row r="608" spans="2:46" x14ac:dyDescent="0.25">
      <c r="B608" s="44"/>
      <c r="D608" s="349"/>
      <c r="E608" s="33"/>
      <c r="F608" s="33"/>
      <c r="G608" s="33"/>
      <c r="H608" s="33"/>
      <c r="I608" s="33"/>
      <c r="J608" s="33"/>
      <c r="K608" s="33"/>
      <c r="L608" s="561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44"/>
      <c r="AP608" s="37"/>
      <c r="AQ608" s="44"/>
      <c r="AR608" s="57"/>
      <c r="AS608" s="56">
        <f>Tabela4[[#This Row],[Total R$]]-Tabela4[[#This Row],[Total Pago]]</f>
        <v>0</v>
      </c>
      <c r="AT608" s="36"/>
    </row>
    <row r="609" spans="2:46" x14ac:dyDescent="0.25">
      <c r="B609" s="44"/>
      <c r="D609" s="349"/>
      <c r="E609" s="33"/>
      <c r="F609" s="33"/>
      <c r="G609" s="33"/>
      <c r="H609" s="33"/>
      <c r="I609" s="33"/>
      <c r="J609" s="33"/>
      <c r="K609" s="33"/>
      <c r="L609" s="561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44"/>
      <c r="AP609" s="37"/>
      <c r="AQ609" s="44"/>
      <c r="AR609" s="57"/>
      <c r="AS609" s="56">
        <f>Tabela4[[#This Row],[Total R$]]-Tabela4[[#This Row],[Total Pago]]</f>
        <v>0</v>
      </c>
      <c r="AT609" s="36"/>
    </row>
    <row r="610" spans="2:46" x14ac:dyDescent="0.25">
      <c r="B610" s="44"/>
      <c r="D610" s="349"/>
      <c r="E610" s="33"/>
      <c r="F610" s="33"/>
      <c r="G610" s="33"/>
      <c r="H610" s="33"/>
      <c r="I610" s="33"/>
      <c r="J610" s="33"/>
      <c r="K610" s="33"/>
      <c r="L610" s="561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44"/>
      <c r="AP610" s="37"/>
      <c r="AQ610" s="44"/>
      <c r="AR610" s="57"/>
      <c r="AS610" s="56">
        <f>Tabela4[[#This Row],[Total R$]]-Tabela4[[#This Row],[Total Pago]]</f>
        <v>0</v>
      </c>
      <c r="AT610" s="36"/>
    </row>
    <row r="611" spans="2:46" x14ac:dyDescent="0.25">
      <c r="B611" s="44"/>
      <c r="D611" s="349"/>
      <c r="E611" s="33"/>
      <c r="F611" s="33"/>
      <c r="G611" s="33"/>
      <c r="H611" s="33"/>
      <c r="I611" s="33"/>
      <c r="J611" s="33"/>
      <c r="K611" s="33"/>
      <c r="L611" s="561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44"/>
      <c r="AP611" s="37"/>
      <c r="AQ611" s="44"/>
      <c r="AR611" s="57"/>
      <c r="AS611" s="56">
        <f>Tabela4[[#This Row],[Total R$]]-Tabela4[[#This Row],[Total Pago]]</f>
        <v>0</v>
      </c>
      <c r="AT611" s="36"/>
    </row>
    <row r="612" spans="2:46" x14ac:dyDescent="0.25">
      <c r="B612" s="44"/>
      <c r="D612" s="349"/>
      <c r="E612" s="33"/>
      <c r="F612" s="33"/>
      <c r="G612" s="33"/>
      <c r="H612" s="33"/>
      <c r="I612" s="33"/>
      <c r="J612" s="33"/>
      <c r="K612" s="33"/>
      <c r="L612" s="561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44"/>
      <c r="AP612" s="37"/>
      <c r="AQ612" s="44"/>
      <c r="AR612" s="57"/>
      <c r="AS612" s="56">
        <f>Tabela4[[#This Row],[Total R$]]-Tabela4[[#This Row],[Total Pago]]</f>
        <v>0</v>
      </c>
      <c r="AT612" s="36"/>
    </row>
    <row r="613" spans="2:46" x14ac:dyDescent="0.25">
      <c r="B613" s="44"/>
      <c r="D613" s="349"/>
      <c r="E613" s="33"/>
      <c r="F613" s="33"/>
      <c r="G613" s="33"/>
      <c r="H613" s="33"/>
      <c r="I613" s="33"/>
      <c r="J613" s="33"/>
      <c r="K613" s="33"/>
      <c r="L613" s="561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44"/>
      <c r="AP613" s="37"/>
      <c r="AQ613" s="44"/>
      <c r="AR613" s="57"/>
      <c r="AS613" s="56">
        <f>Tabela4[[#This Row],[Total R$]]-Tabela4[[#This Row],[Total Pago]]</f>
        <v>0</v>
      </c>
      <c r="AT613" s="36"/>
    </row>
    <row r="614" spans="2:46" x14ac:dyDescent="0.25">
      <c r="B614" s="44"/>
      <c r="D614" s="349"/>
      <c r="E614" s="33"/>
      <c r="F614" s="33"/>
      <c r="G614" s="33"/>
      <c r="H614" s="33"/>
      <c r="I614" s="33"/>
      <c r="J614" s="33"/>
      <c r="K614" s="33"/>
      <c r="L614" s="561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44"/>
      <c r="AP614" s="37"/>
      <c r="AQ614" s="44"/>
      <c r="AR614" s="57"/>
      <c r="AS614" s="56">
        <f>Tabela4[[#This Row],[Total R$]]-Tabela4[[#This Row],[Total Pago]]</f>
        <v>0</v>
      </c>
      <c r="AT614" s="36"/>
    </row>
    <row r="615" spans="2:46" x14ac:dyDescent="0.25">
      <c r="B615" s="44"/>
      <c r="D615" s="349"/>
      <c r="E615" s="33"/>
      <c r="F615" s="33"/>
      <c r="G615" s="33"/>
      <c r="H615" s="33"/>
      <c r="I615" s="33"/>
      <c r="J615" s="33"/>
      <c r="K615" s="33"/>
      <c r="L615" s="561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44"/>
      <c r="AP615" s="37"/>
      <c r="AQ615" s="44"/>
      <c r="AR615" s="57"/>
      <c r="AS615" s="56">
        <f>Tabela4[[#This Row],[Total R$]]-Tabela4[[#This Row],[Total Pago]]</f>
        <v>0</v>
      </c>
      <c r="AT615" s="36"/>
    </row>
    <row r="616" spans="2:46" x14ac:dyDescent="0.25">
      <c r="B616" s="44"/>
      <c r="D616" s="349"/>
      <c r="E616" s="33"/>
      <c r="F616" s="33"/>
      <c r="G616" s="33"/>
      <c r="H616" s="33"/>
      <c r="I616" s="33"/>
      <c r="J616" s="33"/>
      <c r="K616" s="33"/>
      <c r="L616" s="561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44"/>
      <c r="AP616" s="37"/>
      <c r="AQ616" s="44"/>
      <c r="AR616" s="57"/>
      <c r="AS616" s="56">
        <f>Tabela4[[#This Row],[Total R$]]-Tabela4[[#This Row],[Total Pago]]</f>
        <v>0</v>
      </c>
      <c r="AT616" s="36"/>
    </row>
    <row r="617" spans="2:46" x14ac:dyDescent="0.25">
      <c r="B617" s="44"/>
      <c r="D617" s="349"/>
      <c r="E617" s="33"/>
      <c r="F617" s="33"/>
      <c r="G617" s="33"/>
      <c r="H617" s="33"/>
      <c r="I617" s="33"/>
      <c r="J617" s="33"/>
      <c r="K617" s="33"/>
      <c r="L617" s="561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44"/>
      <c r="AP617" s="37"/>
      <c r="AQ617" s="44"/>
      <c r="AR617" s="57"/>
      <c r="AS617" s="56">
        <f>Tabela4[[#This Row],[Total R$]]-Tabela4[[#This Row],[Total Pago]]</f>
        <v>0</v>
      </c>
      <c r="AT617" s="36"/>
    </row>
    <row r="618" spans="2:46" x14ac:dyDescent="0.25">
      <c r="B618" s="44"/>
      <c r="D618" s="349"/>
      <c r="E618" s="33"/>
      <c r="F618" s="33"/>
      <c r="G618" s="33"/>
      <c r="H618" s="33"/>
      <c r="I618" s="33"/>
      <c r="J618" s="33"/>
      <c r="K618" s="33"/>
      <c r="L618" s="561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44"/>
      <c r="AP618" s="37"/>
      <c r="AQ618" s="44"/>
      <c r="AR618" s="57"/>
      <c r="AS618" s="56">
        <f>Tabela4[[#This Row],[Total R$]]-Tabela4[[#This Row],[Total Pago]]</f>
        <v>0</v>
      </c>
      <c r="AT618" s="36"/>
    </row>
    <row r="619" spans="2:46" x14ac:dyDescent="0.25">
      <c r="B619" s="44"/>
      <c r="D619" s="349"/>
      <c r="E619" s="33"/>
      <c r="F619" s="33"/>
      <c r="G619" s="33"/>
      <c r="H619" s="33"/>
      <c r="I619" s="33"/>
      <c r="J619" s="33"/>
      <c r="K619" s="33"/>
      <c r="L619" s="561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44"/>
      <c r="AP619" s="37"/>
      <c r="AQ619" s="44"/>
      <c r="AR619" s="57"/>
      <c r="AS619" s="56">
        <f>Tabela4[[#This Row],[Total R$]]-Tabela4[[#This Row],[Total Pago]]</f>
        <v>0</v>
      </c>
      <c r="AT619" s="36"/>
    </row>
    <row r="620" spans="2:46" x14ac:dyDescent="0.25">
      <c r="B620" s="44"/>
      <c r="D620" s="349"/>
      <c r="E620" s="33"/>
      <c r="F620" s="33"/>
      <c r="G620" s="33"/>
      <c r="H620" s="33"/>
      <c r="I620" s="33"/>
      <c r="J620" s="33"/>
      <c r="K620" s="33"/>
      <c r="L620" s="561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44"/>
      <c r="AP620" s="37"/>
      <c r="AQ620" s="44"/>
      <c r="AR620" s="57"/>
      <c r="AS620" s="56">
        <f>Tabela4[[#This Row],[Total R$]]-Tabela4[[#This Row],[Total Pago]]</f>
        <v>0</v>
      </c>
      <c r="AT620" s="36"/>
    </row>
    <row r="621" spans="2:46" x14ac:dyDescent="0.25">
      <c r="B621" s="44"/>
      <c r="D621" s="349"/>
      <c r="E621" s="33"/>
      <c r="F621" s="33"/>
      <c r="G621" s="33"/>
      <c r="H621" s="33"/>
      <c r="I621" s="33"/>
      <c r="J621" s="33"/>
      <c r="K621" s="33"/>
      <c r="L621" s="561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44"/>
      <c r="AP621" s="37"/>
      <c r="AQ621" s="44"/>
      <c r="AR621" s="57"/>
      <c r="AS621" s="56">
        <f>Tabela4[[#This Row],[Total R$]]-Tabela4[[#This Row],[Total Pago]]</f>
        <v>0</v>
      </c>
      <c r="AT621" s="36"/>
    </row>
    <row r="622" spans="2:46" x14ac:dyDescent="0.25">
      <c r="B622" s="44"/>
      <c r="D622" s="349"/>
      <c r="E622" s="33"/>
      <c r="F622" s="33"/>
      <c r="G622" s="33"/>
      <c r="H622" s="33"/>
      <c r="I622" s="33"/>
      <c r="J622" s="33"/>
      <c r="K622" s="33"/>
      <c r="L622" s="561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44"/>
      <c r="AP622" s="37"/>
      <c r="AQ622" s="44"/>
      <c r="AR622" s="57"/>
      <c r="AS622" s="56">
        <f>Tabela4[[#This Row],[Total R$]]-Tabela4[[#This Row],[Total Pago]]</f>
        <v>0</v>
      </c>
      <c r="AT622" s="36"/>
    </row>
    <row r="623" spans="2:46" x14ac:dyDescent="0.25">
      <c r="B623" s="44"/>
      <c r="D623" s="349"/>
      <c r="E623" s="33"/>
      <c r="F623" s="33"/>
      <c r="G623" s="33"/>
      <c r="H623" s="33"/>
      <c r="I623" s="33"/>
      <c r="J623" s="33"/>
      <c r="K623" s="33"/>
      <c r="L623" s="561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44"/>
      <c r="AP623" s="37"/>
      <c r="AQ623" s="44"/>
      <c r="AR623" s="57"/>
      <c r="AS623" s="56">
        <f>Tabela4[[#This Row],[Total R$]]-Tabela4[[#This Row],[Total Pago]]</f>
        <v>0</v>
      </c>
      <c r="AT623" s="36"/>
    </row>
    <row r="624" spans="2:46" x14ac:dyDescent="0.25">
      <c r="B624" s="44"/>
      <c r="D624" s="349"/>
      <c r="E624" s="33"/>
      <c r="F624" s="33"/>
      <c r="G624" s="33"/>
      <c r="H624" s="33"/>
      <c r="I624" s="33"/>
      <c r="J624" s="33"/>
      <c r="K624" s="33"/>
      <c r="L624" s="561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44"/>
      <c r="AP624" s="37"/>
      <c r="AQ624" s="44"/>
      <c r="AR624" s="57"/>
      <c r="AS624" s="56">
        <f>Tabela4[[#This Row],[Total R$]]-Tabela4[[#This Row],[Total Pago]]</f>
        <v>0</v>
      </c>
      <c r="AT624" s="36"/>
    </row>
    <row r="625" spans="2:46" x14ac:dyDescent="0.25">
      <c r="B625" s="44"/>
      <c r="D625" s="349"/>
      <c r="E625" s="33"/>
      <c r="F625" s="33"/>
      <c r="G625" s="33"/>
      <c r="H625" s="33"/>
      <c r="I625" s="33"/>
      <c r="J625" s="33"/>
      <c r="K625" s="33"/>
      <c r="L625" s="561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44"/>
      <c r="AP625" s="37"/>
      <c r="AQ625" s="44"/>
      <c r="AR625" s="57"/>
      <c r="AS625" s="56">
        <f>Tabela4[[#This Row],[Total R$]]-Tabela4[[#This Row],[Total Pago]]</f>
        <v>0</v>
      </c>
      <c r="AT625" s="36"/>
    </row>
    <row r="626" spans="2:46" x14ac:dyDescent="0.25">
      <c r="B626" s="44"/>
      <c r="D626" s="349"/>
      <c r="E626" s="33"/>
      <c r="F626" s="33"/>
      <c r="G626" s="33"/>
      <c r="H626" s="33"/>
      <c r="I626" s="33"/>
      <c r="J626" s="33"/>
      <c r="K626" s="33"/>
      <c r="L626" s="561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44"/>
      <c r="AP626" s="37"/>
      <c r="AQ626" s="44"/>
      <c r="AR626" s="57"/>
      <c r="AS626" s="56">
        <f>Tabela4[[#This Row],[Total R$]]-Tabela4[[#This Row],[Total Pago]]</f>
        <v>0</v>
      </c>
      <c r="AT626" s="36"/>
    </row>
    <row r="627" spans="2:46" x14ac:dyDescent="0.25">
      <c r="B627" s="44"/>
      <c r="D627" s="349"/>
      <c r="E627" s="33"/>
      <c r="F627" s="33"/>
      <c r="G627" s="33"/>
      <c r="H627" s="33"/>
      <c r="I627" s="33"/>
      <c r="J627" s="33"/>
      <c r="K627" s="33"/>
      <c r="L627" s="561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44"/>
      <c r="AP627" s="37"/>
      <c r="AQ627" s="44"/>
      <c r="AR627" s="57"/>
      <c r="AS627" s="56">
        <f>Tabela4[[#This Row],[Total R$]]-Tabela4[[#This Row],[Total Pago]]</f>
        <v>0</v>
      </c>
      <c r="AT627" s="36"/>
    </row>
    <row r="628" spans="2:46" x14ac:dyDescent="0.25">
      <c r="B628" s="44"/>
      <c r="D628" s="349"/>
      <c r="E628" s="33"/>
      <c r="F628" s="33"/>
      <c r="G628" s="33"/>
      <c r="H628" s="33"/>
      <c r="I628" s="33"/>
      <c r="J628" s="33"/>
      <c r="K628" s="33"/>
      <c r="L628" s="561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44"/>
      <c r="AP628" s="37"/>
      <c r="AQ628" s="44"/>
      <c r="AR628" s="57"/>
      <c r="AS628" s="56">
        <f>Tabela4[[#This Row],[Total R$]]-Tabela4[[#This Row],[Total Pago]]</f>
        <v>0</v>
      </c>
      <c r="AT628" s="36"/>
    </row>
    <row r="629" spans="2:46" x14ac:dyDescent="0.25">
      <c r="B629" s="44"/>
      <c r="D629" s="349"/>
      <c r="E629" s="33"/>
      <c r="F629" s="33"/>
      <c r="G629" s="33"/>
      <c r="H629" s="33"/>
      <c r="I629" s="33"/>
      <c r="J629" s="33"/>
      <c r="K629" s="33"/>
      <c r="L629" s="561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44"/>
      <c r="AP629" s="37"/>
      <c r="AQ629" s="44"/>
      <c r="AR629" s="57"/>
      <c r="AS629" s="56">
        <f>Tabela4[[#This Row],[Total R$]]-Tabela4[[#This Row],[Total Pago]]</f>
        <v>0</v>
      </c>
      <c r="AT629" s="36"/>
    </row>
    <row r="630" spans="2:46" x14ac:dyDescent="0.25">
      <c r="B630" s="44"/>
      <c r="D630" s="349"/>
      <c r="E630" s="33"/>
      <c r="F630" s="33"/>
      <c r="G630" s="33"/>
      <c r="H630" s="33"/>
      <c r="I630" s="33"/>
      <c r="J630" s="33"/>
      <c r="K630" s="33"/>
      <c r="L630" s="561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44"/>
      <c r="AP630" s="37"/>
      <c r="AQ630" s="44"/>
      <c r="AR630" s="57"/>
      <c r="AS630" s="56">
        <f>Tabela4[[#This Row],[Total R$]]-Tabela4[[#This Row],[Total Pago]]</f>
        <v>0</v>
      </c>
      <c r="AT630" s="36"/>
    </row>
    <row r="631" spans="2:46" x14ac:dyDescent="0.25">
      <c r="B631" s="44"/>
      <c r="D631" s="349"/>
      <c r="E631" s="33"/>
      <c r="F631" s="33"/>
      <c r="G631" s="33"/>
      <c r="H631" s="33"/>
      <c r="I631" s="33"/>
      <c r="J631" s="33"/>
      <c r="K631" s="33"/>
      <c r="L631" s="561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44"/>
      <c r="AP631" s="37"/>
      <c r="AQ631" s="44"/>
      <c r="AR631" s="57"/>
      <c r="AS631" s="56">
        <f>Tabela4[[#This Row],[Total R$]]-Tabela4[[#This Row],[Total Pago]]</f>
        <v>0</v>
      </c>
      <c r="AT631" s="36"/>
    </row>
    <row r="632" spans="2:46" x14ac:dyDescent="0.25">
      <c r="B632" s="44"/>
      <c r="D632" s="349"/>
      <c r="E632" s="33"/>
      <c r="F632" s="33"/>
      <c r="G632" s="33"/>
      <c r="H632" s="33"/>
      <c r="I632" s="33"/>
      <c r="J632" s="33"/>
      <c r="K632" s="33"/>
      <c r="L632" s="561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44"/>
      <c r="AP632" s="37"/>
      <c r="AQ632" s="44"/>
      <c r="AR632" s="57"/>
      <c r="AS632" s="56">
        <f>Tabela4[[#This Row],[Total R$]]-Tabela4[[#This Row],[Total Pago]]</f>
        <v>0</v>
      </c>
      <c r="AT632" s="36"/>
    </row>
    <row r="633" spans="2:46" x14ac:dyDescent="0.25">
      <c r="B633" s="44"/>
      <c r="D633" s="349"/>
      <c r="E633" s="33"/>
      <c r="F633" s="33"/>
      <c r="G633" s="33"/>
      <c r="H633" s="33"/>
      <c r="I633" s="33"/>
      <c r="J633" s="33"/>
      <c r="K633" s="33"/>
      <c r="L633" s="561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44"/>
      <c r="AP633" s="37"/>
      <c r="AQ633" s="44"/>
      <c r="AR633" s="57"/>
      <c r="AS633" s="56">
        <f>Tabela4[[#This Row],[Total R$]]-Tabela4[[#This Row],[Total Pago]]</f>
        <v>0</v>
      </c>
      <c r="AT633" s="36"/>
    </row>
    <row r="634" spans="2:46" x14ac:dyDescent="0.25">
      <c r="B634" s="44"/>
      <c r="D634" s="349"/>
      <c r="E634" s="33"/>
      <c r="F634" s="33"/>
      <c r="G634" s="33"/>
      <c r="H634" s="33"/>
      <c r="I634" s="33"/>
      <c r="J634" s="33"/>
      <c r="K634" s="33"/>
      <c r="L634" s="561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44"/>
      <c r="AP634" s="37"/>
      <c r="AQ634" s="44"/>
      <c r="AR634" s="57"/>
      <c r="AS634" s="56">
        <f>Tabela4[[#This Row],[Total R$]]-Tabela4[[#This Row],[Total Pago]]</f>
        <v>0</v>
      </c>
      <c r="AT634" s="36"/>
    </row>
    <row r="635" spans="2:46" x14ac:dyDescent="0.25">
      <c r="B635" s="44"/>
      <c r="D635" s="349"/>
      <c r="E635" s="33"/>
      <c r="F635" s="33"/>
      <c r="G635" s="33"/>
      <c r="H635" s="33"/>
      <c r="I635" s="33"/>
      <c r="J635" s="33"/>
      <c r="K635" s="33"/>
      <c r="L635" s="561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44"/>
      <c r="AP635" s="37"/>
      <c r="AQ635" s="44"/>
      <c r="AR635" s="57"/>
      <c r="AS635" s="56">
        <f>Tabela4[[#This Row],[Total R$]]-Tabela4[[#This Row],[Total Pago]]</f>
        <v>0</v>
      </c>
      <c r="AT635" s="36"/>
    </row>
    <row r="636" spans="2:46" x14ac:dyDescent="0.25">
      <c r="B636" s="44"/>
      <c r="D636" s="349"/>
      <c r="E636" s="33"/>
      <c r="F636" s="33"/>
      <c r="G636" s="33"/>
      <c r="H636" s="33"/>
      <c r="I636" s="33"/>
      <c r="J636" s="33"/>
      <c r="K636" s="33"/>
      <c r="L636" s="561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44"/>
      <c r="AP636" s="37"/>
      <c r="AQ636" s="44"/>
      <c r="AR636" s="57"/>
      <c r="AS636" s="56">
        <f>Tabela4[[#This Row],[Total R$]]-Tabela4[[#This Row],[Total Pago]]</f>
        <v>0</v>
      </c>
      <c r="AT636" s="36"/>
    </row>
    <row r="637" spans="2:46" x14ac:dyDescent="0.25">
      <c r="B637" s="44"/>
      <c r="D637" s="349"/>
      <c r="E637" s="33"/>
      <c r="F637" s="33"/>
      <c r="G637" s="33"/>
      <c r="H637" s="33"/>
      <c r="I637" s="33"/>
      <c r="J637" s="33"/>
      <c r="K637" s="33"/>
      <c r="L637" s="561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44"/>
      <c r="AP637" s="37"/>
      <c r="AQ637" s="44"/>
      <c r="AR637" s="57"/>
      <c r="AS637" s="56">
        <f>Tabela4[[#This Row],[Total R$]]-Tabela4[[#This Row],[Total Pago]]</f>
        <v>0</v>
      </c>
      <c r="AT637" s="36"/>
    </row>
    <row r="638" spans="2:46" x14ac:dyDescent="0.25">
      <c r="B638" s="44"/>
      <c r="D638" s="349"/>
      <c r="E638" s="33"/>
      <c r="F638" s="33"/>
      <c r="G638" s="33"/>
      <c r="H638" s="33"/>
      <c r="I638" s="33"/>
      <c r="J638" s="33"/>
      <c r="K638" s="33"/>
      <c r="L638" s="561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44"/>
      <c r="AP638" s="37"/>
      <c r="AQ638" s="44"/>
      <c r="AR638" s="57"/>
      <c r="AS638" s="56">
        <f>Tabela4[[#This Row],[Total R$]]-Tabela4[[#This Row],[Total Pago]]</f>
        <v>0</v>
      </c>
      <c r="AT638" s="36"/>
    </row>
    <row r="639" spans="2:46" x14ac:dyDescent="0.25">
      <c r="B639" s="44"/>
      <c r="D639" s="349"/>
      <c r="E639" s="33"/>
      <c r="F639" s="33"/>
      <c r="G639" s="33"/>
      <c r="H639" s="33"/>
      <c r="I639" s="33"/>
      <c r="J639" s="33"/>
      <c r="K639" s="33"/>
      <c r="L639" s="561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44"/>
      <c r="AP639" s="37"/>
      <c r="AQ639" s="44"/>
      <c r="AR639" s="57"/>
      <c r="AS639" s="56">
        <f>Tabela4[[#This Row],[Total R$]]-Tabela4[[#This Row],[Total Pago]]</f>
        <v>0</v>
      </c>
      <c r="AT639" s="36"/>
    </row>
    <row r="640" spans="2:46" x14ac:dyDescent="0.25">
      <c r="B640" s="44"/>
      <c r="D640" s="349"/>
      <c r="E640" s="33"/>
      <c r="F640" s="33"/>
      <c r="G640" s="33"/>
      <c r="H640" s="33"/>
      <c r="I640" s="33"/>
      <c r="J640" s="33"/>
      <c r="K640" s="33"/>
      <c r="L640" s="561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44"/>
      <c r="AP640" s="37"/>
      <c r="AQ640" s="44"/>
      <c r="AR640" s="57"/>
      <c r="AS640" s="56">
        <f>Tabela4[[#This Row],[Total R$]]-Tabela4[[#This Row],[Total Pago]]</f>
        <v>0</v>
      </c>
      <c r="AT640" s="36"/>
    </row>
    <row r="641" spans="2:46" x14ac:dyDescent="0.25">
      <c r="B641" s="44"/>
      <c r="D641" s="349"/>
      <c r="E641" s="33"/>
      <c r="F641" s="33"/>
      <c r="G641" s="33"/>
      <c r="H641" s="33"/>
      <c r="I641" s="33"/>
      <c r="J641" s="33"/>
      <c r="K641" s="33"/>
      <c r="L641" s="561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44"/>
      <c r="AP641" s="37"/>
      <c r="AQ641" s="44"/>
      <c r="AR641" s="57"/>
      <c r="AS641" s="56">
        <f>Tabela4[[#This Row],[Total R$]]-Tabela4[[#This Row],[Total Pago]]</f>
        <v>0</v>
      </c>
      <c r="AT641" s="36"/>
    </row>
    <row r="642" spans="2:46" x14ac:dyDescent="0.25">
      <c r="B642" s="44"/>
      <c r="D642" s="349"/>
      <c r="E642" s="33"/>
      <c r="F642" s="33"/>
      <c r="G642" s="33"/>
      <c r="H642" s="33"/>
      <c r="I642" s="33"/>
      <c r="J642" s="33"/>
      <c r="K642" s="33"/>
      <c r="L642" s="561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44"/>
      <c r="AP642" s="37"/>
      <c r="AQ642" s="44"/>
      <c r="AR642" s="57"/>
      <c r="AS642" s="56">
        <f>Tabela4[[#This Row],[Total R$]]-Tabela4[[#This Row],[Total Pago]]</f>
        <v>0</v>
      </c>
      <c r="AT642" s="36"/>
    </row>
    <row r="643" spans="2:46" x14ac:dyDescent="0.25">
      <c r="B643" s="44"/>
      <c r="D643" s="349"/>
      <c r="E643" s="33"/>
      <c r="F643" s="33"/>
      <c r="G643" s="33"/>
      <c r="H643" s="33"/>
      <c r="I643" s="33"/>
      <c r="J643" s="33"/>
      <c r="K643" s="33"/>
      <c r="L643" s="561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44"/>
      <c r="AP643" s="37"/>
      <c r="AQ643" s="44"/>
      <c r="AR643" s="57"/>
      <c r="AS643" s="56">
        <f>Tabela4[[#This Row],[Total R$]]-Tabela4[[#This Row],[Total Pago]]</f>
        <v>0</v>
      </c>
      <c r="AT643" s="36"/>
    </row>
    <row r="644" spans="2:46" x14ac:dyDescent="0.25">
      <c r="B644" s="44"/>
      <c r="D644" s="349"/>
      <c r="E644" s="33"/>
      <c r="F644" s="33"/>
      <c r="G644" s="33"/>
      <c r="H644" s="33"/>
      <c r="I644" s="33"/>
      <c r="J644" s="33"/>
      <c r="K644" s="33"/>
      <c r="L644" s="561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44"/>
      <c r="AP644" s="37"/>
      <c r="AQ644" s="44"/>
      <c r="AR644" s="57"/>
      <c r="AS644" s="56">
        <f>Tabela4[[#This Row],[Total R$]]-Tabela4[[#This Row],[Total Pago]]</f>
        <v>0</v>
      </c>
      <c r="AT644" s="36"/>
    </row>
    <row r="645" spans="2:46" x14ac:dyDescent="0.25">
      <c r="B645" s="44"/>
      <c r="D645" s="349"/>
      <c r="E645" s="33"/>
      <c r="F645" s="33"/>
      <c r="G645" s="33"/>
      <c r="H645" s="33"/>
      <c r="I645" s="33"/>
      <c r="J645" s="33"/>
      <c r="K645" s="33"/>
      <c r="L645" s="561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44"/>
      <c r="AP645" s="37"/>
      <c r="AQ645" s="44"/>
      <c r="AR645" s="57"/>
      <c r="AS645" s="56">
        <f>Tabela4[[#This Row],[Total R$]]-Tabela4[[#This Row],[Total Pago]]</f>
        <v>0</v>
      </c>
      <c r="AT645" s="36"/>
    </row>
    <row r="646" spans="2:46" x14ac:dyDescent="0.25">
      <c r="B646" s="44"/>
      <c r="D646" s="349"/>
      <c r="E646" s="33"/>
      <c r="F646" s="33"/>
      <c r="G646" s="33"/>
      <c r="H646" s="33"/>
      <c r="I646" s="33"/>
      <c r="J646" s="33"/>
      <c r="K646" s="33"/>
      <c r="L646" s="561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44"/>
      <c r="AP646" s="37"/>
      <c r="AQ646" s="44"/>
      <c r="AR646" s="57"/>
      <c r="AS646" s="56">
        <f>Tabela4[[#This Row],[Total R$]]-Tabela4[[#This Row],[Total Pago]]</f>
        <v>0</v>
      </c>
      <c r="AT646" s="36"/>
    </row>
    <row r="647" spans="2:46" x14ac:dyDescent="0.25">
      <c r="B647" s="44"/>
      <c r="D647" s="349"/>
      <c r="E647" s="33"/>
      <c r="F647" s="33"/>
      <c r="G647" s="33"/>
      <c r="H647" s="33"/>
      <c r="I647" s="33"/>
      <c r="J647" s="33"/>
      <c r="K647" s="33"/>
      <c r="L647" s="561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44"/>
      <c r="AP647" s="37"/>
      <c r="AQ647" s="44"/>
      <c r="AR647" s="57"/>
      <c r="AS647" s="56">
        <f>Tabela4[[#This Row],[Total R$]]-Tabela4[[#This Row],[Total Pago]]</f>
        <v>0</v>
      </c>
      <c r="AT647" s="36"/>
    </row>
    <row r="648" spans="2:46" x14ac:dyDescent="0.25">
      <c r="B648" s="44"/>
      <c r="D648" s="349"/>
      <c r="E648" s="33"/>
      <c r="F648" s="33"/>
      <c r="G648" s="33"/>
      <c r="H648" s="33"/>
      <c r="I648" s="33"/>
      <c r="J648" s="33"/>
      <c r="K648" s="33"/>
      <c r="L648" s="561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44"/>
      <c r="AP648" s="37"/>
      <c r="AQ648" s="44"/>
      <c r="AR648" s="57"/>
      <c r="AS648" s="56">
        <f>Tabela4[[#This Row],[Total R$]]-Tabela4[[#This Row],[Total Pago]]</f>
        <v>0</v>
      </c>
      <c r="AT648" s="36"/>
    </row>
    <row r="649" spans="2:46" x14ac:dyDescent="0.25">
      <c r="B649" s="44"/>
      <c r="D649" s="349"/>
      <c r="E649" s="33"/>
      <c r="F649" s="33"/>
      <c r="G649" s="33"/>
      <c r="H649" s="33"/>
      <c r="I649" s="33"/>
      <c r="J649" s="33"/>
      <c r="K649" s="33"/>
      <c r="L649" s="561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44"/>
      <c r="AP649" s="37"/>
      <c r="AQ649" s="44"/>
      <c r="AR649" s="57"/>
      <c r="AS649" s="56">
        <f>Tabela4[[#This Row],[Total R$]]-Tabela4[[#This Row],[Total Pago]]</f>
        <v>0</v>
      </c>
      <c r="AT649" s="36"/>
    </row>
    <row r="650" spans="2:46" x14ac:dyDescent="0.25">
      <c r="B650" s="44"/>
      <c r="D650" s="349"/>
      <c r="E650" s="33"/>
      <c r="F650" s="33"/>
      <c r="G650" s="33"/>
      <c r="H650" s="33"/>
      <c r="I650" s="33"/>
      <c r="J650" s="33"/>
      <c r="K650" s="33"/>
      <c r="L650" s="561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44"/>
      <c r="AP650" s="37"/>
      <c r="AQ650" s="44"/>
      <c r="AR650" s="57"/>
      <c r="AS650" s="56">
        <f>Tabela4[[#This Row],[Total R$]]-Tabela4[[#This Row],[Total Pago]]</f>
        <v>0</v>
      </c>
      <c r="AT650" s="36"/>
    </row>
    <row r="651" spans="2:46" x14ac:dyDescent="0.25">
      <c r="B651" s="44"/>
      <c r="D651" s="349"/>
      <c r="E651" s="33"/>
      <c r="F651" s="33"/>
      <c r="G651" s="33"/>
      <c r="H651" s="33"/>
      <c r="I651" s="33"/>
      <c r="J651" s="33"/>
      <c r="K651" s="33"/>
      <c r="L651" s="561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44"/>
      <c r="AP651" s="37"/>
      <c r="AQ651" s="44"/>
      <c r="AR651" s="57"/>
      <c r="AS651" s="56">
        <f>Tabela4[[#This Row],[Total R$]]-Tabela4[[#This Row],[Total Pago]]</f>
        <v>0</v>
      </c>
      <c r="AT651" s="36"/>
    </row>
    <row r="652" spans="2:46" x14ac:dyDescent="0.25">
      <c r="B652" s="44"/>
      <c r="D652" s="349"/>
      <c r="E652" s="33"/>
      <c r="F652" s="33"/>
      <c r="G652" s="33"/>
      <c r="H652" s="33"/>
      <c r="I652" s="33"/>
      <c r="J652" s="33"/>
      <c r="K652" s="33"/>
      <c r="L652" s="561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44"/>
      <c r="AP652" s="37"/>
      <c r="AQ652" s="44"/>
      <c r="AR652" s="57"/>
      <c r="AS652" s="56">
        <f>Tabela4[[#This Row],[Total R$]]-Tabela4[[#This Row],[Total Pago]]</f>
        <v>0</v>
      </c>
      <c r="AT652" s="36"/>
    </row>
    <row r="653" spans="2:46" x14ac:dyDescent="0.25">
      <c r="B653" s="44"/>
      <c r="D653" s="349"/>
      <c r="E653" s="33"/>
      <c r="F653" s="33"/>
      <c r="G653" s="33"/>
      <c r="H653" s="33"/>
      <c r="I653" s="33"/>
      <c r="J653" s="33"/>
      <c r="K653" s="33"/>
      <c r="L653" s="561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44"/>
      <c r="AP653" s="37"/>
      <c r="AQ653" s="44"/>
      <c r="AR653" s="57"/>
      <c r="AS653" s="56">
        <f>Tabela4[[#This Row],[Total R$]]-Tabela4[[#This Row],[Total Pago]]</f>
        <v>0</v>
      </c>
      <c r="AT653" s="36"/>
    </row>
    <row r="654" spans="2:46" x14ac:dyDescent="0.25">
      <c r="B654" s="44"/>
      <c r="D654" s="349"/>
      <c r="E654" s="33"/>
      <c r="F654" s="33"/>
      <c r="G654" s="33"/>
      <c r="H654" s="33"/>
      <c r="I654" s="33"/>
      <c r="J654" s="33"/>
      <c r="K654" s="33"/>
      <c r="L654" s="561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44"/>
      <c r="AP654" s="37"/>
      <c r="AQ654" s="44"/>
      <c r="AR654" s="57"/>
      <c r="AS654" s="56">
        <f>Tabela4[[#This Row],[Total R$]]-Tabela4[[#This Row],[Total Pago]]</f>
        <v>0</v>
      </c>
      <c r="AT654" s="36"/>
    </row>
    <row r="655" spans="2:46" x14ac:dyDescent="0.25">
      <c r="B655" s="44"/>
      <c r="D655" s="349"/>
      <c r="E655" s="33"/>
      <c r="F655" s="33"/>
      <c r="G655" s="33"/>
      <c r="H655" s="33"/>
      <c r="I655" s="33"/>
      <c r="J655" s="33"/>
      <c r="K655" s="33"/>
      <c r="L655" s="561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44"/>
      <c r="AP655" s="37"/>
      <c r="AQ655" s="44"/>
      <c r="AR655" s="57"/>
      <c r="AS655" s="56">
        <f>Tabela4[[#This Row],[Total R$]]-Tabela4[[#This Row],[Total Pago]]</f>
        <v>0</v>
      </c>
      <c r="AT655" s="36"/>
    </row>
    <row r="656" spans="2:46" x14ac:dyDescent="0.25">
      <c r="B656" s="44"/>
      <c r="D656" s="349"/>
      <c r="E656" s="33"/>
      <c r="F656" s="33"/>
      <c r="G656" s="33"/>
      <c r="H656" s="33"/>
      <c r="I656" s="33"/>
      <c r="J656" s="33"/>
      <c r="K656" s="33"/>
      <c r="L656" s="561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44"/>
      <c r="AP656" s="37"/>
      <c r="AQ656" s="44"/>
      <c r="AR656" s="57"/>
      <c r="AS656" s="56">
        <f>Tabela4[[#This Row],[Total R$]]-Tabela4[[#This Row],[Total Pago]]</f>
        <v>0</v>
      </c>
      <c r="AT656" s="36"/>
    </row>
    <row r="657" spans="2:46" x14ac:dyDescent="0.25">
      <c r="B657" s="44"/>
      <c r="D657" s="349"/>
      <c r="E657" s="33"/>
      <c r="F657" s="33"/>
      <c r="G657" s="33"/>
      <c r="H657" s="33"/>
      <c r="I657" s="33"/>
      <c r="J657" s="33"/>
      <c r="K657" s="33"/>
      <c r="L657" s="561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44"/>
      <c r="AP657" s="37"/>
      <c r="AQ657" s="44"/>
      <c r="AR657" s="57"/>
      <c r="AS657" s="56">
        <f>Tabela4[[#This Row],[Total R$]]-Tabela4[[#This Row],[Total Pago]]</f>
        <v>0</v>
      </c>
      <c r="AT657" s="36"/>
    </row>
    <row r="658" spans="2:46" x14ac:dyDescent="0.25">
      <c r="B658" s="44"/>
      <c r="D658" s="349"/>
      <c r="E658" s="33"/>
      <c r="F658" s="33"/>
      <c r="G658" s="33"/>
      <c r="H658" s="33"/>
      <c r="I658" s="33"/>
      <c r="J658" s="33"/>
      <c r="K658" s="33"/>
      <c r="L658" s="561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44"/>
      <c r="AP658" s="37"/>
      <c r="AQ658" s="44"/>
      <c r="AR658" s="57"/>
      <c r="AS658" s="56">
        <f>Tabela4[[#This Row],[Total R$]]-Tabela4[[#This Row],[Total Pago]]</f>
        <v>0</v>
      </c>
      <c r="AT658" s="36"/>
    </row>
    <row r="659" spans="2:46" x14ac:dyDescent="0.25">
      <c r="B659" s="44"/>
      <c r="D659" s="349"/>
      <c r="E659" s="33"/>
      <c r="F659" s="33"/>
      <c r="G659" s="33"/>
      <c r="H659" s="33"/>
      <c r="I659" s="33"/>
      <c r="J659" s="33"/>
      <c r="K659" s="33"/>
      <c r="L659" s="561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44"/>
      <c r="AP659" s="37"/>
      <c r="AQ659" s="44"/>
      <c r="AR659" s="57"/>
      <c r="AS659" s="56">
        <f>Tabela4[[#This Row],[Total R$]]-Tabela4[[#This Row],[Total Pago]]</f>
        <v>0</v>
      </c>
      <c r="AT659" s="36"/>
    </row>
    <row r="660" spans="2:46" x14ac:dyDescent="0.25">
      <c r="B660" s="44"/>
      <c r="D660" s="349"/>
      <c r="E660" s="33"/>
      <c r="F660" s="33"/>
      <c r="G660" s="33"/>
      <c r="H660" s="33"/>
      <c r="I660" s="33"/>
      <c r="J660" s="33"/>
      <c r="K660" s="33"/>
      <c r="L660" s="561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44"/>
      <c r="AP660" s="37"/>
      <c r="AQ660" s="44"/>
      <c r="AR660" s="57"/>
      <c r="AS660" s="56">
        <f>Tabela4[[#This Row],[Total R$]]-Tabela4[[#This Row],[Total Pago]]</f>
        <v>0</v>
      </c>
      <c r="AT660" s="36"/>
    </row>
    <row r="661" spans="2:46" x14ac:dyDescent="0.25">
      <c r="B661" s="44"/>
      <c r="D661" s="349"/>
      <c r="E661" s="33"/>
      <c r="F661" s="33"/>
      <c r="G661" s="33"/>
      <c r="H661" s="33"/>
      <c r="I661" s="33"/>
      <c r="J661" s="33"/>
      <c r="K661" s="33"/>
      <c r="L661" s="561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44"/>
      <c r="AP661" s="37"/>
      <c r="AQ661" s="44"/>
      <c r="AR661" s="57"/>
      <c r="AS661" s="56">
        <f>Tabela4[[#This Row],[Total R$]]-Tabela4[[#This Row],[Total Pago]]</f>
        <v>0</v>
      </c>
      <c r="AT661" s="36"/>
    </row>
    <row r="662" spans="2:46" x14ac:dyDescent="0.25">
      <c r="B662" s="44"/>
      <c r="D662" s="349"/>
      <c r="E662" s="33"/>
      <c r="F662" s="33"/>
      <c r="G662" s="33"/>
      <c r="H662" s="33"/>
      <c r="I662" s="33"/>
      <c r="J662" s="33"/>
      <c r="K662" s="33"/>
      <c r="L662" s="561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44"/>
      <c r="AP662" s="37"/>
      <c r="AQ662" s="44"/>
      <c r="AR662" s="57"/>
      <c r="AS662" s="56">
        <f>Tabela4[[#This Row],[Total R$]]-Tabela4[[#This Row],[Total Pago]]</f>
        <v>0</v>
      </c>
      <c r="AT662" s="36"/>
    </row>
    <row r="663" spans="2:46" x14ac:dyDescent="0.25">
      <c r="B663" s="44"/>
      <c r="D663" s="349"/>
      <c r="E663" s="33"/>
      <c r="F663" s="33"/>
      <c r="G663" s="33"/>
      <c r="H663" s="33"/>
      <c r="I663" s="33"/>
      <c r="J663" s="33"/>
      <c r="K663" s="33"/>
      <c r="L663" s="561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44"/>
      <c r="AP663" s="37"/>
      <c r="AQ663" s="44"/>
      <c r="AR663" s="57"/>
      <c r="AS663" s="56">
        <f>Tabela4[[#This Row],[Total R$]]-Tabela4[[#This Row],[Total Pago]]</f>
        <v>0</v>
      </c>
      <c r="AT663" s="36"/>
    </row>
    <row r="664" spans="2:46" x14ac:dyDescent="0.25">
      <c r="B664" s="44"/>
      <c r="D664" s="349"/>
      <c r="E664" s="33"/>
      <c r="F664" s="33"/>
      <c r="G664" s="33"/>
      <c r="H664" s="33"/>
      <c r="I664" s="33"/>
      <c r="J664" s="33"/>
      <c r="K664" s="33"/>
      <c r="L664" s="561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44"/>
      <c r="AP664" s="37"/>
      <c r="AQ664" s="44"/>
      <c r="AR664" s="57"/>
      <c r="AS664" s="56">
        <f>Tabela4[[#This Row],[Total R$]]-Tabela4[[#This Row],[Total Pago]]</f>
        <v>0</v>
      </c>
      <c r="AT664" s="36"/>
    </row>
    <row r="665" spans="2:46" x14ac:dyDescent="0.25">
      <c r="B665" s="44"/>
      <c r="D665" s="349"/>
      <c r="E665" s="33"/>
      <c r="F665" s="33"/>
      <c r="G665" s="33"/>
      <c r="H665" s="33"/>
      <c r="I665" s="33"/>
      <c r="J665" s="33"/>
      <c r="K665" s="33"/>
      <c r="L665" s="561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44"/>
      <c r="AP665" s="37"/>
      <c r="AQ665" s="44"/>
      <c r="AR665" s="57"/>
      <c r="AS665" s="56">
        <f>Tabela4[[#This Row],[Total R$]]-Tabela4[[#This Row],[Total Pago]]</f>
        <v>0</v>
      </c>
      <c r="AT665" s="36"/>
    </row>
    <row r="666" spans="2:46" x14ac:dyDescent="0.25">
      <c r="B666" s="44"/>
      <c r="D666" s="349"/>
      <c r="E666" s="33"/>
      <c r="F666" s="33"/>
      <c r="G666" s="33"/>
      <c r="H666" s="33"/>
      <c r="I666" s="33"/>
      <c r="J666" s="33"/>
      <c r="K666" s="33"/>
      <c r="L666" s="561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44"/>
      <c r="AP666" s="37"/>
      <c r="AQ666" s="44"/>
      <c r="AR666" s="57"/>
      <c r="AS666" s="56">
        <f>Tabela4[[#This Row],[Total R$]]-Tabela4[[#This Row],[Total Pago]]</f>
        <v>0</v>
      </c>
      <c r="AT666" s="36"/>
    </row>
    <row r="667" spans="2:46" x14ac:dyDescent="0.25">
      <c r="B667" s="44"/>
      <c r="D667" s="349"/>
      <c r="E667" s="33"/>
      <c r="F667" s="33"/>
      <c r="G667" s="33"/>
      <c r="H667" s="33"/>
      <c r="I667" s="33"/>
      <c r="J667" s="33"/>
      <c r="K667" s="33"/>
      <c r="L667" s="561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44"/>
      <c r="AP667" s="37"/>
      <c r="AQ667" s="44"/>
      <c r="AR667" s="57"/>
      <c r="AS667" s="56">
        <f>Tabela4[[#This Row],[Total R$]]-Tabela4[[#This Row],[Total Pago]]</f>
        <v>0</v>
      </c>
      <c r="AT667" s="36"/>
    </row>
    <row r="668" spans="2:46" x14ac:dyDescent="0.25">
      <c r="B668" s="44"/>
      <c r="D668" s="349"/>
      <c r="E668" s="33"/>
      <c r="F668" s="33"/>
      <c r="G668" s="33"/>
      <c r="H668" s="33"/>
      <c r="I668" s="33"/>
      <c r="J668" s="33"/>
      <c r="K668" s="33"/>
      <c r="L668" s="561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44"/>
      <c r="AP668" s="37"/>
      <c r="AQ668" s="44"/>
      <c r="AR668" s="57"/>
      <c r="AS668" s="56">
        <f>Tabela4[[#This Row],[Total R$]]-Tabela4[[#This Row],[Total Pago]]</f>
        <v>0</v>
      </c>
      <c r="AT668" s="36"/>
    </row>
    <row r="669" spans="2:46" x14ac:dyDescent="0.25">
      <c r="B669" s="44"/>
      <c r="D669" s="349"/>
      <c r="E669" s="33"/>
      <c r="F669" s="33"/>
      <c r="G669" s="33"/>
      <c r="H669" s="33"/>
      <c r="I669" s="33"/>
      <c r="J669" s="33"/>
      <c r="K669" s="33"/>
      <c r="L669" s="561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44"/>
      <c r="AP669" s="37"/>
      <c r="AQ669" s="44"/>
      <c r="AR669" s="57"/>
      <c r="AS669" s="56">
        <f>Tabela4[[#This Row],[Total R$]]-Tabela4[[#This Row],[Total Pago]]</f>
        <v>0</v>
      </c>
      <c r="AT669" s="36"/>
    </row>
    <row r="670" spans="2:46" x14ac:dyDescent="0.25">
      <c r="B670" s="44"/>
      <c r="D670" s="349"/>
      <c r="E670" s="33"/>
      <c r="F670" s="33"/>
      <c r="G670" s="33"/>
      <c r="H670" s="33"/>
      <c r="I670" s="33"/>
      <c r="J670" s="33"/>
      <c r="K670" s="33"/>
      <c r="L670" s="561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44"/>
      <c r="AP670" s="37"/>
      <c r="AQ670" s="44"/>
      <c r="AR670" s="57"/>
      <c r="AS670" s="56">
        <f>Tabela4[[#This Row],[Total R$]]-Tabela4[[#This Row],[Total Pago]]</f>
        <v>0</v>
      </c>
      <c r="AT670" s="36"/>
    </row>
    <row r="671" spans="2:46" x14ac:dyDescent="0.25">
      <c r="B671" s="44"/>
      <c r="D671" s="349"/>
      <c r="E671" s="33"/>
      <c r="F671" s="33"/>
      <c r="G671" s="33"/>
      <c r="H671" s="33"/>
      <c r="I671" s="33"/>
      <c r="J671" s="33"/>
      <c r="K671" s="33"/>
      <c r="L671" s="561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44"/>
      <c r="AP671" s="37"/>
      <c r="AQ671" s="44"/>
      <c r="AR671" s="57"/>
      <c r="AS671" s="56">
        <f>Tabela4[[#This Row],[Total R$]]-Tabela4[[#This Row],[Total Pago]]</f>
        <v>0</v>
      </c>
      <c r="AT671" s="36"/>
    </row>
    <row r="672" spans="2:46" x14ac:dyDescent="0.25">
      <c r="B672" s="44"/>
      <c r="D672" s="349"/>
      <c r="E672" s="33"/>
      <c r="F672" s="33"/>
      <c r="G672" s="33"/>
      <c r="H672" s="33"/>
      <c r="I672" s="33"/>
      <c r="J672" s="33"/>
      <c r="K672" s="33"/>
      <c r="L672" s="561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44"/>
      <c r="AP672" s="37"/>
      <c r="AQ672" s="44"/>
      <c r="AR672" s="57"/>
      <c r="AS672" s="56">
        <f>Tabela4[[#This Row],[Total R$]]-Tabela4[[#This Row],[Total Pago]]</f>
        <v>0</v>
      </c>
      <c r="AT672" s="36"/>
    </row>
    <row r="673" spans="2:46" x14ac:dyDescent="0.25">
      <c r="B673" s="44"/>
      <c r="D673" s="349"/>
      <c r="E673" s="33"/>
      <c r="F673" s="33"/>
      <c r="G673" s="33"/>
      <c r="H673" s="33"/>
      <c r="I673" s="33"/>
      <c r="J673" s="33"/>
      <c r="K673" s="33"/>
      <c r="L673" s="561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44"/>
      <c r="AP673" s="37"/>
      <c r="AQ673" s="44"/>
      <c r="AR673" s="57"/>
      <c r="AS673" s="56">
        <f>Tabela4[[#This Row],[Total R$]]-Tabela4[[#This Row],[Total Pago]]</f>
        <v>0</v>
      </c>
      <c r="AT673" s="36"/>
    </row>
    <row r="674" spans="2:46" x14ac:dyDescent="0.25">
      <c r="B674" s="44"/>
      <c r="D674" s="349"/>
      <c r="E674" s="33"/>
      <c r="F674" s="33"/>
      <c r="G674" s="33"/>
      <c r="H674" s="33"/>
      <c r="I674" s="33"/>
      <c r="J674" s="33"/>
      <c r="K674" s="33"/>
      <c r="L674" s="561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44"/>
      <c r="AP674" s="37"/>
      <c r="AQ674" s="44"/>
      <c r="AR674" s="57"/>
      <c r="AS674" s="56">
        <f>Tabela4[[#This Row],[Total R$]]-Tabela4[[#This Row],[Total Pago]]</f>
        <v>0</v>
      </c>
      <c r="AT674" s="36"/>
    </row>
    <row r="675" spans="2:46" x14ac:dyDescent="0.25">
      <c r="B675" s="44"/>
      <c r="D675" s="349"/>
      <c r="E675" s="33"/>
      <c r="F675" s="33"/>
      <c r="G675" s="33"/>
      <c r="H675" s="33"/>
      <c r="I675" s="33"/>
      <c r="J675" s="33"/>
      <c r="K675" s="33"/>
      <c r="L675" s="561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44"/>
      <c r="AP675" s="37"/>
      <c r="AQ675" s="44"/>
      <c r="AR675" s="57"/>
      <c r="AS675" s="56">
        <f>Tabela4[[#This Row],[Total R$]]-Tabela4[[#This Row],[Total Pago]]</f>
        <v>0</v>
      </c>
      <c r="AT675" s="36"/>
    </row>
    <row r="676" spans="2:46" x14ac:dyDescent="0.25">
      <c r="B676" s="44"/>
      <c r="D676" s="349"/>
      <c r="E676" s="33"/>
      <c r="F676" s="33"/>
      <c r="G676" s="33"/>
      <c r="H676" s="33"/>
      <c r="I676" s="33"/>
      <c r="J676" s="33"/>
      <c r="K676" s="33"/>
      <c r="L676" s="561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44"/>
      <c r="AP676" s="37"/>
      <c r="AQ676" s="44"/>
      <c r="AR676" s="57"/>
      <c r="AS676" s="56">
        <f>Tabela4[[#This Row],[Total R$]]-Tabela4[[#This Row],[Total Pago]]</f>
        <v>0</v>
      </c>
      <c r="AT676" s="36"/>
    </row>
    <row r="677" spans="2:46" x14ac:dyDescent="0.25">
      <c r="B677" s="44"/>
      <c r="D677" s="349"/>
      <c r="E677" s="33"/>
      <c r="F677" s="33"/>
      <c r="G677" s="33"/>
      <c r="H677" s="33"/>
      <c r="I677" s="33"/>
      <c r="J677" s="33"/>
      <c r="K677" s="33"/>
      <c r="L677" s="561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44"/>
      <c r="AP677" s="37"/>
      <c r="AQ677" s="44"/>
      <c r="AR677" s="57"/>
      <c r="AS677" s="56">
        <f>Tabela4[[#This Row],[Total R$]]-Tabela4[[#This Row],[Total Pago]]</f>
        <v>0</v>
      </c>
      <c r="AT677" s="36"/>
    </row>
    <row r="678" spans="2:46" x14ac:dyDescent="0.25">
      <c r="B678" s="44"/>
      <c r="D678" s="349"/>
      <c r="E678" s="33"/>
      <c r="F678" s="33"/>
      <c r="G678" s="33"/>
      <c r="H678" s="33"/>
      <c r="I678" s="33"/>
      <c r="J678" s="33"/>
      <c r="K678" s="33"/>
      <c r="L678" s="561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44"/>
      <c r="AP678" s="37"/>
      <c r="AQ678" s="44"/>
      <c r="AR678" s="57"/>
      <c r="AS678" s="56">
        <f>Tabela4[[#This Row],[Total R$]]-Tabela4[[#This Row],[Total Pago]]</f>
        <v>0</v>
      </c>
      <c r="AT678" s="36"/>
    </row>
    <row r="679" spans="2:46" x14ac:dyDescent="0.25">
      <c r="B679" s="44"/>
      <c r="D679" s="349"/>
      <c r="E679" s="33"/>
      <c r="F679" s="33"/>
      <c r="G679" s="33"/>
      <c r="H679" s="33"/>
      <c r="I679" s="33"/>
      <c r="J679" s="33"/>
      <c r="K679" s="33"/>
      <c r="L679" s="561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44"/>
      <c r="AP679" s="37"/>
      <c r="AQ679" s="44"/>
      <c r="AR679" s="57"/>
      <c r="AS679" s="56">
        <f>Tabela4[[#This Row],[Total R$]]-Tabela4[[#This Row],[Total Pago]]</f>
        <v>0</v>
      </c>
      <c r="AT679" s="36"/>
    </row>
    <row r="680" spans="2:46" x14ac:dyDescent="0.25">
      <c r="B680" s="44"/>
      <c r="D680" s="349"/>
      <c r="E680" s="33"/>
      <c r="F680" s="33"/>
      <c r="G680" s="33"/>
      <c r="H680" s="33"/>
      <c r="I680" s="33"/>
      <c r="J680" s="33"/>
      <c r="K680" s="33"/>
      <c r="L680" s="561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44"/>
      <c r="AP680" s="37"/>
      <c r="AQ680" s="44"/>
      <c r="AR680" s="57"/>
      <c r="AS680" s="56">
        <f>Tabela4[[#This Row],[Total R$]]-Tabela4[[#This Row],[Total Pago]]</f>
        <v>0</v>
      </c>
      <c r="AT680" s="36"/>
    </row>
    <row r="681" spans="2:46" x14ac:dyDescent="0.25">
      <c r="B681" s="44"/>
      <c r="D681" s="349"/>
      <c r="E681" s="33"/>
      <c r="F681" s="33"/>
      <c r="G681" s="33"/>
      <c r="H681" s="33"/>
      <c r="I681" s="33"/>
      <c r="J681" s="33"/>
      <c r="K681" s="33"/>
      <c r="L681" s="561"/>
      <c r="M681" s="33"/>
      <c r="N681" s="33"/>
      <c r="O681" s="33"/>
      <c r="P681" s="184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44"/>
      <c r="AP681" s="37"/>
      <c r="AQ681" s="44"/>
      <c r="AR681" s="57"/>
      <c r="AS681" s="56">
        <f>Tabela4[[#This Row],[Total R$]]-Tabela4[[#This Row],[Total Pago]]</f>
        <v>0</v>
      </c>
      <c r="AT681" s="36"/>
    </row>
    <row r="682" spans="2:46" x14ac:dyDescent="0.25">
      <c r="B682" s="44"/>
      <c r="D682" s="349"/>
      <c r="E682" s="33"/>
      <c r="F682" s="33"/>
      <c r="G682" s="33"/>
      <c r="H682" s="33"/>
      <c r="I682" s="33"/>
      <c r="J682" s="33"/>
      <c r="K682" s="33"/>
      <c r="L682" s="561"/>
      <c r="M682" s="33"/>
      <c r="N682" s="33"/>
      <c r="O682" s="33"/>
      <c r="P682" s="184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44"/>
      <c r="AP682" s="37"/>
      <c r="AQ682" s="44"/>
      <c r="AR682" s="57"/>
      <c r="AS682" s="56">
        <f>Tabela4[[#This Row],[Total R$]]-Tabela4[[#This Row],[Total Pago]]</f>
        <v>0</v>
      </c>
      <c r="AT682" s="36"/>
    </row>
    <row r="683" spans="2:46" x14ac:dyDescent="0.25">
      <c r="B683" s="44"/>
      <c r="D683" s="349"/>
      <c r="E683" s="33"/>
      <c r="F683" s="33"/>
      <c r="G683" s="33"/>
      <c r="H683" s="33"/>
      <c r="I683" s="33"/>
      <c r="J683" s="33"/>
      <c r="K683" s="33"/>
      <c r="L683" s="561"/>
      <c r="M683" s="33"/>
      <c r="N683" s="33"/>
      <c r="O683" s="33"/>
      <c r="P683" s="184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44"/>
      <c r="AP683" s="37"/>
      <c r="AQ683" s="44"/>
      <c r="AR683" s="57"/>
      <c r="AS683" s="56">
        <f>Tabela4[[#This Row],[Total R$]]-Tabela4[[#This Row],[Total Pago]]</f>
        <v>0</v>
      </c>
      <c r="AT683" s="36"/>
    </row>
    <row r="684" spans="2:46" x14ac:dyDescent="0.25">
      <c r="B684" s="44"/>
      <c r="D684" s="349"/>
      <c r="E684" s="33"/>
      <c r="F684" s="33"/>
      <c r="G684" s="33"/>
      <c r="H684" s="33"/>
      <c r="I684" s="33"/>
      <c r="J684" s="33"/>
      <c r="K684" s="33"/>
      <c r="L684" s="561"/>
      <c r="M684" s="33"/>
      <c r="N684" s="33"/>
      <c r="O684" s="33"/>
      <c r="P684" s="184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44"/>
      <c r="AP684" s="37"/>
      <c r="AQ684" s="44"/>
      <c r="AR684" s="57"/>
      <c r="AS684" s="56">
        <f>Tabela4[[#This Row],[Total R$]]-Tabela4[[#This Row],[Total Pago]]</f>
        <v>0</v>
      </c>
      <c r="AT684" s="36"/>
    </row>
    <row r="685" spans="2:46" x14ac:dyDescent="0.25">
      <c r="B685" s="44"/>
      <c r="D685" s="349"/>
      <c r="E685" s="33"/>
      <c r="F685" s="33"/>
      <c r="G685" s="33"/>
      <c r="H685" s="33"/>
      <c r="I685" s="33"/>
      <c r="J685" s="33"/>
      <c r="K685" s="33"/>
      <c r="L685" s="561"/>
      <c r="M685" s="33"/>
      <c r="N685" s="33"/>
      <c r="O685" s="33"/>
      <c r="P685" s="184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44"/>
      <c r="AP685" s="37"/>
      <c r="AQ685" s="44"/>
      <c r="AR685" s="57"/>
      <c r="AS685" s="56">
        <f>Tabela4[[#This Row],[Total R$]]-Tabela4[[#This Row],[Total Pago]]</f>
        <v>0</v>
      </c>
      <c r="AT685" s="36"/>
    </row>
    <row r="686" spans="2:46" x14ac:dyDescent="0.25">
      <c r="B686" s="44"/>
      <c r="D686" s="349"/>
      <c r="E686" s="33"/>
      <c r="F686" s="33"/>
      <c r="G686" s="33"/>
      <c r="H686" s="33"/>
      <c r="I686" s="33"/>
      <c r="J686" s="33"/>
      <c r="K686" s="33"/>
      <c r="L686" s="561"/>
      <c r="M686" s="33"/>
      <c r="N686" s="33"/>
      <c r="O686" s="33"/>
      <c r="P686" s="184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44"/>
      <c r="AP686" s="37"/>
      <c r="AQ686" s="44"/>
      <c r="AR686" s="57"/>
      <c r="AS686" s="56">
        <f>Tabela4[[#This Row],[Total R$]]-Tabela4[[#This Row],[Total Pago]]</f>
        <v>0</v>
      </c>
      <c r="AT686" s="36"/>
    </row>
    <row r="687" spans="2:46" x14ac:dyDescent="0.25">
      <c r="B687" s="44"/>
      <c r="D687" s="349"/>
      <c r="E687" s="33"/>
      <c r="F687" s="33"/>
      <c r="G687" s="33"/>
      <c r="H687" s="33"/>
      <c r="I687" s="33"/>
      <c r="J687" s="33"/>
      <c r="K687" s="33"/>
      <c r="L687" s="561"/>
      <c r="M687" s="33"/>
      <c r="N687" s="33"/>
      <c r="O687" s="33"/>
      <c r="P687" s="184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44"/>
      <c r="AP687" s="37"/>
      <c r="AQ687" s="44"/>
      <c r="AR687" s="57"/>
      <c r="AS687" s="56">
        <f>Tabela4[[#This Row],[Total R$]]-Tabela4[[#This Row],[Total Pago]]</f>
        <v>0</v>
      </c>
      <c r="AT687" s="36"/>
    </row>
    <row r="688" spans="2:46" x14ac:dyDescent="0.25">
      <c r="B688" s="44"/>
      <c r="D688" s="349"/>
      <c r="E688" s="33"/>
      <c r="F688" s="33"/>
      <c r="G688" s="33"/>
      <c r="H688" s="33"/>
      <c r="I688" s="33"/>
      <c r="J688" s="33"/>
      <c r="K688" s="33"/>
      <c r="L688" s="561"/>
      <c r="M688" s="33"/>
      <c r="N688" s="33"/>
      <c r="O688" s="33"/>
      <c r="P688" s="184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44"/>
      <c r="AP688" s="37"/>
      <c r="AQ688" s="44"/>
      <c r="AR688" s="57"/>
      <c r="AS688" s="56">
        <f>Tabela4[[#This Row],[Total R$]]-Tabela4[[#This Row],[Total Pago]]</f>
        <v>0</v>
      </c>
      <c r="AT688" s="36"/>
    </row>
    <row r="689" spans="2:46" x14ac:dyDescent="0.25">
      <c r="B689" s="44"/>
      <c r="D689" s="349"/>
      <c r="E689" s="33"/>
      <c r="F689" s="33"/>
      <c r="G689" s="33"/>
      <c r="H689" s="33"/>
      <c r="I689" s="33"/>
      <c r="J689" s="33"/>
      <c r="K689" s="33"/>
      <c r="L689" s="561"/>
      <c r="M689" s="33"/>
      <c r="N689" s="33"/>
      <c r="O689" s="33"/>
      <c r="P689" s="184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44"/>
      <c r="AP689" s="37"/>
      <c r="AQ689" s="44"/>
      <c r="AR689" s="57"/>
      <c r="AS689" s="56">
        <f>Tabela4[[#This Row],[Total R$]]-Tabela4[[#This Row],[Total Pago]]</f>
        <v>0</v>
      </c>
      <c r="AT689" s="36"/>
    </row>
    <row r="690" spans="2:46" x14ac:dyDescent="0.25">
      <c r="B690" s="44"/>
      <c r="D690" s="349"/>
      <c r="E690" s="33"/>
      <c r="F690" s="33"/>
      <c r="G690" s="33"/>
      <c r="H690" s="33"/>
      <c r="I690" s="33"/>
      <c r="J690" s="33"/>
      <c r="K690" s="33"/>
      <c r="L690" s="561"/>
      <c r="M690" s="33"/>
      <c r="N690" s="33"/>
      <c r="O690" s="33"/>
      <c r="P690" s="184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44"/>
      <c r="AP690" s="37"/>
      <c r="AQ690" s="44"/>
      <c r="AR690" s="57"/>
      <c r="AS690" s="56">
        <f>Tabela4[[#This Row],[Total R$]]-Tabela4[[#This Row],[Total Pago]]</f>
        <v>0</v>
      </c>
      <c r="AT690" s="36"/>
    </row>
    <row r="691" spans="2:46" x14ac:dyDescent="0.25">
      <c r="B691" s="44"/>
      <c r="D691" s="349"/>
      <c r="E691" s="33"/>
      <c r="F691" s="33"/>
      <c r="G691" s="33"/>
      <c r="H691" s="33"/>
      <c r="I691" s="33"/>
      <c r="J691" s="33"/>
      <c r="K691" s="33"/>
      <c r="L691" s="561"/>
      <c r="M691" s="33"/>
      <c r="N691" s="33"/>
      <c r="O691" s="33"/>
      <c r="P691" s="184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44"/>
      <c r="AP691" s="37"/>
      <c r="AQ691" s="44"/>
      <c r="AR691" s="57"/>
      <c r="AS691" s="56">
        <f>Tabela4[[#This Row],[Total R$]]-Tabela4[[#This Row],[Total Pago]]</f>
        <v>0</v>
      </c>
      <c r="AT691" s="36"/>
    </row>
    <row r="692" spans="2:46" x14ac:dyDescent="0.25">
      <c r="B692" s="44"/>
      <c r="D692" s="349"/>
      <c r="E692" s="33"/>
      <c r="F692" s="33"/>
      <c r="G692" s="33"/>
      <c r="H692" s="33"/>
      <c r="I692" s="33"/>
      <c r="J692" s="33"/>
      <c r="K692" s="33"/>
      <c r="L692" s="561"/>
      <c r="M692" s="33"/>
      <c r="N692" s="33"/>
      <c r="O692" s="33"/>
      <c r="P692" s="184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44"/>
      <c r="AP692" s="37"/>
      <c r="AQ692" s="44"/>
      <c r="AR692" s="57"/>
      <c r="AS692" s="56">
        <f>Tabela4[[#This Row],[Total R$]]-Tabela4[[#This Row],[Total Pago]]</f>
        <v>0</v>
      </c>
      <c r="AT692" s="36"/>
    </row>
    <row r="693" spans="2:46" x14ac:dyDescent="0.25">
      <c r="B693" s="44"/>
      <c r="D693" s="349"/>
      <c r="E693" s="33"/>
      <c r="F693" s="33"/>
      <c r="G693" s="33"/>
      <c r="H693" s="33"/>
      <c r="I693" s="33"/>
      <c r="J693" s="33"/>
      <c r="K693" s="33"/>
      <c r="L693" s="561"/>
      <c r="M693" s="33"/>
      <c r="N693" s="33"/>
      <c r="O693" s="33"/>
      <c r="P693" s="184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44"/>
      <c r="AP693" s="37"/>
      <c r="AQ693" s="44"/>
      <c r="AR693" s="57"/>
      <c r="AS693" s="56">
        <f>Tabela4[[#This Row],[Total R$]]-Tabela4[[#This Row],[Total Pago]]</f>
        <v>0</v>
      </c>
      <c r="AT693" s="36"/>
    </row>
    <row r="694" spans="2:46" x14ac:dyDescent="0.25">
      <c r="B694" s="44"/>
      <c r="D694" s="349"/>
      <c r="E694" s="33"/>
      <c r="F694" s="33"/>
      <c r="G694" s="33"/>
      <c r="H694" s="33"/>
      <c r="I694" s="33"/>
      <c r="J694" s="33"/>
      <c r="K694" s="33"/>
      <c r="L694" s="561"/>
      <c r="M694" s="33"/>
      <c r="N694" s="33"/>
      <c r="O694" s="33"/>
      <c r="P694" s="184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44"/>
      <c r="AP694" s="37"/>
      <c r="AQ694" s="44"/>
      <c r="AR694" s="57"/>
      <c r="AS694" s="56">
        <f>Tabela4[[#This Row],[Total R$]]-Tabela4[[#This Row],[Total Pago]]</f>
        <v>0</v>
      </c>
      <c r="AT694" s="36"/>
    </row>
    <row r="695" spans="2:46" x14ac:dyDescent="0.25">
      <c r="B695" s="44"/>
      <c r="D695" s="349"/>
      <c r="E695" s="33"/>
      <c r="F695" s="33"/>
      <c r="G695" s="33"/>
      <c r="H695" s="33"/>
      <c r="I695" s="33"/>
      <c r="J695" s="33"/>
      <c r="K695" s="33"/>
      <c r="L695" s="561"/>
      <c r="M695" s="33"/>
      <c r="N695" s="33"/>
      <c r="O695" s="33"/>
      <c r="P695" s="184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44"/>
      <c r="AP695" s="37"/>
      <c r="AQ695" s="44"/>
      <c r="AR695" s="57"/>
      <c r="AS695" s="56">
        <f>Tabela4[[#This Row],[Total R$]]-Tabela4[[#This Row],[Total Pago]]</f>
        <v>0</v>
      </c>
      <c r="AT695" s="36"/>
    </row>
    <row r="696" spans="2:46" x14ac:dyDescent="0.25">
      <c r="B696" s="44"/>
      <c r="D696" s="349"/>
      <c r="E696" s="33"/>
      <c r="F696" s="33"/>
      <c r="G696" s="33"/>
      <c r="H696" s="33"/>
      <c r="I696" s="33"/>
      <c r="J696" s="33"/>
      <c r="K696" s="33"/>
      <c r="L696" s="561"/>
      <c r="M696" s="33"/>
      <c r="N696" s="33"/>
      <c r="O696" s="33"/>
      <c r="P696" s="184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N696"/>
      <c r="AO696" s="157"/>
      <c r="AP696" s="37"/>
      <c r="AQ696" s="27"/>
      <c r="AR696" s="57"/>
      <c r="AS696" s="56">
        <f>Tabela4[[#This Row],[Total R$]]-Tabela4[[#This Row],[Total Pago]]</f>
        <v>0</v>
      </c>
      <c r="AT696" s="36"/>
    </row>
    <row r="697" spans="2:46" x14ac:dyDescent="0.25">
      <c r="B697" s="44"/>
      <c r="D697" s="349"/>
      <c r="E697" s="33"/>
      <c r="F697" s="33"/>
      <c r="G697" s="33"/>
      <c r="H697" s="33"/>
      <c r="I697" s="33"/>
      <c r="J697" s="33"/>
      <c r="K697" s="33"/>
      <c r="L697" s="561"/>
      <c r="M697" s="33"/>
      <c r="N697" s="33"/>
      <c r="O697" s="33"/>
      <c r="P697" s="184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44"/>
      <c r="AP697" s="37"/>
      <c r="AQ697" s="44"/>
      <c r="AR697" s="57"/>
      <c r="AS697" s="56">
        <f>Tabela4[[#This Row],[Total R$]]-Tabela4[[#This Row],[Total Pago]]</f>
        <v>0</v>
      </c>
      <c r="AT697" s="36"/>
    </row>
    <row r="698" spans="2:46" x14ac:dyDescent="0.25">
      <c r="B698" s="44"/>
      <c r="D698" s="349"/>
      <c r="E698" s="33"/>
      <c r="F698" s="33"/>
      <c r="G698" s="33"/>
      <c r="H698" s="33"/>
      <c r="I698" s="33"/>
      <c r="J698" s="33"/>
      <c r="K698" s="33"/>
      <c r="L698" s="561"/>
      <c r="M698" s="33"/>
      <c r="N698" s="33"/>
      <c r="O698" s="33"/>
      <c r="P698" s="184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44"/>
      <c r="AP698" s="37"/>
      <c r="AQ698" s="44"/>
      <c r="AR698" s="57"/>
      <c r="AS698" s="56">
        <f>Tabela4[[#This Row],[Total R$]]-Tabela4[[#This Row],[Total Pago]]</f>
        <v>0</v>
      </c>
      <c r="AT698" s="36"/>
    </row>
    <row r="699" spans="2:46" x14ac:dyDescent="0.25">
      <c r="B699" s="44"/>
      <c r="D699" s="349"/>
      <c r="E699" s="33"/>
      <c r="F699" s="33"/>
      <c r="G699" s="33"/>
      <c r="H699" s="33"/>
      <c r="I699" s="33"/>
      <c r="J699" s="33"/>
      <c r="K699" s="33"/>
      <c r="L699" s="561"/>
      <c r="M699" s="33"/>
      <c r="N699" s="33"/>
      <c r="O699" s="33"/>
      <c r="P699" s="184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44"/>
      <c r="AP699" s="37"/>
      <c r="AQ699" s="44"/>
      <c r="AR699" s="57"/>
      <c r="AS699" s="56">
        <f>Tabela4[[#This Row],[Total R$]]-Tabela4[[#This Row],[Total Pago]]</f>
        <v>0</v>
      </c>
      <c r="AT699" s="36"/>
    </row>
    <row r="700" spans="2:46" x14ac:dyDescent="0.25">
      <c r="B700" s="44"/>
      <c r="D700" s="349"/>
      <c r="E700" s="33"/>
      <c r="F700" s="33"/>
      <c r="G700" s="33"/>
      <c r="H700" s="33"/>
      <c r="I700" s="33"/>
      <c r="J700" s="33"/>
      <c r="K700" s="33"/>
      <c r="L700" s="561"/>
      <c r="M700" s="33"/>
      <c r="N700" s="33"/>
      <c r="O700" s="33"/>
      <c r="P700" s="184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44"/>
      <c r="AP700" s="37"/>
      <c r="AQ700" s="44"/>
      <c r="AR700" s="57"/>
      <c r="AS700" s="56">
        <f>Tabela4[[#This Row],[Total R$]]-Tabela4[[#This Row],[Total Pago]]</f>
        <v>0</v>
      </c>
      <c r="AT700" s="36"/>
    </row>
    <row r="701" spans="2:46" x14ac:dyDescent="0.25">
      <c r="B701" s="44"/>
      <c r="D701" s="349"/>
      <c r="E701" s="33"/>
      <c r="F701" s="33"/>
      <c r="G701" s="33"/>
      <c r="H701" s="33"/>
      <c r="I701" s="33"/>
      <c r="J701" s="33"/>
      <c r="K701" s="33"/>
      <c r="L701" s="561"/>
      <c r="M701" s="33"/>
      <c r="N701" s="33"/>
      <c r="O701" s="33"/>
      <c r="P701" s="184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44"/>
      <c r="AP701" s="37"/>
      <c r="AQ701" s="44"/>
      <c r="AR701" s="57"/>
      <c r="AS701" s="56">
        <f>Tabela4[[#This Row],[Total R$]]-Tabela4[[#This Row],[Total Pago]]</f>
        <v>0</v>
      </c>
      <c r="AT701" s="36"/>
    </row>
    <row r="702" spans="2:46" x14ac:dyDescent="0.25">
      <c r="B702" s="44"/>
      <c r="D702" s="349"/>
      <c r="E702" s="33"/>
      <c r="F702" s="33"/>
      <c r="G702" s="33"/>
      <c r="H702" s="33"/>
      <c r="I702" s="33"/>
      <c r="J702" s="33"/>
      <c r="K702" s="33"/>
      <c r="L702" s="561"/>
      <c r="M702" s="33"/>
      <c r="N702" s="33"/>
      <c r="O702" s="33"/>
      <c r="P702" s="184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M702" s="33"/>
      <c r="AN702" s="33"/>
      <c r="AO702" s="63"/>
      <c r="AP702" s="33"/>
      <c r="AQ702" s="44"/>
      <c r="AR702" s="250"/>
      <c r="AS702" s="56">
        <f>Tabela4[[#This Row],[Total R$]]-Tabela4[[#This Row],[Total Pago]]</f>
        <v>0</v>
      </c>
      <c r="AT702" s="36"/>
    </row>
    <row r="703" spans="2:46" x14ac:dyDescent="0.25">
      <c r="B703" s="44"/>
      <c r="D703" s="349"/>
      <c r="E703" s="33"/>
      <c r="F703" s="33"/>
      <c r="G703" s="33"/>
      <c r="H703" s="33"/>
      <c r="I703" s="33"/>
      <c r="J703" s="33"/>
      <c r="K703" s="33"/>
      <c r="L703" s="561"/>
      <c r="M703" s="33"/>
      <c r="N703" s="33"/>
      <c r="O703" s="33"/>
      <c r="P703" s="184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M703" s="33"/>
      <c r="AN703" s="33"/>
      <c r="AO703" s="63"/>
      <c r="AP703" s="33"/>
      <c r="AQ703" s="44"/>
      <c r="AR703" s="250"/>
      <c r="AS703" s="56">
        <f>Tabela4[[#This Row],[Total R$]]-Tabela4[[#This Row],[Total Pago]]</f>
        <v>0</v>
      </c>
      <c r="AT703" s="36"/>
    </row>
    <row r="704" spans="2:46" x14ac:dyDescent="0.25">
      <c r="B704" s="44"/>
      <c r="D704" s="349"/>
      <c r="E704" s="33"/>
      <c r="F704" s="33"/>
      <c r="G704" s="33"/>
      <c r="H704" s="33"/>
      <c r="I704" s="33"/>
      <c r="J704" s="33"/>
      <c r="K704" s="33"/>
      <c r="L704" s="561"/>
      <c r="M704" s="33"/>
      <c r="N704" s="33"/>
      <c r="O704" s="33"/>
      <c r="P704" s="184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M704" s="33"/>
      <c r="AN704" s="33"/>
      <c r="AO704" s="33"/>
      <c r="AP704" s="33"/>
      <c r="AQ704" s="44"/>
      <c r="AR704" s="33"/>
      <c r="AS704" s="56">
        <f>Tabela4[[#This Row],[Total R$]]-Tabela4[[#This Row],[Total Pago]]</f>
        <v>0</v>
      </c>
      <c r="AT704" s="36"/>
    </row>
    <row r="705" spans="2:46" x14ac:dyDescent="0.25">
      <c r="B705" s="44"/>
      <c r="D705" s="349"/>
      <c r="E705" s="33"/>
      <c r="F705" s="33"/>
      <c r="G705" s="33"/>
      <c r="H705" s="33"/>
      <c r="I705" s="33"/>
      <c r="J705" s="33"/>
      <c r="K705" s="33"/>
      <c r="L705" s="561"/>
      <c r="M705" s="33"/>
      <c r="N705" s="33"/>
      <c r="O705" s="33"/>
      <c r="P705" s="184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M705" s="33"/>
      <c r="AN705" s="33"/>
      <c r="AO705" s="33"/>
      <c r="AP705" s="33"/>
      <c r="AQ705" s="44"/>
      <c r="AR705" s="33"/>
      <c r="AS705" s="56">
        <f>Tabela4[[#This Row],[Total R$]]-Tabela4[[#This Row],[Total Pago]]</f>
        <v>0</v>
      </c>
      <c r="AT705" s="36"/>
    </row>
    <row r="706" spans="2:46" x14ac:dyDescent="0.25">
      <c r="B706" s="44"/>
      <c r="D706" s="349"/>
      <c r="E706" s="33"/>
      <c r="F706" s="33"/>
      <c r="G706" s="33"/>
      <c r="H706" s="33"/>
      <c r="I706" s="33"/>
      <c r="J706" s="33"/>
      <c r="K706" s="33"/>
      <c r="L706" s="561"/>
      <c r="M706" s="33"/>
      <c r="N706" s="33"/>
      <c r="O706" s="33"/>
      <c r="P706" s="184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M706" s="33"/>
      <c r="AN706" s="33"/>
      <c r="AO706" s="251"/>
      <c r="AP706" s="33"/>
      <c r="AQ706" s="44"/>
      <c r="AR706" s="252"/>
      <c r="AS706" s="56">
        <f>Tabela4[[#This Row],[Total R$]]-Tabela4[[#This Row],[Total Pago]]</f>
        <v>0</v>
      </c>
      <c r="AT706" s="36"/>
    </row>
    <row r="707" spans="2:46" x14ac:dyDescent="0.25">
      <c r="B707" s="44"/>
      <c r="D707" s="349"/>
      <c r="E707" s="33"/>
      <c r="F707" s="33"/>
      <c r="G707" s="33"/>
      <c r="H707" s="33"/>
      <c r="I707" s="33"/>
      <c r="J707" s="33"/>
      <c r="K707" s="33"/>
      <c r="L707" s="561"/>
      <c r="M707" s="33"/>
      <c r="N707" s="33"/>
      <c r="O707" s="33"/>
      <c r="P707" s="184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M707" s="33"/>
      <c r="AN707" s="33"/>
      <c r="AO707" s="33"/>
      <c r="AP707" s="33"/>
      <c r="AQ707" s="44"/>
      <c r="AR707" s="33"/>
      <c r="AS707" s="56">
        <f>Tabela4[[#This Row],[Total R$]]-Tabela4[[#This Row],[Total Pago]]</f>
        <v>0</v>
      </c>
      <c r="AT707" s="36"/>
    </row>
    <row r="708" spans="2:46" x14ac:dyDescent="0.25">
      <c r="B708" s="44"/>
      <c r="D708" s="349"/>
      <c r="E708" s="33"/>
      <c r="F708" s="33"/>
      <c r="G708" s="33"/>
      <c r="H708" s="33"/>
      <c r="I708" s="33"/>
      <c r="J708" s="33"/>
      <c r="K708" s="33"/>
      <c r="L708" s="561"/>
      <c r="M708" s="33"/>
      <c r="N708" s="33"/>
      <c r="O708" s="33"/>
      <c r="P708" s="184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M708" s="33"/>
      <c r="AN708" s="33"/>
      <c r="AO708" s="63"/>
      <c r="AP708" s="33"/>
      <c r="AQ708" s="44"/>
      <c r="AR708" s="250"/>
      <c r="AS708" s="56">
        <f>Tabela4[[#This Row],[Total R$]]-Tabela4[[#This Row],[Total Pago]]</f>
        <v>0</v>
      </c>
      <c r="AT708" s="36"/>
    </row>
    <row r="709" spans="2:46" x14ac:dyDescent="0.25">
      <c r="B709" s="44"/>
      <c r="D709" s="349"/>
      <c r="E709" s="33"/>
      <c r="F709" s="33"/>
      <c r="G709" s="33"/>
      <c r="H709" s="33"/>
      <c r="I709" s="33"/>
      <c r="J709" s="33"/>
      <c r="K709" s="33"/>
      <c r="L709" s="561"/>
      <c r="M709" s="33"/>
      <c r="N709" s="33"/>
      <c r="O709" s="33"/>
      <c r="P709" s="184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M709" s="33"/>
      <c r="AN709" s="33"/>
      <c r="AO709" s="33"/>
      <c r="AP709" s="33"/>
      <c r="AQ709" s="44"/>
      <c r="AR709" s="252"/>
      <c r="AS709" s="56">
        <f>Tabela4[[#This Row],[Total R$]]-Tabela4[[#This Row],[Total Pago]]</f>
        <v>0</v>
      </c>
      <c r="AT709" s="36"/>
    </row>
    <row r="710" spans="2:46" x14ac:dyDescent="0.25">
      <c r="B710" s="44"/>
      <c r="D710" s="349"/>
      <c r="E710" s="33"/>
      <c r="F710" s="33"/>
      <c r="G710" s="33"/>
      <c r="H710" s="33"/>
      <c r="I710" s="33"/>
      <c r="J710" s="33"/>
      <c r="K710" s="33"/>
      <c r="L710" s="561"/>
      <c r="M710" s="33"/>
      <c r="N710" s="33"/>
      <c r="O710" s="33"/>
      <c r="P710" s="184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M710" s="33"/>
      <c r="AN710" s="33"/>
      <c r="AO710" s="33"/>
      <c r="AP710" s="33"/>
      <c r="AQ710" s="44"/>
      <c r="AR710" s="252"/>
      <c r="AS710" s="56">
        <f>Tabela4[[#This Row],[Total R$]]-Tabela4[[#This Row],[Total Pago]]</f>
        <v>0</v>
      </c>
      <c r="AT710" s="36"/>
    </row>
    <row r="711" spans="2:46" x14ac:dyDescent="0.25">
      <c r="B711" s="44"/>
      <c r="D711" s="349"/>
      <c r="E711" s="33"/>
      <c r="F711" s="33"/>
      <c r="G711" s="33"/>
      <c r="H711" s="33"/>
      <c r="I711" s="33"/>
      <c r="J711" s="33"/>
      <c r="K711" s="33"/>
      <c r="L711" s="561"/>
      <c r="M711" s="33"/>
      <c r="N711" s="33"/>
      <c r="O711" s="33"/>
      <c r="P711" s="184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M711" s="33"/>
      <c r="AN711" s="33"/>
      <c r="AO711" s="33"/>
      <c r="AP711" s="33"/>
      <c r="AQ711" s="44"/>
      <c r="AR711" s="33"/>
      <c r="AS711" s="56">
        <f>Tabela4[[#This Row],[Total R$]]-Tabela4[[#This Row],[Total Pago]]</f>
        <v>0</v>
      </c>
      <c r="AT711" s="36"/>
    </row>
    <row r="712" spans="2:46" x14ac:dyDescent="0.25">
      <c r="B712" s="44"/>
      <c r="D712" s="349"/>
      <c r="E712" s="33"/>
      <c r="F712" s="33"/>
      <c r="G712" s="33"/>
      <c r="H712" s="33"/>
      <c r="I712" s="33"/>
      <c r="J712" s="33"/>
      <c r="K712" s="33"/>
      <c r="L712" s="561"/>
      <c r="M712" s="33"/>
      <c r="N712" s="33"/>
      <c r="O712" s="33"/>
      <c r="P712" s="184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M712" s="33"/>
      <c r="AN712" s="33"/>
      <c r="AO712" s="33"/>
      <c r="AP712" s="33"/>
      <c r="AQ712" s="44"/>
      <c r="AR712" s="33"/>
      <c r="AS712" s="56">
        <f>Tabela4[[#This Row],[Total R$]]-Tabela4[[#This Row],[Total Pago]]</f>
        <v>0</v>
      </c>
      <c r="AT712" s="36"/>
    </row>
    <row r="713" spans="2:46" x14ac:dyDescent="0.25">
      <c r="B713" s="44"/>
      <c r="D713" s="349"/>
      <c r="E713" s="33"/>
      <c r="F713" s="33"/>
      <c r="G713" s="33"/>
      <c r="H713" s="33"/>
      <c r="I713" s="33"/>
      <c r="J713" s="33"/>
      <c r="K713" s="33"/>
      <c r="L713" s="561"/>
      <c r="M713" s="33"/>
      <c r="N713" s="33"/>
      <c r="O713" s="33"/>
      <c r="P713" s="184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M713" s="33"/>
      <c r="AN713" s="33"/>
      <c r="AO713" s="251"/>
      <c r="AP713" s="33"/>
      <c r="AQ713" s="44"/>
      <c r="AR713" s="250"/>
      <c r="AS713" s="56">
        <f>Tabela4[[#This Row],[Total R$]]-Tabela4[[#This Row],[Total Pago]]</f>
        <v>0</v>
      </c>
      <c r="AT713" s="36"/>
    </row>
    <row r="714" spans="2:46" x14ac:dyDescent="0.25">
      <c r="B714" s="44"/>
      <c r="D714" s="349"/>
      <c r="E714" s="33"/>
      <c r="F714" s="33"/>
      <c r="G714" s="33"/>
      <c r="H714" s="33"/>
      <c r="I714" s="33"/>
      <c r="J714" s="33"/>
      <c r="K714" s="33"/>
      <c r="L714" s="561"/>
      <c r="M714" s="33"/>
      <c r="N714" s="33"/>
      <c r="O714" s="33"/>
      <c r="P714" s="184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44"/>
      <c r="AP714" s="37"/>
      <c r="AQ714" s="44"/>
      <c r="AR714" s="57"/>
      <c r="AS714" s="56">
        <f>Tabela4[[#This Row],[Total R$]]-Tabela4[[#This Row],[Total Pago]]</f>
        <v>0</v>
      </c>
      <c r="AT714" s="36"/>
    </row>
    <row r="715" spans="2:46" x14ac:dyDescent="0.25">
      <c r="B715" s="44"/>
      <c r="D715" s="349"/>
      <c r="E715" s="33"/>
      <c r="F715" s="33"/>
      <c r="G715" s="33"/>
      <c r="H715" s="33"/>
      <c r="I715" s="33"/>
      <c r="J715" s="33"/>
      <c r="K715" s="33"/>
      <c r="L715" s="561"/>
      <c r="M715" s="33"/>
      <c r="N715" s="33"/>
      <c r="O715" s="33"/>
      <c r="P715" s="184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44"/>
      <c r="AP715" s="37"/>
      <c r="AQ715" s="44"/>
      <c r="AR715" s="57"/>
      <c r="AS715" s="56">
        <f>Tabela4[[#This Row],[Total R$]]-Tabela4[[#This Row],[Total Pago]]</f>
        <v>0</v>
      </c>
      <c r="AT715" s="36"/>
    </row>
    <row r="716" spans="2:46" x14ac:dyDescent="0.25">
      <c r="B716" s="44"/>
      <c r="D716" s="349"/>
      <c r="E716" s="33"/>
      <c r="F716" s="33"/>
      <c r="G716" s="33"/>
      <c r="H716" s="33"/>
      <c r="I716" s="33"/>
      <c r="J716" s="33"/>
      <c r="K716" s="33"/>
      <c r="L716" s="561"/>
      <c r="M716" s="33"/>
      <c r="N716" s="33"/>
      <c r="O716" s="33"/>
      <c r="P716" s="184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44"/>
      <c r="AP716" s="37"/>
      <c r="AQ716" s="44"/>
      <c r="AR716" s="57"/>
      <c r="AS716" s="56">
        <f>Tabela4[[#This Row],[Total R$]]-Tabela4[[#This Row],[Total Pago]]</f>
        <v>0</v>
      </c>
      <c r="AT716" s="36"/>
    </row>
    <row r="717" spans="2:46" x14ac:dyDescent="0.25">
      <c r="B717" s="44"/>
      <c r="D717" s="349"/>
      <c r="E717" s="33"/>
      <c r="F717" s="33"/>
      <c r="G717" s="33"/>
      <c r="H717" s="33"/>
      <c r="I717" s="33"/>
      <c r="J717" s="33"/>
      <c r="K717" s="33"/>
      <c r="L717" s="561"/>
      <c r="M717" s="33"/>
      <c r="N717" s="33"/>
      <c r="O717" s="33"/>
      <c r="P717" s="184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44"/>
      <c r="AP717" s="37"/>
      <c r="AQ717" s="44"/>
      <c r="AR717" s="57"/>
      <c r="AS717" s="56">
        <f>Tabela4[[#This Row],[Total R$]]-Tabela4[[#This Row],[Total Pago]]</f>
        <v>0</v>
      </c>
      <c r="AT717" s="36"/>
    </row>
    <row r="718" spans="2:46" x14ac:dyDescent="0.25">
      <c r="B718" s="44"/>
      <c r="D718" s="349"/>
      <c r="E718" s="33"/>
      <c r="F718" s="33"/>
      <c r="G718" s="33"/>
      <c r="H718" s="33"/>
      <c r="I718" s="33"/>
      <c r="J718" s="33"/>
      <c r="K718" s="33"/>
      <c r="L718" s="561"/>
      <c r="M718" s="33"/>
      <c r="N718" s="33"/>
      <c r="O718" s="33"/>
      <c r="P718" s="184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44"/>
      <c r="AP718" s="37"/>
      <c r="AQ718" s="44"/>
      <c r="AR718" s="57"/>
      <c r="AS718" s="56">
        <f>Tabela4[[#This Row],[Total R$]]-Tabela4[[#This Row],[Total Pago]]</f>
        <v>0</v>
      </c>
      <c r="AT718" s="36"/>
    </row>
    <row r="719" spans="2:46" x14ac:dyDescent="0.25">
      <c r="B719" s="44"/>
      <c r="D719" s="349"/>
      <c r="E719" s="33"/>
      <c r="F719" s="33"/>
      <c r="G719" s="33"/>
      <c r="H719" s="33"/>
      <c r="I719" s="33"/>
      <c r="J719" s="33"/>
      <c r="K719" s="33"/>
      <c r="L719" s="561"/>
      <c r="M719" s="33"/>
      <c r="N719" s="33"/>
      <c r="O719" s="33"/>
      <c r="P719" s="184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44"/>
      <c r="AP719" s="37"/>
      <c r="AQ719" s="44"/>
      <c r="AR719" s="57"/>
      <c r="AS719" s="56">
        <f>Tabela4[[#This Row],[Total R$]]-Tabela4[[#This Row],[Total Pago]]</f>
        <v>0</v>
      </c>
      <c r="AT719" s="36"/>
    </row>
    <row r="720" spans="2:46" x14ac:dyDescent="0.25">
      <c r="B720" s="44"/>
      <c r="D720" s="349"/>
      <c r="E720" s="33"/>
      <c r="F720" s="33"/>
      <c r="G720" s="33"/>
      <c r="H720" s="33"/>
      <c r="I720" s="33"/>
      <c r="J720" s="33"/>
      <c r="K720" s="33"/>
      <c r="L720" s="561"/>
      <c r="M720" s="33"/>
      <c r="N720" s="33"/>
      <c r="O720" s="33"/>
      <c r="P720" s="184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44"/>
      <c r="AP720" s="37"/>
      <c r="AQ720" s="44"/>
      <c r="AR720" s="57"/>
      <c r="AS720" s="56">
        <f>Tabela4[[#This Row],[Total R$]]-Tabela4[[#This Row],[Total Pago]]</f>
        <v>0</v>
      </c>
      <c r="AT720" s="36"/>
    </row>
    <row r="721" spans="2:46" x14ac:dyDescent="0.25">
      <c r="B721" s="44"/>
      <c r="D721" s="349"/>
      <c r="E721" s="33"/>
      <c r="F721" s="33"/>
      <c r="G721" s="33"/>
      <c r="H721" s="33"/>
      <c r="I721" s="33"/>
      <c r="J721" s="33"/>
      <c r="K721" s="33"/>
      <c r="L721" s="561"/>
      <c r="M721" s="33"/>
      <c r="N721" s="33"/>
      <c r="O721" s="33"/>
      <c r="P721" s="184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44"/>
      <c r="AP721" s="37"/>
      <c r="AQ721" s="44"/>
      <c r="AR721" s="57"/>
      <c r="AS721" s="56">
        <f>Tabela4[[#This Row],[Total R$]]-Tabela4[[#This Row],[Total Pago]]</f>
        <v>0</v>
      </c>
      <c r="AT721" s="36"/>
    </row>
    <row r="722" spans="2:46" x14ac:dyDescent="0.25">
      <c r="B722" s="44"/>
      <c r="D722" s="349"/>
      <c r="E722" s="33"/>
      <c r="F722" s="33"/>
      <c r="G722" s="33"/>
      <c r="H722" s="33"/>
      <c r="I722" s="33"/>
      <c r="J722" s="33"/>
      <c r="K722" s="33"/>
      <c r="L722" s="561"/>
      <c r="M722" s="33"/>
      <c r="N722" s="33"/>
      <c r="O722" s="33"/>
      <c r="P722" s="184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44"/>
      <c r="AP722" s="37"/>
      <c r="AQ722" s="44"/>
      <c r="AR722" s="57"/>
      <c r="AS722" s="56">
        <f>Tabela4[[#This Row],[Total R$]]-Tabela4[[#This Row],[Total Pago]]</f>
        <v>0</v>
      </c>
      <c r="AT722" s="36"/>
    </row>
    <row r="723" spans="2:46" x14ac:dyDescent="0.25">
      <c r="B723" s="44"/>
      <c r="D723" s="349"/>
      <c r="E723" s="33"/>
      <c r="F723" s="33"/>
      <c r="G723" s="33"/>
      <c r="H723" s="33"/>
      <c r="I723" s="33"/>
      <c r="J723" s="33"/>
      <c r="K723" s="33"/>
      <c r="L723" s="561"/>
      <c r="M723" s="33"/>
      <c r="N723" s="33"/>
      <c r="O723" s="33"/>
      <c r="P723" s="184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44"/>
      <c r="AP723" s="37"/>
      <c r="AQ723" s="44"/>
      <c r="AR723" s="57"/>
      <c r="AS723" s="56">
        <f>Tabela4[[#This Row],[Total R$]]-Tabela4[[#This Row],[Total Pago]]</f>
        <v>0</v>
      </c>
      <c r="AT723" s="36"/>
    </row>
    <row r="724" spans="2:46" x14ac:dyDescent="0.25">
      <c r="B724" s="44"/>
      <c r="D724" s="349"/>
      <c r="E724" s="33"/>
      <c r="F724" s="33"/>
      <c r="G724" s="33"/>
      <c r="H724" s="33"/>
      <c r="I724" s="33"/>
      <c r="J724" s="33"/>
      <c r="K724" s="33"/>
      <c r="L724" s="561"/>
      <c r="M724" s="33"/>
      <c r="N724" s="33"/>
      <c r="O724" s="33"/>
      <c r="P724" s="184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44"/>
      <c r="AP724" s="37"/>
      <c r="AQ724" s="44"/>
      <c r="AR724" s="57"/>
      <c r="AS724" s="56">
        <f>Tabela4[[#This Row],[Total R$]]-Tabela4[[#This Row],[Total Pago]]</f>
        <v>0</v>
      </c>
      <c r="AT724" s="36"/>
    </row>
    <row r="725" spans="2:46" x14ac:dyDescent="0.25">
      <c r="B725" s="44"/>
      <c r="D725" s="349"/>
      <c r="E725" s="33"/>
      <c r="F725" s="33"/>
      <c r="G725" s="33"/>
      <c r="H725" s="33"/>
      <c r="I725" s="33"/>
      <c r="J725" s="33"/>
      <c r="K725" s="33"/>
      <c r="L725" s="561"/>
      <c r="M725" s="33"/>
      <c r="N725" s="33"/>
      <c r="O725" s="33"/>
      <c r="P725" s="184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44"/>
      <c r="AP725" s="37"/>
      <c r="AQ725" s="44"/>
      <c r="AR725" s="57"/>
      <c r="AS725" s="56">
        <f>Tabela4[[#This Row],[Total R$]]-Tabela4[[#This Row],[Total Pago]]</f>
        <v>0</v>
      </c>
      <c r="AT725" s="36"/>
    </row>
    <row r="726" spans="2:46" x14ac:dyDescent="0.25">
      <c r="B726" s="44"/>
      <c r="D726" s="349"/>
      <c r="E726" s="33"/>
      <c r="F726" s="33"/>
      <c r="G726" s="33"/>
      <c r="H726" s="33"/>
      <c r="I726" s="33"/>
      <c r="J726" s="33"/>
      <c r="K726" s="33"/>
      <c r="L726" s="561"/>
      <c r="M726" s="33"/>
      <c r="N726" s="33"/>
      <c r="O726" s="33"/>
      <c r="P726" s="184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44"/>
      <c r="AP726" s="37"/>
      <c r="AQ726" s="44"/>
      <c r="AR726" s="57"/>
      <c r="AS726" s="56">
        <f>Tabela4[[#This Row],[Total R$]]-Tabela4[[#This Row],[Total Pago]]</f>
        <v>0</v>
      </c>
      <c r="AT726" s="36"/>
    </row>
    <row r="727" spans="2:46" x14ac:dyDescent="0.25">
      <c r="B727" s="44"/>
      <c r="D727" s="349"/>
      <c r="E727" s="33"/>
      <c r="F727" s="33"/>
      <c r="G727" s="33"/>
      <c r="H727" s="33"/>
      <c r="I727" s="33"/>
      <c r="J727" s="33"/>
      <c r="K727" s="33"/>
      <c r="L727" s="561"/>
      <c r="M727" s="33"/>
      <c r="N727" s="33"/>
      <c r="O727" s="33"/>
      <c r="P727" s="184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  <c r="AO727" s="44"/>
      <c r="AP727" s="37"/>
      <c r="AQ727" s="44"/>
      <c r="AR727" s="57"/>
      <c r="AS727" s="56">
        <f>Tabela4[[#This Row],[Total R$]]-Tabela4[[#This Row],[Total Pago]]</f>
        <v>0</v>
      </c>
      <c r="AT727" s="36"/>
    </row>
    <row r="728" spans="2:46" x14ac:dyDescent="0.25">
      <c r="B728" s="44"/>
      <c r="D728" s="349"/>
      <c r="E728" s="33"/>
      <c r="F728" s="33"/>
      <c r="G728" s="33"/>
      <c r="H728" s="33"/>
      <c r="I728" s="33"/>
      <c r="J728" s="33"/>
      <c r="K728" s="33"/>
      <c r="L728" s="561"/>
      <c r="M728" s="33"/>
      <c r="N728" s="33"/>
      <c r="O728" s="33"/>
      <c r="P728" s="184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44"/>
      <c r="AP728" s="37"/>
      <c r="AQ728" s="44"/>
      <c r="AR728" s="57"/>
      <c r="AS728" s="56">
        <f>Tabela4[[#This Row],[Total R$]]-Tabela4[[#This Row],[Total Pago]]</f>
        <v>0</v>
      </c>
      <c r="AT728" s="36"/>
    </row>
    <row r="729" spans="2:46" x14ac:dyDescent="0.25">
      <c r="B729" s="44"/>
      <c r="D729" s="349"/>
      <c r="E729" s="33"/>
      <c r="F729" s="33"/>
      <c r="G729" s="33"/>
      <c r="H729" s="33"/>
      <c r="I729" s="33"/>
      <c r="J729" s="33"/>
      <c r="K729" s="33"/>
      <c r="L729" s="561"/>
      <c r="M729" s="33"/>
      <c r="N729" s="33"/>
      <c r="O729" s="33"/>
      <c r="P729" s="184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44"/>
      <c r="AP729" s="37"/>
      <c r="AQ729" s="44"/>
      <c r="AR729" s="57"/>
      <c r="AS729" s="56">
        <f>Tabela4[[#This Row],[Total R$]]-Tabela4[[#This Row],[Total Pago]]</f>
        <v>0</v>
      </c>
      <c r="AT729" s="36"/>
    </row>
    <row r="730" spans="2:46" x14ac:dyDescent="0.25">
      <c r="B730" s="44"/>
      <c r="D730" s="349"/>
      <c r="E730" s="33"/>
      <c r="F730" s="33"/>
      <c r="G730" s="33"/>
      <c r="H730" s="33"/>
      <c r="I730" s="33"/>
      <c r="J730" s="33"/>
      <c r="K730" s="33"/>
      <c r="L730" s="561"/>
      <c r="M730" s="33"/>
      <c r="N730" s="33"/>
      <c r="O730" s="33"/>
      <c r="P730" s="184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M730" s="33"/>
      <c r="AN730" s="33"/>
      <c r="AO730" s="251"/>
      <c r="AP730" s="33"/>
      <c r="AQ730" s="44"/>
      <c r="AR730" s="250"/>
      <c r="AS730" s="56">
        <f>Tabela4[[#This Row],[Total R$]]-Tabela4[[#This Row],[Total Pago]]</f>
        <v>0</v>
      </c>
      <c r="AT730" s="36"/>
    </row>
    <row r="731" spans="2:46" x14ac:dyDescent="0.25">
      <c r="B731" s="44"/>
      <c r="D731" s="349"/>
      <c r="E731" s="33"/>
      <c r="F731" s="33"/>
      <c r="G731" s="33"/>
      <c r="H731" s="33"/>
      <c r="I731" s="33"/>
      <c r="J731" s="33"/>
      <c r="K731" s="33"/>
      <c r="L731" s="561"/>
      <c r="M731" s="33"/>
      <c r="N731" s="33"/>
      <c r="O731" s="33"/>
      <c r="P731" s="184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M731" s="33"/>
      <c r="AN731" s="33"/>
      <c r="AO731" s="33"/>
      <c r="AP731" s="33"/>
      <c r="AQ731" s="44"/>
      <c r="AR731" s="33"/>
      <c r="AS731" s="56">
        <f>Tabela4[[#This Row],[Total R$]]-Tabela4[[#This Row],[Total Pago]]</f>
        <v>0</v>
      </c>
      <c r="AT731" s="36"/>
    </row>
    <row r="732" spans="2:46" x14ac:dyDescent="0.25">
      <c r="B732" s="44"/>
      <c r="D732" s="349"/>
      <c r="E732" s="33"/>
      <c r="F732" s="33"/>
      <c r="G732" s="33"/>
      <c r="H732" s="33"/>
      <c r="I732" s="33"/>
      <c r="J732" s="33"/>
      <c r="K732" s="33"/>
      <c r="L732" s="561"/>
      <c r="M732" s="33"/>
      <c r="N732" s="33"/>
      <c r="O732" s="33"/>
      <c r="P732" s="184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44"/>
      <c r="AP732" s="37"/>
      <c r="AQ732" s="44"/>
      <c r="AR732" s="57"/>
      <c r="AS732" s="56">
        <f>Tabela4[[#This Row],[Total R$]]-Tabela4[[#This Row],[Total Pago]]</f>
        <v>0</v>
      </c>
      <c r="AT732" s="36"/>
    </row>
    <row r="733" spans="2:46" x14ac:dyDescent="0.25">
      <c r="B733" s="44"/>
      <c r="D733" s="349"/>
      <c r="E733" s="33"/>
      <c r="F733" s="33"/>
      <c r="G733" s="33"/>
      <c r="H733" s="33"/>
      <c r="I733" s="33"/>
      <c r="J733" s="33"/>
      <c r="K733" s="33"/>
      <c r="L733" s="561"/>
      <c r="M733" s="33"/>
      <c r="N733" s="33"/>
      <c r="O733" s="33"/>
      <c r="P733" s="184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44"/>
      <c r="AP733" s="37"/>
      <c r="AQ733" s="44"/>
      <c r="AR733" s="57"/>
      <c r="AS733" s="56">
        <f>Tabela4[[#This Row],[Total R$]]-Tabela4[[#This Row],[Total Pago]]</f>
        <v>0</v>
      </c>
      <c r="AT733" s="36"/>
    </row>
    <row r="734" spans="2:46" x14ac:dyDescent="0.25">
      <c r="B734" s="44"/>
      <c r="D734" s="349"/>
      <c r="E734" s="33"/>
      <c r="F734" s="33"/>
      <c r="G734" s="33"/>
      <c r="H734" s="33"/>
      <c r="I734" s="33"/>
      <c r="J734" s="33"/>
      <c r="K734" s="33"/>
      <c r="L734" s="561"/>
      <c r="M734" s="33"/>
      <c r="N734" s="33"/>
      <c r="O734" s="33"/>
      <c r="P734" s="184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44"/>
      <c r="AP734" s="37"/>
      <c r="AQ734" s="44"/>
      <c r="AR734" s="57"/>
      <c r="AS734" s="56">
        <f>Tabela4[[#This Row],[Total R$]]-Tabela4[[#This Row],[Total Pago]]</f>
        <v>0</v>
      </c>
      <c r="AT734" s="36"/>
    </row>
    <row r="735" spans="2:46" x14ac:dyDescent="0.25">
      <c r="B735" s="44"/>
      <c r="D735" s="349"/>
      <c r="E735" s="33"/>
      <c r="F735" s="33"/>
      <c r="G735" s="33"/>
      <c r="H735" s="33"/>
      <c r="I735" s="33"/>
      <c r="J735" s="33"/>
      <c r="K735" s="33"/>
      <c r="L735" s="561"/>
      <c r="M735" s="33"/>
      <c r="N735" s="33"/>
      <c r="O735" s="33"/>
      <c r="P735" s="184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44"/>
      <c r="AP735" s="37"/>
      <c r="AQ735" s="44"/>
      <c r="AR735" s="57"/>
      <c r="AS735" s="56">
        <f>Tabela4[[#This Row],[Total R$]]-Tabela4[[#This Row],[Total Pago]]</f>
        <v>0</v>
      </c>
      <c r="AT735" s="36"/>
    </row>
    <row r="736" spans="2:46" x14ac:dyDescent="0.25">
      <c r="B736" s="44"/>
      <c r="D736" s="349"/>
      <c r="E736" s="33"/>
      <c r="F736" s="33"/>
      <c r="G736" s="33"/>
      <c r="H736" s="33"/>
      <c r="I736" s="33"/>
      <c r="J736" s="33"/>
      <c r="K736" s="33"/>
      <c r="L736" s="561"/>
      <c r="M736" s="33"/>
      <c r="N736" s="33"/>
      <c r="O736" s="33"/>
      <c r="P736" s="184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44"/>
      <c r="AP736" s="37"/>
      <c r="AQ736" s="44"/>
      <c r="AR736" s="57"/>
      <c r="AS736" s="56">
        <f>Tabela4[[#This Row],[Total R$]]-Tabela4[[#This Row],[Total Pago]]</f>
        <v>0</v>
      </c>
      <c r="AT736" s="36"/>
    </row>
    <row r="737" spans="2:46" x14ac:dyDescent="0.25">
      <c r="B737" s="44"/>
      <c r="D737" s="349"/>
      <c r="E737" s="33"/>
      <c r="F737" s="33"/>
      <c r="G737" s="33"/>
      <c r="H737" s="33"/>
      <c r="I737" s="33"/>
      <c r="J737" s="33"/>
      <c r="K737" s="33"/>
      <c r="L737" s="561"/>
      <c r="M737" s="33"/>
      <c r="N737" s="33"/>
      <c r="O737" s="33"/>
      <c r="P737" s="184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44"/>
      <c r="AP737" s="37"/>
      <c r="AQ737" s="44"/>
      <c r="AR737" s="57"/>
      <c r="AS737" s="56">
        <f>Tabela4[[#This Row],[Total R$]]-Tabela4[[#This Row],[Total Pago]]</f>
        <v>0</v>
      </c>
      <c r="AT737" s="36"/>
    </row>
    <row r="738" spans="2:46" x14ac:dyDescent="0.25">
      <c r="B738" s="44"/>
      <c r="D738" s="349"/>
      <c r="E738" s="33"/>
      <c r="F738" s="33"/>
      <c r="G738" s="33"/>
      <c r="H738" s="33"/>
      <c r="I738" s="33"/>
      <c r="J738" s="33"/>
      <c r="K738" s="33"/>
      <c r="L738" s="561"/>
      <c r="M738" s="33"/>
      <c r="N738" s="33"/>
      <c r="O738" s="33"/>
      <c r="P738" s="184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44"/>
      <c r="AP738" s="37"/>
      <c r="AQ738" s="44"/>
      <c r="AR738" s="57"/>
      <c r="AS738" s="56">
        <f>Tabela4[[#This Row],[Total R$]]-Tabela4[[#This Row],[Total Pago]]</f>
        <v>0</v>
      </c>
      <c r="AT738" s="36"/>
    </row>
    <row r="739" spans="2:46" x14ac:dyDescent="0.25">
      <c r="B739" s="44"/>
      <c r="D739" s="349"/>
      <c r="E739" s="33"/>
      <c r="F739" s="33"/>
      <c r="G739" s="33"/>
      <c r="H739" s="33"/>
      <c r="I739" s="33"/>
      <c r="J739" s="33"/>
      <c r="K739" s="33"/>
      <c r="L739" s="561"/>
      <c r="M739" s="33"/>
      <c r="N739" s="33"/>
      <c r="O739" s="33"/>
      <c r="P739" s="184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44"/>
      <c r="AP739" s="37"/>
      <c r="AQ739" s="44"/>
      <c r="AR739" s="57"/>
      <c r="AS739" s="56">
        <f>Tabela4[[#This Row],[Total R$]]-Tabela4[[#This Row],[Total Pago]]</f>
        <v>0</v>
      </c>
      <c r="AT739" s="36"/>
    </row>
    <row r="740" spans="2:46" x14ac:dyDescent="0.25">
      <c r="B740" s="44"/>
      <c r="D740" s="349"/>
      <c r="E740" s="33"/>
      <c r="F740" s="33"/>
      <c r="G740" s="33"/>
      <c r="H740" s="33"/>
      <c r="I740" s="33"/>
      <c r="J740" s="33"/>
      <c r="K740" s="33"/>
      <c r="L740" s="561"/>
      <c r="M740" s="33"/>
      <c r="N740" s="33"/>
      <c r="O740" s="33"/>
      <c r="P740" s="184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44"/>
      <c r="AP740" s="37"/>
      <c r="AQ740" s="44"/>
      <c r="AR740" s="57"/>
      <c r="AS740" s="56">
        <f>Tabela4[[#This Row],[Total R$]]-Tabela4[[#This Row],[Total Pago]]</f>
        <v>0</v>
      </c>
      <c r="AT740" s="36"/>
    </row>
    <row r="741" spans="2:46" x14ac:dyDescent="0.25">
      <c r="B741" s="44"/>
      <c r="D741" s="349"/>
      <c r="E741" s="33"/>
      <c r="F741" s="33"/>
      <c r="G741" s="33"/>
      <c r="H741" s="33"/>
      <c r="I741" s="33"/>
      <c r="J741" s="33"/>
      <c r="K741" s="33"/>
      <c r="L741" s="561"/>
      <c r="M741" s="33"/>
      <c r="N741" s="33"/>
      <c r="O741" s="33"/>
      <c r="P741" s="184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44"/>
      <c r="AP741" s="37"/>
      <c r="AQ741" s="44"/>
      <c r="AR741" s="57"/>
      <c r="AS741" s="56">
        <f>Tabela4[[#This Row],[Total R$]]-Tabela4[[#This Row],[Total Pago]]</f>
        <v>0</v>
      </c>
      <c r="AT741" s="36"/>
    </row>
    <row r="742" spans="2:46" x14ac:dyDescent="0.25">
      <c r="B742" s="44"/>
      <c r="D742" s="349"/>
      <c r="E742" s="33"/>
      <c r="F742" s="33"/>
      <c r="G742" s="33"/>
      <c r="H742" s="33"/>
      <c r="I742" s="33"/>
      <c r="J742" s="33"/>
      <c r="K742" s="33"/>
      <c r="L742" s="561"/>
      <c r="M742" s="33"/>
      <c r="N742" s="33"/>
      <c r="O742" s="33"/>
      <c r="P742" s="184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44"/>
      <c r="AP742" s="37"/>
      <c r="AQ742" s="44"/>
      <c r="AR742" s="57"/>
      <c r="AS742" s="56">
        <f>Tabela4[[#This Row],[Total R$]]-Tabela4[[#This Row],[Total Pago]]</f>
        <v>0</v>
      </c>
      <c r="AT742" s="36"/>
    </row>
    <row r="743" spans="2:46" x14ac:dyDescent="0.25">
      <c r="B743" s="44"/>
      <c r="D743" s="349"/>
      <c r="E743" s="33"/>
      <c r="F743" s="33"/>
      <c r="G743" s="33"/>
      <c r="H743" s="33"/>
      <c r="I743" s="33"/>
      <c r="J743" s="33"/>
      <c r="K743" s="33"/>
      <c r="L743" s="561"/>
      <c r="M743" s="33"/>
      <c r="N743" s="33"/>
      <c r="O743" s="33"/>
      <c r="P743" s="184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44"/>
      <c r="AP743" s="37"/>
      <c r="AQ743" s="44"/>
      <c r="AR743" s="57"/>
      <c r="AS743" s="56">
        <f>Tabela4[[#This Row],[Total R$]]-Tabela4[[#This Row],[Total Pago]]</f>
        <v>0</v>
      </c>
      <c r="AT743" s="36"/>
    </row>
    <row r="744" spans="2:46" x14ac:dyDescent="0.25">
      <c r="B744" s="44"/>
      <c r="D744" s="349"/>
      <c r="E744" s="33"/>
      <c r="F744" s="33"/>
      <c r="G744" s="33"/>
      <c r="H744" s="33"/>
      <c r="I744" s="33"/>
      <c r="J744" s="33"/>
      <c r="K744" s="33"/>
      <c r="L744" s="561"/>
      <c r="M744" s="33"/>
      <c r="N744" s="33"/>
      <c r="O744" s="33"/>
      <c r="P744" s="184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44"/>
      <c r="AP744" s="37"/>
      <c r="AQ744" s="44"/>
      <c r="AR744" s="57"/>
      <c r="AS744" s="56">
        <f>Tabela4[[#This Row],[Total R$]]-Tabela4[[#This Row],[Total Pago]]</f>
        <v>0</v>
      </c>
      <c r="AT744" s="36"/>
    </row>
    <row r="745" spans="2:46" x14ac:dyDescent="0.25">
      <c r="B745" s="44"/>
      <c r="D745" s="349"/>
      <c r="E745" s="33"/>
      <c r="F745" s="33"/>
      <c r="G745" s="33"/>
      <c r="H745" s="33"/>
      <c r="I745" s="33"/>
      <c r="J745" s="33"/>
      <c r="K745" s="33"/>
      <c r="L745" s="561"/>
      <c r="M745" s="33"/>
      <c r="N745" s="33"/>
      <c r="O745" s="33"/>
      <c r="P745" s="184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44"/>
      <c r="AP745" s="37"/>
      <c r="AQ745" s="44"/>
      <c r="AR745" s="57"/>
      <c r="AS745" s="56">
        <f>Tabela4[[#This Row],[Total R$]]-Tabela4[[#This Row],[Total Pago]]</f>
        <v>0</v>
      </c>
      <c r="AT745" s="36"/>
    </row>
    <row r="746" spans="2:46" x14ac:dyDescent="0.25">
      <c r="B746" s="44"/>
      <c r="D746" s="349"/>
      <c r="E746" s="33"/>
      <c r="F746" s="33"/>
      <c r="G746" s="33"/>
      <c r="H746" s="33"/>
      <c r="I746" s="33"/>
      <c r="J746" s="33"/>
      <c r="K746" s="33"/>
      <c r="L746" s="561"/>
      <c r="M746" s="33"/>
      <c r="N746" s="33"/>
      <c r="O746" s="33"/>
      <c r="P746" s="184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44"/>
      <c r="AP746" s="37"/>
      <c r="AQ746" s="44"/>
      <c r="AR746" s="57"/>
      <c r="AS746" s="56">
        <f>Tabela4[[#This Row],[Total R$]]-Tabela4[[#This Row],[Total Pago]]</f>
        <v>0</v>
      </c>
      <c r="AT746" s="36"/>
    </row>
    <row r="747" spans="2:46" x14ac:dyDescent="0.25">
      <c r="B747" s="44"/>
      <c r="D747" s="349"/>
      <c r="E747" s="33"/>
      <c r="F747" s="33"/>
      <c r="G747" s="33"/>
      <c r="H747" s="33"/>
      <c r="I747" s="33"/>
      <c r="J747" s="33"/>
      <c r="K747" s="33"/>
      <c r="L747" s="561"/>
      <c r="M747" s="33"/>
      <c r="N747" s="33"/>
      <c r="O747" s="33"/>
      <c r="P747" s="184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44"/>
      <c r="AP747" s="37"/>
      <c r="AQ747" s="44"/>
      <c r="AR747" s="57"/>
      <c r="AS747" s="56">
        <f>Tabela4[[#This Row],[Total R$]]-Tabela4[[#This Row],[Total Pago]]</f>
        <v>0</v>
      </c>
      <c r="AT747" s="36"/>
    </row>
    <row r="748" spans="2:46" x14ac:dyDescent="0.25">
      <c r="B748" s="44"/>
      <c r="D748" s="349"/>
      <c r="E748" s="33"/>
      <c r="F748" s="33"/>
      <c r="G748" s="33"/>
      <c r="H748" s="33"/>
      <c r="I748" s="33"/>
      <c r="J748" s="33"/>
      <c r="K748" s="33"/>
      <c r="L748" s="561"/>
      <c r="M748" s="33"/>
      <c r="N748" s="33"/>
      <c r="O748" s="33"/>
      <c r="P748" s="184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44"/>
      <c r="AP748" s="37"/>
      <c r="AQ748" s="44"/>
      <c r="AR748" s="57"/>
      <c r="AS748" s="56">
        <f>Tabela4[[#This Row],[Total R$]]-Tabela4[[#This Row],[Total Pago]]</f>
        <v>0</v>
      </c>
      <c r="AT748" s="36"/>
    </row>
    <row r="749" spans="2:46" x14ac:dyDescent="0.25">
      <c r="B749" s="44"/>
      <c r="D749" s="349"/>
      <c r="E749" s="33"/>
      <c r="F749" s="33"/>
      <c r="G749" s="33"/>
      <c r="H749" s="33"/>
      <c r="I749" s="33"/>
      <c r="J749" s="33"/>
      <c r="K749" s="33"/>
      <c r="L749" s="561"/>
      <c r="M749" s="33"/>
      <c r="N749" s="33"/>
      <c r="O749" s="33"/>
      <c r="P749" s="184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44"/>
      <c r="AP749" s="37"/>
      <c r="AQ749" s="44"/>
      <c r="AR749" s="57"/>
      <c r="AS749" s="56">
        <f>Tabela4[[#This Row],[Total R$]]-Tabela4[[#This Row],[Total Pago]]</f>
        <v>0</v>
      </c>
      <c r="AT749" s="36"/>
    </row>
    <row r="750" spans="2:46" x14ac:dyDescent="0.25">
      <c r="B750" s="44"/>
      <c r="D750" s="349"/>
      <c r="E750" s="33"/>
      <c r="F750" s="33"/>
      <c r="G750" s="33"/>
      <c r="H750" s="33"/>
      <c r="I750" s="33"/>
      <c r="J750" s="33"/>
      <c r="K750" s="33"/>
      <c r="L750" s="561"/>
      <c r="M750" s="33"/>
      <c r="N750" s="33"/>
      <c r="O750" s="33"/>
      <c r="P750" s="184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44"/>
      <c r="AP750" s="37"/>
      <c r="AQ750" s="44"/>
      <c r="AR750" s="57"/>
      <c r="AS750" s="56">
        <f>Tabela4[[#This Row],[Total R$]]-Tabela4[[#This Row],[Total Pago]]</f>
        <v>0</v>
      </c>
      <c r="AT750" s="36"/>
    </row>
    <row r="751" spans="2:46" x14ac:dyDescent="0.25">
      <c r="B751" s="44"/>
      <c r="D751" s="349"/>
      <c r="E751" s="33"/>
      <c r="F751" s="33"/>
      <c r="G751" s="33"/>
      <c r="H751" s="33"/>
      <c r="I751" s="33"/>
      <c r="J751" s="33"/>
      <c r="K751" s="33"/>
      <c r="L751" s="561"/>
      <c r="M751" s="33"/>
      <c r="N751" s="33"/>
      <c r="O751" s="33"/>
      <c r="P751" s="184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44"/>
      <c r="AP751" s="37"/>
      <c r="AQ751" s="44"/>
      <c r="AR751" s="57"/>
      <c r="AS751" s="56">
        <f>Tabela4[[#This Row],[Total R$]]-Tabela4[[#This Row],[Total Pago]]</f>
        <v>0</v>
      </c>
      <c r="AT751" s="36"/>
    </row>
    <row r="752" spans="2:46" x14ac:dyDescent="0.25">
      <c r="B752" s="44"/>
      <c r="D752" s="349"/>
      <c r="E752" s="33"/>
      <c r="F752" s="33"/>
      <c r="G752" s="33"/>
      <c r="H752" s="33"/>
      <c r="I752" s="33"/>
      <c r="J752" s="33"/>
      <c r="K752" s="33"/>
      <c r="L752" s="561"/>
      <c r="M752" s="33"/>
      <c r="N752" s="33"/>
      <c r="O752" s="33"/>
      <c r="P752" s="184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44"/>
      <c r="AP752" s="37"/>
      <c r="AQ752" s="44"/>
      <c r="AR752" s="57"/>
      <c r="AS752" s="56">
        <f>Tabela4[[#This Row],[Total R$]]-Tabela4[[#This Row],[Total Pago]]</f>
        <v>0</v>
      </c>
      <c r="AT752" s="36"/>
    </row>
    <row r="753" spans="2:46" x14ac:dyDescent="0.25">
      <c r="B753" s="44"/>
      <c r="D753" s="349"/>
      <c r="E753" s="33"/>
      <c r="F753" s="33"/>
      <c r="G753" s="33"/>
      <c r="H753" s="33"/>
      <c r="I753" s="33"/>
      <c r="J753" s="33"/>
      <c r="K753" s="33"/>
      <c r="L753" s="561"/>
      <c r="M753" s="33"/>
      <c r="N753" s="33"/>
      <c r="O753" s="33"/>
      <c r="P753" s="184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44"/>
      <c r="AP753" s="37"/>
      <c r="AQ753" s="44"/>
      <c r="AR753" s="57"/>
      <c r="AS753" s="56">
        <f>Tabela4[[#This Row],[Total R$]]-Tabela4[[#This Row],[Total Pago]]</f>
        <v>0</v>
      </c>
      <c r="AT753" s="36"/>
    </row>
    <row r="754" spans="2:46" x14ac:dyDescent="0.25">
      <c r="B754" s="44"/>
      <c r="D754" s="349"/>
      <c r="E754" s="33"/>
      <c r="F754" s="33"/>
      <c r="G754" s="33"/>
      <c r="H754" s="33"/>
      <c r="I754" s="33"/>
      <c r="J754" s="33"/>
      <c r="K754" s="33"/>
      <c r="L754" s="561"/>
      <c r="M754" s="33"/>
      <c r="N754" s="33"/>
      <c r="O754" s="33"/>
      <c r="P754" s="184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44"/>
      <c r="AP754" s="37"/>
      <c r="AQ754" s="44"/>
      <c r="AR754" s="57"/>
      <c r="AS754" s="56">
        <f>Tabela4[[#This Row],[Total R$]]-Tabela4[[#This Row],[Total Pago]]</f>
        <v>0</v>
      </c>
      <c r="AT754" s="36"/>
    </row>
    <row r="755" spans="2:46" x14ac:dyDescent="0.25">
      <c r="B755" s="44"/>
      <c r="D755" s="349"/>
      <c r="E755" s="33"/>
      <c r="F755" s="33"/>
      <c r="G755" s="33"/>
      <c r="H755" s="33"/>
      <c r="I755" s="33"/>
      <c r="J755" s="33"/>
      <c r="K755" s="33"/>
      <c r="L755" s="561"/>
      <c r="M755" s="33"/>
      <c r="N755" s="33"/>
      <c r="O755" s="33"/>
      <c r="P755" s="184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44"/>
      <c r="AP755" s="37"/>
      <c r="AQ755" s="44"/>
      <c r="AR755" s="57"/>
      <c r="AS755" s="56">
        <f>Tabela4[[#This Row],[Total R$]]-Tabela4[[#This Row],[Total Pago]]</f>
        <v>0</v>
      </c>
      <c r="AT755" s="36"/>
    </row>
    <row r="756" spans="2:46" x14ac:dyDescent="0.25">
      <c r="B756" s="44"/>
      <c r="D756" s="349"/>
      <c r="E756" s="33"/>
      <c r="F756" s="33"/>
      <c r="G756" s="33"/>
      <c r="H756" s="33"/>
      <c r="I756" s="33"/>
      <c r="J756" s="33"/>
      <c r="K756" s="33"/>
      <c r="L756" s="561"/>
      <c r="M756" s="33"/>
      <c r="N756" s="33"/>
      <c r="O756" s="33"/>
      <c r="P756" s="184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44"/>
      <c r="AP756" s="37"/>
      <c r="AQ756" s="44"/>
      <c r="AR756" s="57"/>
      <c r="AS756" s="56">
        <f>Tabela4[[#This Row],[Total R$]]-Tabela4[[#This Row],[Total Pago]]</f>
        <v>0</v>
      </c>
      <c r="AT756" s="36"/>
    </row>
    <row r="757" spans="2:46" x14ac:dyDescent="0.25">
      <c r="B757" s="44"/>
      <c r="D757" s="349"/>
      <c r="E757" s="33"/>
      <c r="F757" s="33"/>
      <c r="G757" s="33"/>
      <c r="H757" s="33"/>
      <c r="I757" s="33"/>
      <c r="J757" s="33"/>
      <c r="K757" s="33"/>
      <c r="L757" s="561"/>
      <c r="M757" s="33"/>
      <c r="N757" s="33"/>
      <c r="O757" s="33"/>
      <c r="P757" s="184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44"/>
      <c r="AP757" s="37"/>
      <c r="AQ757" s="44"/>
      <c r="AR757" s="57"/>
      <c r="AS757" s="56">
        <f>Tabela4[[#This Row],[Total R$]]-Tabela4[[#This Row],[Total Pago]]</f>
        <v>0</v>
      </c>
      <c r="AT757" s="36"/>
    </row>
    <row r="758" spans="2:46" x14ac:dyDescent="0.25">
      <c r="B758" s="44"/>
      <c r="D758" s="349"/>
      <c r="E758" s="33"/>
      <c r="F758" s="33"/>
      <c r="G758" s="33"/>
      <c r="H758" s="33"/>
      <c r="I758" s="33"/>
      <c r="J758" s="33"/>
      <c r="K758" s="33"/>
      <c r="L758" s="561"/>
      <c r="M758" s="33"/>
      <c r="N758" s="33"/>
      <c r="O758" s="33"/>
      <c r="P758" s="184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44"/>
      <c r="AP758" s="37"/>
      <c r="AQ758" s="44"/>
      <c r="AR758" s="57"/>
      <c r="AS758" s="56">
        <f>Tabela4[[#This Row],[Total R$]]-Tabela4[[#This Row],[Total Pago]]</f>
        <v>0</v>
      </c>
      <c r="AT758" s="36"/>
    </row>
    <row r="759" spans="2:46" x14ac:dyDescent="0.25">
      <c r="B759" s="44"/>
      <c r="D759" s="349"/>
      <c r="E759" s="33"/>
      <c r="F759" s="33"/>
      <c r="G759" s="33"/>
      <c r="H759" s="33"/>
      <c r="I759" s="33"/>
      <c r="J759" s="33"/>
      <c r="K759" s="33"/>
      <c r="L759" s="561"/>
      <c r="M759" s="33"/>
      <c r="N759" s="33"/>
      <c r="O759" s="33"/>
      <c r="P759" s="184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44"/>
      <c r="AP759" s="37"/>
      <c r="AQ759" s="44"/>
      <c r="AR759" s="57"/>
      <c r="AS759" s="56">
        <f>Tabela4[[#This Row],[Total R$]]-Tabela4[[#This Row],[Total Pago]]</f>
        <v>0</v>
      </c>
      <c r="AT759" s="36"/>
    </row>
    <row r="760" spans="2:46" x14ac:dyDescent="0.25">
      <c r="B760" s="44"/>
      <c r="D760" s="349"/>
      <c r="E760" s="33"/>
      <c r="F760" s="33"/>
      <c r="G760" s="33"/>
      <c r="H760" s="33"/>
      <c r="I760" s="33"/>
      <c r="J760" s="33"/>
      <c r="K760" s="33"/>
      <c r="L760" s="561"/>
      <c r="M760" s="33"/>
      <c r="N760" s="33"/>
      <c r="O760" s="33"/>
      <c r="P760" s="184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44"/>
      <c r="AP760" s="37"/>
      <c r="AQ760" s="44"/>
      <c r="AR760" s="57"/>
      <c r="AS760" s="56">
        <f>Tabela4[[#This Row],[Total R$]]-Tabela4[[#This Row],[Total Pago]]</f>
        <v>0</v>
      </c>
      <c r="AT760" s="36"/>
    </row>
    <row r="761" spans="2:46" x14ac:dyDescent="0.25">
      <c r="B761" s="44"/>
      <c r="D761" s="349"/>
      <c r="E761" s="33"/>
      <c r="F761" s="33"/>
      <c r="G761" s="33"/>
      <c r="H761" s="33"/>
      <c r="I761" s="33"/>
      <c r="J761" s="33"/>
      <c r="K761" s="33"/>
      <c r="L761" s="561"/>
      <c r="M761" s="33"/>
      <c r="N761" s="33"/>
      <c r="O761" s="33"/>
      <c r="P761" s="184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44"/>
      <c r="AP761" s="37"/>
      <c r="AQ761" s="44"/>
      <c r="AR761" s="57"/>
      <c r="AS761" s="56">
        <f>Tabela4[[#This Row],[Total R$]]-Tabela4[[#This Row],[Total Pago]]</f>
        <v>0</v>
      </c>
      <c r="AT761" s="36"/>
    </row>
    <row r="762" spans="2:46" x14ac:dyDescent="0.25">
      <c r="B762" s="44"/>
      <c r="D762" s="349"/>
      <c r="E762" s="33"/>
      <c r="F762" s="33"/>
      <c r="G762" s="33"/>
      <c r="H762" s="33"/>
      <c r="I762" s="33"/>
      <c r="J762" s="33"/>
      <c r="K762" s="33"/>
      <c r="L762" s="561"/>
      <c r="M762" s="33"/>
      <c r="N762" s="33"/>
      <c r="O762" s="33"/>
      <c r="P762" s="184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44"/>
      <c r="AP762" s="37"/>
      <c r="AQ762" s="44"/>
      <c r="AR762" s="57"/>
      <c r="AS762" s="56">
        <f>Tabela4[[#This Row],[Total R$]]-Tabela4[[#This Row],[Total Pago]]</f>
        <v>0</v>
      </c>
      <c r="AT762" s="36"/>
    </row>
    <row r="763" spans="2:46" x14ac:dyDescent="0.25">
      <c r="B763" s="44"/>
      <c r="D763" s="349"/>
      <c r="E763" s="33"/>
      <c r="F763" s="33"/>
      <c r="G763" s="33"/>
      <c r="H763" s="33"/>
      <c r="I763" s="33"/>
      <c r="J763" s="33"/>
      <c r="K763" s="33"/>
      <c r="L763" s="561"/>
      <c r="M763" s="33"/>
      <c r="N763" s="33"/>
      <c r="O763" s="33"/>
      <c r="P763" s="184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44"/>
      <c r="AP763" s="37"/>
      <c r="AQ763" s="44"/>
      <c r="AR763" s="57"/>
      <c r="AS763" s="56">
        <f>Tabela4[[#This Row],[Total R$]]-Tabela4[[#This Row],[Total Pago]]</f>
        <v>0</v>
      </c>
      <c r="AT763" s="36"/>
    </row>
    <row r="764" spans="2:46" x14ac:dyDescent="0.25">
      <c r="B764" s="44"/>
      <c r="D764" s="349"/>
      <c r="E764" s="33"/>
      <c r="F764" s="33"/>
      <c r="G764" s="33"/>
      <c r="H764" s="33"/>
      <c r="I764" s="33"/>
      <c r="J764" s="33"/>
      <c r="K764" s="33"/>
      <c r="L764" s="561"/>
      <c r="M764" s="33"/>
      <c r="N764" s="33"/>
      <c r="O764" s="33"/>
      <c r="P764" s="184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44"/>
      <c r="AP764" s="37"/>
      <c r="AQ764" s="44"/>
      <c r="AR764" s="57"/>
      <c r="AS764" s="56">
        <f>Tabela4[[#This Row],[Total R$]]-Tabela4[[#This Row],[Total Pago]]</f>
        <v>0</v>
      </c>
      <c r="AT764" s="36"/>
    </row>
    <row r="765" spans="2:46" x14ac:dyDescent="0.25">
      <c r="B765" s="44"/>
      <c r="D765" s="349"/>
      <c r="E765" s="33"/>
      <c r="F765" s="33"/>
      <c r="G765" s="33"/>
      <c r="H765" s="33"/>
      <c r="I765" s="33"/>
      <c r="J765" s="33"/>
      <c r="K765" s="33"/>
      <c r="L765" s="561"/>
      <c r="M765" s="33"/>
      <c r="N765" s="33"/>
      <c r="O765" s="33"/>
      <c r="P765" s="184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44"/>
      <c r="AP765" s="37"/>
      <c r="AQ765" s="44"/>
      <c r="AR765" s="57"/>
      <c r="AS765" s="56">
        <f>Tabela4[[#This Row],[Total R$]]-Tabela4[[#This Row],[Total Pago]]</f>
        <v>0</v>
      </c>
      <c r="AT765" s="36"/>
    </row>
    <row r="766" spans="2:46" x14ac:dyDescent="0.25">
      <c r="B766" s="44"/>
      <c r="D766" s="349"/>
      <c r="E766" s="33"/>
      <c r="F766" s="33"/>
      <c r="G766" s="33"/>
      <c r="H766" s="33"/>
      <c r="I766" s="33"/>
      <c r="J766" s="33"/>
      <c r="K766" s="33"/>
      <c r="L766" s="561"/>
      <c r="M766" s="33"/>
      <c r="N766" s="33"/>
      <c r="O766" s="33"/>
      <c r="P766" s="184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44"/>
      <c r="AP766" s="37"/>
      <c r="AQ766" s="44"/>
      <c r="AR766" s="57"/>
      <c r="AS766" s="56">
        <f>Tabela4[[#This Row],[Total R$]]-Tabela4[[#This Row],[Total Pago]]</f>
        <v>0</v>
      </c>
      <c r="AT766" s="36"/>
    </row>
    <row r="767" spans="2:46" x14ac:dyDescent="0.25">
      <c r="B767" s="44"/>
      <c r="D767" s="349"/>
      <c r="E767" s="33"/>
      <c r="F767" s="33"/>
      <c r="G767" s="33"/>
      <c r="H767" s="33"/>
      <c r="I767" s="33"/>
      <c r="J767" s="33"/>
      <c r="K767" s="33"/>
      <c r="L767" s="561"/>
      <c r="M767" s="33"/>
      <c r="N767" s="33"/>
      <c r="O767" s="33"/>
      <c r="P767" s="184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44"/>
      <c r="AP767" s="37"/>
      <c r="AQ767" s="44"/>
      <c r="AR767" s="57"/>
      <c r="AS767" s="56">
        <f>Tabela4[[#This Row],[Total R$]]-Tabela4[[#This Row],[Total Pago]]</f>
        <v>0</v>
      </c>
      <c r="AT767" s="36"/>
    </row>
    <row r="768" spans="2:46" x14ac:dyDescent="0.25">
      <c r="B768" s="44"/>
      <c r="D768" s="349"/>
      <c r="E768" s="33"/>
      <c r="F768" s="33"/>
      <c r="G768" s="33"/>
      <c r="H768" s="33"/>
      <c r="I768" s="33"/>
      <c r="J768" s="33"/>
      <c r="K768" s="33"/>
      <c r="L768" s="561"/>
      <c r="M768" s="33"/>
      <c r="N768" s="33"/>
      <c r="O768" s="33"/>
      <c r="P768" s="184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44"/>
      <c r="AP768" s="37"/>
      <c r="AQ768" s="44"/>
      <c r="AR768" s="57"/>
      <c r="AS768" s="56">
        <f>Tabela4[[#This Row],[Total R$]]-Tabela4[[#This Row],[Total Pago]]</f>
        <v>0</v>
      </c>
      <c r="AT768" s="36"/>
    </row>
    <row r="769" spans="2:46" x14ac:dyDescent="0.25">
      <c r="B769" s="44"/>
      <c r="D769" s="349"/>
      <c r="E769" s="33"/>
      <c r="F769" s="33"/>
      <c r="G769" s="33"/>
      <c r="H769" s="33"/>
      <c r="I769" s="33"/>
      <c r="J769" s="33"/>
      <c r="K769" s="33"/>
      <c r="L769" s="561"/>
      <c r="M769" s="33"/>
      <c r="N769" s="33"/>
      <c r="O769" s="33"/>
      <c r="P769" s="184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44"/>
      <c r="AP769" s="37"/>
      <c r="AQ769" s="44"/>
      <c r="AR769" s="57"/>
      <c r="AS769" s="56">
        <f>Tabela4[[#This Row],[Total R$]]-Tabela4[[#This Row],[Total Pago]]</f>
        <v>0</v>
      </c>
      <c r="AT769" s="36"/>
    </row>
    <row r="770" spans="2:46" x14ac:dyDescent="0.25">
      <c r="B770" s="44"/>
      <c r="D770" s="349"/>
      <c r="E770" s="33"/>
      <c r="F770" s="33"/>
      <c r="G770" s="33"/>
      <c r="H770" s="33"/>
      <c r="I770" s="33"/>
      <c r="J770" s="33"/>
      <c r="K770" s="33"/>
      <c r="L770" s="561"/>
      <c r="M770" s="33"/>
      <c r="N770" s="33"/>
      <c r="O770" s="33"/>
      <c r="P770" s="184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44"/>
      <c r="AP770" s="37"/>
      <c r="AQ770" s="44"/>
      <c r="AR770" s="57"/>
      <c r="AS770" s="56">
        <f>Tabela4[[#This Row],[Total R$]]-Tabela4[[#This Row],[Total Pago]]</f>
        <v>0</v>
      </c>
      <c r="AT770" s="36"/>
    </row>
    <row r="771" spans="2:46" x14ac:dyDescent="0.25">
      <c r="B771" s="44"/>
      <c r="D771" s="349"/>
      <c r="E771" s="33"/>
      <c r="F771" s="33"/>
      <c r="G771" s="33"/>
      <c r="H771" s="33"/>
      <c r="I771" s="33"/>
      <c r="J771" s="33"/>
      <c r="K771" s="33"/>
      <c r="L771" s="561"/>
      <c r="M771" s="33"/>
      <c r="N771" s="33"/>
      <c r="O771" s="33"/>
      <c r="P771" s="184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44"/>
      <c r="AP771" s="37"/>
      <c r="AQ771" s="44"/>
      <c r="AR771" s="57"/>
      <c r="AS771" s="56">
        <f>Tabela4[[#This Row],[Total R$]]-Tabela4[[#This Row],[Total Pago]]</f>
        <v>0</v>
      </c>
      <c r="AT771" s="36"/>
    </row>
    <row r="772" spans="2:46" x14ac:dyDescent="0.25">
      <c r="B772" s="44"/>
      <c r="D772" s="349"/>
      <c r="E772" s="33"/>
      <c r="F772" s="33"/>
      <c r="G772" s="33"/>
      <c r="H772" s="33"/>
      <c r="I772" s="33"/>
      <c r="J772" s="33"/>
      <c r="K772" s="33"/>
      <c r="L772" s="561"/>
      <c r="M772" s="33"/>
      <c r="N772" s="33"/>
      <c r="O772" s="33"/>
      <c r="P772" s="184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44"/>
      <c r="AP772" s="37"/>
      <c r="AQ772" s="44"/>
      <c r="AR772" s="57"/>
      <c r="AS772" s="56">
        <f>Tabela4[[#This Row],[Total R$]]-Tabela4[[#This Row],[Total Pago]]</f>
        <v>0</v>
      </c>
      <c r="AT772" s="36"/>
    </row>
    <row r="773" spans="2:46" x14ac:dyDescent="0.25">
      <c r="B773" s="44"/>
      <c r="D773" s="349"/>
      <c r="E773" s="33"/>
      <c r="F773" s="33"/>
      <c r="G773" s="33"/>
      <c r="H773" s="33"/>
      <c r="I773" s="33"/>
      <c r="J773" s="33"/>
      <c r="K773" s="33"/>
      <c r="L773" s="561"/>
      <c r="M773" s="33"/>
      <c r="N773" s="33"/>
      <c r="O773" s="33"/>
      <c r="P773" s="184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44"/>
      <c r="AP773" s="37"/>
      <c r="AQ773" s="44"/>
      <c r="AR773" s="57"/>
      <c r="AS773" s="56">
        <f>Tabela4[[#This Row],[Total R$]]-Tabela4[[#This Row],[Total Pago]]</f>
        <v>0</v>
      </c>
      <c r="AT773" s="36"/>
    </row>
    <row r="774" spans="2:46" x14ac:dyDescent="0.25">
      <c r="B774" s="44"/>
      <c r="D774" s="349"/>
      <c r="E774" s="33"/>
      <c r="F774" s="33"/>
      <c r="G774" s="33"/>
      <c r="H774" s="33"/>
      <c r="I774" s="33"/>
      <c r="J774" s="33"/>
      <c r="K774" s="33"/>
      <c r="L774" s="561"/>
      <c r="M774" s="33"/>
      <c r="N774" s="33"/>
      <c r="O774" s="33"/>
      <c r="P774" s="184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44"/>
      <c r="AP774" s="37"/>
      <c r="AQ774" s="44"/>
      <c r="AR774" s="57"/>
      <c r="AS774" s="56">
        <f>Tabela4[[#This Row],[Total R$]]-Tabela4[[#This Row],[Total Pago]]</f>
        <v>0</v>
      </c>
      <c r="AT774" s="36"/>
    </row>
    <row r="775" spans="2:46" x14ac:dyDescent="0.25">
      <c r="B775" s="44"/>
      <c r="D775" s="349"/>
      <c r="E775" s="33"/>
      <c r="F775" s="33"/>
      <c r="G775" s="33"/>
      <c r="H775" s="33"/>
      <c r="I775" s="33"/>
      <c r="J775" s="33"/>
      <c r="K775" s="33"/>
      <c r="L775" s="561"/>
      <c r="M775" s="33"/>
      <c r="N775" s="33"/>
      <c r="O775" s="33"/>
      <c r="P775" s="184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44"/>
      <c r="AP775" s="37"/>
      <c r="AQ775" s="44"/>
      <c r="AR775" s="57"/>
      <c r="AS775" s="56">
        <f>Tabela4[[#This Row],[Total R$]]-Tabela4[[#This Row],[Total Pago]]</f>
        <v>0</v>
      </c>
      <c r="AT775" s="36"/>
    </row>
    <row r="776" spans="2:46" x14ac:dyDescent="0.25">
      <c r="B776" s="44"/>
      <c r="D776" s="349"/>
      <c r="E776" s="33"/>
      <c r="F776" s="33"/>
      <c r="G776" s="33"/>
      <c r="H776" s="33"/>
      <c r="I776" s="33"/>
      <c r="J776" s="33"/>
      <c r="K776" s="33"/>
      <c r="L776" s="561"/>
      <c r="M776" s="33"/>
      <c r="N776" s="33"/>
      <c r="O776" s="33"/>
      <c r="P776" s="184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44"/>
      <c r="AP776" s="37"/>
      <c r="AQ776" s="44"/>
      <c r="AR776" s="57"/>
      <c r="AS776" s="56">
        <f>Tabela4[[#This Row],[Total R$]]-Tabela4[[#This Row],[Total Pago]]</f>
        <v>0</v>
      </c>
      <c r="AT776" s="36"/>
    </row>
    <row r="777" spans="2:46" x14ac:dyDescent="0.25">
      <c r="B777" s="44"/>
      <c r="D777" s="349"/>
      <c r="E777" s="33"/>
      <c r="F777" s="33"/>
      <c r="G777" s="33"/>
      <c r="H777" s="33"/>
      <c r="I777" s="33"/>
      <c r="J777" s="33"/>
      <c r="K777" s="33"/>
      <c r="L777" s="561"/>
      <c r="M777" s="33"/>
      <c r="N777" s="33"/>
      <c r="O777" s="33"/>
      <c r="P777" s="184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44"/>
      <c r="AP777" s="37"/>
      <c r="AQ777" s="44"/>
      <c r="AR777" s="57"/>
      <c r="AS777" s="56">
        <f>Tabela4[[#This Row],[Total R$]]-Tabela4[[#This Row],[Total Pago]]</f>
        <v>0</v>
      </c>
      <c r="AT777" s="36"/>
    </row>
    <row r="778" spans="2:46" x14ac:dyDescent="0.25">
      <c r="B778" s="44"/>
      <c r="D778" s="349"/>
      <c r="E778" s="33"/>
      <c r="F778" s="33"/>
      <c r="G778" s="33"/>
      <c r="H778" s="33"/>
      <c r="I778" s="33"/>
      <c r="J778" s="33"/>
      <c r="K778" s="33"/>
      <c r="L778" s="561"/>
      <c r="M778" s="33"/>
      <c r="N778" s="33"/>
      <c r="O778" s="33"/>
      <c r="P778" s="184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44"/>
      <c r="AP778" s="37"/>
      <c r="AQ778" s="44"/>
      <c r="AR778" s="57"/>
      <c r="AS778" s="56">
        <f>Tabela4[[#This Row],[Total R$]]-Tabela4[[#This Row],[Total Pago]]</f>
        <v>0</v>
      </c>
      <c r="AT778" s="36"/>
    </row>
    <row r="779" spans="2:46" x14ac:dyDescent="0.25">
      <c r="B779" s="44"/>
      <c r="D779" s="349"/>
      <c r="E779" s="33"/>
      <c r="F779" s="33"/>
      <c r="G779" s="33"/>
      <c r="H779" s="33"/>
      <c r="I779" s="33"/>
      <c r="J779" s="33"/>
      <c r="K779" s="33"/>
      <c r="L779" s="561"/>
      <c r="M779" s="33"/>
      <c r="N779" s="33"/>
      <c r="O779" s="33"/>
      <c r="P779" s="184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44"/>
      <c r="AP779" s="37"/>
      <c r="AQ779" s="44"/>
      <c r="AR779" s="57"/>
      <c r="AS779" s="56">
        <f>Tabela4[[#This Row],[Total R$]]-Tabela4[[#This Row],[Total Pago]]</f>
        <v>0</v>
      </c>
      <c r="AT779" s="36"/>
    </row>
    <row r="780" spans="2:46" x14ac:dyDescent="0.25">
      <c r="B780" s="44"/>
      <c r="D780" s="349"/>
      <c r="E780" s="33"/>
      <c r="F780" s="33"/>
      <c r="G780" s="33"/>
      <c r="H780" s="33"/>
      <c r="I780" s="33"/>
      <c r="J780" s="33"/>
      <c r="K780" s="33"/>
      <c r="L780" s="561"/>
      <c r="M780" s="33"/>
      <c r="N780" s="33"/>
      <c r="O780" s="33"/>
      <c r="P780" s="184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44"/>
      <c r="AP780" s="37"/>
      <c r="AQ780" s="44"/>
      <c r="AR780" s="57"/>
      <c r="AS780" s="56">
        <f>Tabela4[[#This Row],[Total R$]]-Tabela4[[#This Row],[Total Pago]]</f>
        <v>0</v>
      </c>
      <c r="AT780" s="36"/>
    </row>
    <row r="781" spans="2:46" x14ac:dyDescent="0.25">
      <c r="B781" s="44"/>
      <c r="D781" s="349"/>
      <c r="E781" s="33"/>
      <c r="F781" s="33"/>
      <c r="G781" s="33"/>
      <c r="H781" s="33"/>
      <c r="I781" s="33"/>
      <c r="J781" s="33"/>
      <c r="K781" s="33"/>
      <c r="L781" s="561"/>
      <c r="M781" s="33"/>
      <c r="N781" s="33"/>
      <c r="O781" s="33"/>
      <c r="P781" s="184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44"/>
      <c r="AP781" s="37"/>
      <c r="AQ781" s="44"/>
      <c r="AR781" s="57"/>
      <c r="AS781" s="56">
        <f>Tabela4[[#This Row],[Total R$]]-Tabela4[[#This Row],[Total Pago]]</f>
        <v>0</v>
      </c>
      <c r="AT781" s="36"/>
    </row>
    <row r="782" spans="2:46" x14ac:dyDescent="0.25">
      <c r="B782" s="44"/>
      <c r="D782" s="349"/>
      <c r="E782" s="33"/>
      <c r="F782" s="33"/>
      <c r="G782" s="33"/>
      <c r="H782" s="33"/>
      <c r="I782" s="33"/>
      <c r="J782" s="33"/>
      <c r="K782" s="33"/>
      <c r="L782" s="561"/>
      <c r="M782" s="33"/>
      <c r="N782" s="33"/>
      <c r="O782" s="33"/>
      <c r="P782" s="184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44"/>
      <c r="AP782" s="37"/>
      <c r="AQ782" s="44"/>
      <c r="AR782" s="57"/>
      <c r="AS782" s="56">
        <f>Tabela4[[#This Row],[Total R$]]-Tabela4[[#This Row],[Total Pago]]</f>
        <v>0</v>
      </c>
      <c r="AT782" s="36"/>
    </row>
    <row r="783" spans="2:46" x14ac:dyDescent="0.25">
      <c r="B783" s="44"/>
      <c r="D783" s="349"/>
      <c r="E783" s="33"/>
      <c r="F783" s="33"/>
      <c r="G783" s="33"/>
      <c r="H783" s="33"/>
      <c r="I783" s="33"/>
      <c r="J783" s="33"/>
      <c r="K783" s="33"/>
      <c r="L783" s="561"/>
      <c r="M783" s="33"/>
      <c r="N783" s="33"/>
      <c r="O783" s="33"/>
      <c r="P783" s="184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44"/>
      <c r="AP783" s="37"/>
      <c r="AQ783" s="44"/>
      <c r="AR783" s="57"/>
      <c r="AS783" s="56">
        <f>Tabela4[[#This Row],[Total R$]]-Tabela4[[#This Row],[Total Pago]]</f>
        <v>0</v>
      </c>
      <c r="AT783" s="36"/>
    </row>
    <row r="784" spans="2:46" x14ac:dyDescent="0.25">
      <c r="B784" s="44"/>
      <c r="D784" s="308"/>
      <c r="AK784" s="37"/>
      <c r="AN784"/>
      <c r="AO784" s="44"/>
      <c r="AP784" s="37"/>
      <c r="AQ784" s="44"/>
      <c r="AS784" s="56">
        <f>Tabela4[[#This Row],[Total R$]]-Tabela4[[#This Row],[Total Pago]]</f>
        <v>0</v>
      </c>
      <c r="AT784" s="36"/>
    </row>
    <row r="785" spans="2:46" x14ac:dyDescent="0.25">
      <c r="B785" s="44"/>
      <c r="D785" s="349"/>
      <c r="E785" s="33"/>
      <c r="F785" s="33"/>
      <c r="G785" s="33"/>
      <c r="H785" s="33"/>
      <c r="I785" s="33"/>
      <c r="J785" s="33"/>
      <c r="K785" s="33"/>
      <c r="L785" s="561"/>
      <c r="M785" s="33"/>
      <c r="N785" s="33"/>
      <c r="O785" s="33"/>
      <c r="P785" s="184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N785"/>
      <c r="AO785" s="44"/>
      <c r="AP785" s="37"/>
      <c r="AQ785" s="27"/>
      <c r="AR785" s="57"/>
      <c r="AS785" s="56">
        <f>Tabela4[[#This Row],[Total R$]]-Tabela4[[#This Row],[Total Pago]]</f>
        <v>0</v>
      </c>
      <c r="AT785" s="36"/>
    </row>
    <row r="786" spans="2:46" x14ac:dyDescent="0.25">
      <c r="B786" s="44"/>
      <c r="D786" s="349"/>
      <c r="E786" s="33"/>
      <c r="F786" s="33"/>
      <c r="G786" s="33"/>
      <c r="H786" s="33"/>
      <c r="I786" s="33"/>
      <c r="J786" s="33"/>
      <c r="K786" s="33"/>
      <c r="L786" s="561"/>
      <c r="M786" s="33"/>
      <c r="N786" s="33"/>
      <c r="O786" s="33"/>
      <c r="P786" s="184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44"/>
      <c r="AP786" s="37"/>
      <c r="AQ786" s="44"/>
      <c r="AR786" s="57"/>
      <c r="AS786" s="56">
        <f>Tabela4[[#This Row],[Total R$]]-Tabela4[[#This Row],[Total Pago]]</f>
        <v>0</v>
      </c>
      <c r="AT786" s="36"/>
    </row>
    <row r="787" spans="2:46" x14ac:dyDescent="0.25">
      <c r="B787" s="44"/>
      <c r="D787" s="349"/>
      <c r="E787" s="33"/>
      <c r="F787" s="33"/>
      <c r="G787" s="33"/>
      <c r="H787" s="33"/>
      <c r="I787" s="33"/>
      <c r="J787" s="33"/>
      <c r="K787" s="33"/>
      <c r="L787" s="561"/>
      <c r="M787" s="33"/>
      <c r="N787" s="33"/>
      <c r="O787" s="33"/>
      <c r="P787" s="184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44"/>
      <c r="AP787" s="37"/>
      <c r="AQ787" s="44"/>
      <c r="AR787" s="57"/>
      <c r="AS787" s="56">
        <f>Tabela4[[#This Row],[Total R$]]-Tabela4[[#This Row],[Total Pago]]</f>
        <v>0</v>
      </c>
      <c r="AT787" s="36"/>
    </row>
    <row r="788" spans="2:46" x14ac:dyDescent="0.25">
      <c r="B788" s="44"/>
      <c r="D788" s="349"/>
      <c r="E788" s="33"/>
      <c r="F788" s="33"/>
      <c r="G788" s="33"/>
      <c r="H788" s="33"/>
      <c r="I788" s="33"/>
      <c r="J788" s="33"/>
      <c r="K788" s="33"/>
      <c r="L788" s="561"/>
      <c r="M788" s="33"/>
      <c r="N788" s="33"/>
      <c r="O788" s="33"/>
      <c r="P788" s="184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44"/>
      <c r="AP788" s="37"/>
      <c r="AQ788" s="44"/>
      <c r="AR788" s="57"/>
      <c r="AS788" s="56">
        <f>Tabela4[[#This Row],[Total R$]]-Tabela4[[#This Row],[Total Pago]]</f>
        <v>0</v>
      </c>
      <c r="AT788" s="36"/>
    </row>
    <row r="789" spans="2:46" x14ac:dyDescent="0.25">
      <c r="B789" s="44"/>
      <c r="D789" s="349"/>
      <c r="E789" s="33"/>
      <c r="F789" s="33"/>
      <c r="G789" s="33"/>
      <c r="H789" s="33"/>
      <c r="I789" s="33"/>
      <c r="J789" s="33"/>
      <c r="K789" s="33"/>
      <c r="L789" s="561"/>
      <c r="M789" s="33"/>
      <c r="N789" s="33"/>
      <c r="O789" s="33"/>
      <c r="P789" s="184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44"/>
      <c r="AP789" s="37"/>
      <c r="AQ789" s="44"/>
      <c r="AR789" s="57"/>
      <c r="AS789" s="56">
        <f>Tabela4[[#This Row],[Total R$]]-Tabela4[[#This Row],[Total Pago]]</f>
        <v>0</v>
      </c>
      <c r="AT789" s="36"/>
    </row>
    <row r="790" spans="2:46" x14ac:dyDescent="0.25">
      <c r="B790" s="44"/>
      <c r="D790" s="349"/>
      <c r="E790" s="33"/>
      <c r="F790" s="33"/>
      <c r="G790" s="33"/>
      <c r="H790" s="33"/>
      <c r="I790" s="33"/>
      <c r="J790" s="33"/>
      <c r="K790" s="33"/>
      <c r="L790" s="561"/>
      <c r="M790" s="33"/>
      <c r="N790" s="33"/>
      <c r="O790" s="33"/>
      <c r="P790" s="184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44"/>
      <c r="AP790" s="37"/>
      <c r="AQ790" s="44"/>
      <c r="AR790" s="57"/>
      <c r="AS790" s="56">
        <f>Tabela4[[#This Row],[Total R$]]-Tabela4[[#This Row],[Total Pago]]</f>
        <v>0</v>
      </c>
      <c r="AT790" s="36"/>
    </row>
    <row r="791" spans="2:46" x14ac:dyDescent="0.25">
      <c r="B791" s="44"/>
      <c r="D791" s="349"/>
      <c r="E791" s="33"/>
      <c r="F791" s="33"/>
      <c r="G791" s="33"/>
      <c r="H791" s="33"/>
      <c r="I791" s="33"/>
      <c r="J791" s="33"/>
      <c r="K791" s="33"/>
      <c r="L791" s="561"/>
      <c r="M791" s="33"/>
      <c r="N791" s="33"/>
      <c r="O791" s="33"/>
      <c r="P791" s="184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44"/>
      <c r="AP791" s="37"/>
      <c r="AQ791" s="44"/>
      <c r="AR791" s="57"/>
      <c r="AS791" s="56">
        <f>Tabela4[[#This Row],[Total R$]]-Tabela4[[#This Row],[Total Pago]]</f>
        <v>0</v>
      </c>
      <c r="AT791" s="36"/>
    </row>
    <row r="792" spans="2:46" x14ac:dyDescent="0.25">
      <c r="B792" s="44"/>
      <c r="D792" s="349"/>
      <c r="E792" s="33"/>
      <c r="F792" s="33"/>
      <c r="G792" s="33"/>
      <c r="H792" s="33"/>
      <c r="I792" s="33"/>
      <c r="J792" s="33"/>
      <c r="K792" s="33"/>
      <c r="L792" s="561"/>
      <c r="M792" s="33"/>
      <c r="N792" s="33"/>
      <c r="O792" s="33"/>
      <c r="P792" s="184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44"/>
      <c r="AP792" s="37"/>
      <c r="AQ792" s="44"/>
      <c r="AR792" s="57"/>
      <c r="AS792" s="56">
        <f>Tabela4[[#This Row],[Total R$]]-Tabela4[[#This Row],[Total Pago]]</f>
        <v>0</v>
      </c>
      <c r="AT792" s="36"/>
    </row>
    <row r="793" spans="2:46" x14ac:dyDescent="0.25">
      <c r="B793" s="44"/>
      <c r="D793" s="349"/>
      <c r="E793" s="33"/>
      <c r="F793" s="33"/>
      <c r="G793" s="33"/>
      <c r="H793" s="33"/>
      <c r="I793" s="33"/>
      <c r="J793" s="33"/>
      <c r="K793" s="33"/>
      <c r="L793" s="561"/>
      <c r="M793" s="33"/>
      <c r="N793" s="33"/>
      <c r="O793" s="33"/>
      <c r="P793" s="184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44"/>
      <c r="AP793" s="37"/>
      <c r="AQ793" s="44"/>
      <c r="AR793" s="57"/>
      <c r="AS793" s="56">
        <f>Tabela4[[#This Row],[Total R$]]-Tabela4[[#This Row],[Total Pago]]</f>
        <v>0</v>
      </c>
      <c r="AT793" s="36"/>
    </row>
    <row r="794" spans="2:46" x14ac:dyDescent="0.25">
      <c r="B794" s="44"/>
      <c r="D794" s="349"/>
      <c r="E794" s="33"/>
      <c r="F794" s="33"/>
      <c r="G794" s="33"/>
      <c r="H794" s="33"/>
      <c r="I794" s="33"/>
      <c r="J794" s="33"/>
      <c r="K794" s="33"/>
      <c r="L794" s="561"/>
      <c r="M794" s="33"/>
      <c r="N794" s="33"/>
      <c r="O794" s="33"/>
      <c r="P794" s="184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44"/>
      <c r="AP794" s="37"/>
      <c r="AQ794" s="44"/>
      <c r="AR794" s="57"/>
      <c r="AS794" s="56">
        <f>Tabela4[[#This Row],[Total R$]]-Tabela4[[#This Row],[Total Pago]]</f>
        <v>0</v>
      </c>
      <c r="AT794" s="36"/>
    </row>
    <row r="795" spans="2:46" x14ac:dyDescent="0.25">
      <c r="B795" s="44"/>
      <c r="D795" s="349"/>
      <c r="E795" s="33"/>
      <c r="F795" s="33"/>
      <c r="G795" s="33"/>
      <c r="H795" s="33"/>
      <c r="I795" s="33"/>
      <c r="J795" s="33"/>
      <c r="K795" s="33"/>
      <c r="L795" s="561"/>
      <c r="M795" s="33"/>
      <c r="N795" s="33"/>
      <c r="O795" s="33"/>
      <c r="P795" s="184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44"/>
      <c r="AP795" s="37"/>
      <c r="AQ795" s="44"/>
      <c r="AR795" s="57"/>
      <c r="AS795" s="56">
        <f>Tabela4[[#This Row],[Total R$]]-Tabela4[[#This Row],[Total Pago]]</f>
        <v>0</v>
      </c>
      <c r="AT795" s="36"/>
    </row>
    <row r="796" spans="2:46" x14ac:dyDescent="0.25">
      <c r="B796" s="44"/>
      <c r="D796" s="349"/>
      <c r="E796" s="33"/>
      <c r="F796" s="33"/>
      <c r="G796" s="33"/>
      <c r="H796" s="33"/>
      <c r="I796" s="33"/>
      <c r="J796" s="33"/>
      <c r="K796" s="33"/>
      <c r="L796" s="561"/>
      <c r="M796" s="33"/>
      <c r="N796" s="33"/>
      <c r="O796" s="33"/>
      <c r="P796" s="184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44"/>
      <c r="AP796" s="37"/>
      <c r="AQ796" s="44"/>
      <c r="AR796" s="57"/>
      <c r="AS796" s="56">
        <f>Tabela4[[#This Row],[Total R$]]-Tabela4[[#This Row],[Total Pago]]</f>
        <v>0</v>
      </c>
      <c r="AT796" s="36"/>
    </row>
    <row r="797" spans="2:46" x14ac:dyDescent="0.25">
      <c r="B797" s="44"/>
      <c r="D797" s="349"/>
      <c r="E797" s="33"/>
      <c r="F797" s="33"/>
      <c r="G797" s="33"/>
      <c r="H797" s="33"/>
      <c r="I797" s="33"/>
      <c r="J797" s="33"/>
      <c r="K797" s="33"/>
      <c r="L797" s="561"/>
      <c r="M797" s="33"/>
      <c r="N797" s="33"/>
      <c r="O797" s="33"/>
      <c r="P797" s="184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44"/>
      <c r="AP797" s="37"/>
      <c r="AQ797" s="44"/>
      <c r="AR797" s="57"/>
      <c r="AS797" s="56">
        <f>Tabela4[[#This Row],[Total R$]]-Tabela4[[#This Row],[Total Pago]]</f>
        <v>0</v>
      </c>
      <c r="AT797" s="36"/>
    </row>
    <row r="798" spans="2:46" x14ac:dyDescent="0.25">
      <c r="B798" s="44"/>
      <c r="D798" s="349"/>
      <c r="E798" s="33"/>
      <c r="F798" s="33"/>
      <c r="G798" s="33"/>
      <c r="H798" s="33"/>
      <c r="I798" s="33"/>
      <c r="J798" s="33"/>
      <c r="K798" s="33"/>
      <c r="L798" s="561"/>
      <c r="M798" s="33"/>
      <c r="N798" s="33"/>
      <c r="O798" s="33"/>
      <c r="P798" s="184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44"/>
      <c r="AP798" s="37"/>
      <c r="AQ798" s="44"/>
      <c r="AR798" s="57"/>
      <c r="AS798" s="56">
        <f>Tabela4[[#This Row],[Total R$]]-Tabela4[[#This Row],[Total Pago]]</f>
        <v>0</v>
      </c>
      <c r="AT798" s="36"/>
    </row>
    <row r="799" spans="2:46" x14ac:dyDescent="0.25">
      <c r="B799" s="44"/>
      <c r="D799" s="349"/>
      <c r="E799" s="33"/>
      <c r="F799" s="33"/>
      <c r="G799" s="33"/>
      <c r="H799" s="33"/>
      <c r="I799" s="33"/>
      <c r="J799" s="33"/>
      <c r="K799" s="33"/>
      <c r="L799" s="561"/>
      <c r="M799" s="33"/>
      <c r="N799" s="33"/>
      <c r="O799" s="33"/>
      <c r="P799" s="184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44"/>
      <c r="AP799" s="37"/>
      <c r="AQ799" s="44"/>
      <c r="AR799" s="57"/>
      <c r="AS799" s="56">
        <f>Tabela4[[#This Row],[Total R$]]-Tabela4[[#This Row],[Total Pago]]</f>
        <v>0</v>
      </c>
      <c r="AT799" s="36"/>
    </row>
    <row r="800" spans="2:46" x14ac:dyDescent="0.25">
      <c r="B800" s="44"/>
      <c r="D800" s="349"/>
      <c r="E800" s="33"/>
      <c r="F800" s="33"/>
      <c r="G800" s="33"/>
      <c r="H800" s="33"/>
      <c r="I800" s="33"/>
      <c r="J800" s="33"/>
      <c r="K800" s="33"/>
      <c r="L800" s="561"/>
      <c r="M800" s="33"/>
      <c r="N800" s="33"/>
      <c r="O800" s="33"/>
      <c r="P800" s="184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44"/>
      <c r="AP800" s="37"/>
      <c r="AQ800" s="44"/>
      <c r="AR800" s="57"/>
      <c r="AS800" s="56">
        <f>Tabela4[[#This Row],[Total R$]]-Tabela4[[#This Row],[Total Pago]]</f>
        <v>0</v>
      </c>
      <c r="AT800" s="36"/>
    </row>
    <row r="801" spans="2:46" x14ac:dyDescent="0.25">
      <c r="B801" s="44"/>
      <c r="D801" s="349"/>
      <c r="E801" s="33"/>
      <c r="F801" s="33"/>
      <c r="G801" s="33"/>
      <c r="H801" s="33"/>
      <c r="I801" s="33"/>
      <c r="J801" s="33"/>
      <c r="K801" s="33"/>
      <c r="L801" s="561"/>
      <c r="M801" s="33"/>
      <c r="N801" s="33"/>
      <c r="O801" s="33"/>
      <c r="P801" s="184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44"/>
      <c r="AP801" s="37"/>
      <c r="AQ801" s="44"/>
      <c r="AR801" s="57"/>
      <c r="AS801" s="56">
        <f>Tabela4[[#This Row],[Total R$]]-Tabela4[[#This Row],[Total Pago]]</f>
        <v>0</v>
      </c>
      <c r="AT801" s="36"/>
    </row>
    <row r="802" spans="2:46" x14ac:dyDescent="0.25">
      <c r="B802" s="44"/>
      <c r="D802" s="349"/>
      <c r="E802" s="33"/>
      <c r="F802" s="33"/>
      <c r="G802" s="33"/>
      <c r="H802" s="33"/>
      <c r="I802" s="33"/>
      <c r="J802" s="33"/>
      <c r="K802" s="33"/>
      <c r="L802" s="561"/>
      <c r="M802" s="33"/>
      <c r="N802" s="33"/>
      <c r="O802" s="33"/>
      <c r="P802" s="184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44"/>
      <c r="AP802" s="37"/>
      <c r="AQ802" s="44"/>
      <c r="AR802" s="57"/>
      <c r="AS802" s="56">
        <f>Tabela4[[#This Row],[Total R$]]-Tabela4[[#This Row],[Total Pago]]</f>
        <v>0</v>
      </c>
      <c r="AT802" s="36"/>
    </row>
    <row r="803" spans="2:46" x14ac:dyDescent="0.25">
      <c r="B803" s="44"/>
      <c r="D803" s="349"/>
      <c r="E803" s="33"/>
      <c r="F803" s="33"/>
      <c r="G803" s="33"/>
      <c r="H803" s="33"/>
      <c r="I803" s="33"/>
      <c r="J803" s="33"/>
      <c r="K803" s="33"/>
      <c r="L803" s="561"/>
      <c r="M803" s="33"/>
      <c r="N803" s="33"/>
      <c r="O803" s="33"/>
      <c r="P803" s="184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44"/>
      <c r="AP803" s="37"/>
      <c r="AQ803" s="44"/>
      <c r="AR803" s="57"/>
      <c r="AS803" s="56">
        <f>Tabela4[[#This Row],[Total R$]]-Tabela4[[#This Row],[Total Pago]]</f>
        <v>0</v>
      </c>
      <c r="AT803" s="36"/>
    </row>
    <row r="804" spans="2:46" x14ac:dyDescent="0.25">
      <c r="B804" s="44"/>
      <c r="D804" s="349"/>
      <c r="E804" s="33"/>
      <c r="F804" s="33"/>
      <c r="G804" s="33"/>
      <c r="H804" s="33"/>
      <c r="I804" s="33"/>
      <c r="J804" s="33"/>
      <c r="K804" s="33"/>
      <c r="L804" s="561"/>
      <c r="M804" s="33"/>
      <c r="N804" s="33"/>
      <c r="O804" s="33"/>
      <c r="P804" s="184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44"/>
      <c r="AP804" s="37"/>
      <c r="AQ804" s="44"/>
      <c r="AR804" s="57"/>
      <c r="AS804" s="56">
        <f>Tabela4[[#This Row],[Total R$]]-Tabela4[[#This Row],[Total Pago]]</f>
        <v>0</v>
      </c>
      <c r="AT804" s="36"/>
    </row>
    <row r="805" spans="2:46" x14ac:dyDescent="0.25">
      <c r="B805" s="44"/>
      <c r="D805" s="349"/>
      <c r="E805" s="33"/>
      <c r="F805" s="33"/>
      <c r="G805" s="33"/>
      <c r="H805" s="33"/>
      <c r="I805" s="33"/>
      <c r="J805" s="33"/>
      <c r="K805" s="33"/>
      <c r="L805" s="561"/>
      <c r="M805" s="33"/>
      <c r="N805" s="33"/>
      <c r="O805" s="33"/>
      <c r="P805" s="184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44"/>
      <c r="AP805" s="37"/>
      <c r="AQ805" s="44"/>
      <c r="AR805" s="57"/>
      <c r="AS805" s="56">
        <f>Tabela4[[#This Row],[Total R$]]-Tabela4[[#This Row],[Total Pago]]</f>
        <v>0</v>
      </c>
      <c r="AT805" s="36"/>
    </row>
    <row r="806" spans="2:46" x14ac:dyDescent="0.25">
      <c r="B806" s="44"/>
      <c r="D806" s="349"/>
      <c r="E806" s="33"/>
      <c r="F806" s="33"/>
      <c r="G806" s="33"/>
      <c r="H806" s="33"/>
      <c r="I806" s="33"/>
      <c r="J806" s="33"/>
      <c r="K806" s="33"/>
      <c r="L806" s="561"/>
      <c r="M806" s="33"/>
      <c r="N806" s="33"/>
      <c r="O806" s="33"/>
      <c r="P806" s="184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44"/>
      <c r="AP806" s="37"/>
      <c r="AQ806" s="44"/>
      <c r="AR806" s="57"/>
      <c r="AS806" s="56">
        <f>Tabela4[[#This Row],[Total R$]]-Tabela4[[#This Row],[Total Pago]]</f>
        <v>0</v>
      </c>
      <c r="AT806" s="36"/>
    </row>
    <row r="807" spans="2:46" x14ac:dyDescent="0.25">
      <c r="B807" s="44"/>
      <c r="D807" s="349"/>
      <c r="E807" s="33"/>
      <c r="F807" s="33"/>
      <c r="G807" s="33"/>
      <c r="H807" s="33"/>
      <c r="I807" s="33"/>
      <c r="J807" s="33"/>
      <c r="K807" s="33"/>
      <c r="L807" s="561"/>
      <c r="M807" s="33"/>
      <c r="N807" s="33"/>
      <c r="O807" s="33"/>
      <c r="P807" s="184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44"/>
      <c r="AP807" s="37"/>
      <c r="AQ807" s="44"/>
      <c r="AR807" s="57"/>
      <c r="AS807" s="56">
        <f>Tabela4[[#This Row],[Total R$]]-Tabela4[[#This Row],[Total Pago]]</f>
        <v>0</v>
      </c>
      <c r="AT807" s="36"/>
    </row>
    <row r="808" spans="2:46" x14ac:dyDescent="0.25">
      <c r="B808" s="44"/>
      <c r="D808" s="349"/>
      <c r="E808" s="33"/>
      <c r="F808" s="33"/>
      <c r="G808" s="33"/>
      <c r="H808" s="33"/>
      <c r="I808" s="33"/>
      <c r="J808" s="33"/>
      <c r="K808" s="33"/>
      <c r="L808" s="561"/>
      <c r="M808" s="33"/>
      <c r="N808" s="33"/>
      <c r="O808" s="33"/>
      <c r="P808" s="184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44"/>
      <c r="AP808" s="37"/>
      <c r="AQ808" s="44"/>
      <c r="AR808" s="57"/>
      <c r="AS808" s="56">
        <f>Tabela4[[#This Row],[Total R$]]-Tabela4[[#This Row],[Total Pago]]</f>
        <v>0</v>
      </c>
      <c r="AT808" s="36"/>
    </row>
    <row r="809" spans="2:46" x14ac:dyDescent="0.25">
      <c r="B809" s="44"/>
      <c r="D809" s="349"/>
      <c r="E809" s="33"/>
      <c r="F809" s="33"/>
      <c r="G809" s="33"/>
      <c r="H809" s="33"/>
      <c r="I809" s="33"/>
      <c r="J809" s="33"/>
      <c r="K809" s="33"/>
      <c r="L809" s="561"/>
      <c r="M809" s="33"/>
      <c r="N809" s="33"/>
      <c r="O809" s="33"/>
      <c r="P809" s="184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44"/>
      <c r="AP809" s="37"/>
      <c r="AQ809" s="44"/>
      <c r="AR809" s="57"/>
      <c r="AS809" s="56">
        <f>Tabela4[[#This Row],[Total R$]]-Tabela4[[#This Row],[Total Pago]]</f>
        <v>0</v>
      </c>
      <c r="AT809" s="36"/>
    </row>
    <row r="810" spans="2:46" x14ac:dyDescent="0.25">
      <c r="B810" s="44"/>
      <c r="D810" s="349"/>
      <c r="E810" s="33"/>
      <c r="F810" s="33"/>
      <c r="G810" s="33"/>
      <c r="H810" s="33"/>
      <c r="I810" s="33"/>
      <c r="J810" s="33"/>
      <c r="K810" s="33"/>
      <c r="L810" s="561"/>
      <c r="M810" s="33"/>
      <c r="N810" s="33"/>
      <c r="O810" s="33"/>
      <c r="P810" s="184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44"/>
      <c r="AP810" s="37"/>
      <c r="AQ810" s="44"/>
      <c r="AR810" s="57"/>
      <c r="AS810" s="56">
        <f>Tabela4[[#This Row],[Total R$]]-Tabela4[[#This Row],[Total Pago]]</f>
        <v>0</v>
      </c>
      <c r="AT810" s="36"/>
    </row>
    <row r="811" spans="2:46" x14ac:dyDescent="0.25">
      <c r="B811" s="44"/>
      <c r="D811" s="349"/>
      <c r="E811" s="33"/>
      <c r="F811" s="33"/>
      <c r="G811" s="33"/>
      <c r="H811" s="33"/>
      <c r="I811" s="33"/>
      <c r="J811" s="33"/>
      <c r="K811" s="33"/>
      <c r="L811" s="561"/>
      <c r="M811" s="33"/>
      <c r="N811" s="33"/>
      <c r="O811" s="33"/>
      <c r="P811" s="184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44"/>
      <c r="AP811" s="37"/>
      <c r="AQ811" s="44"/>
      <c r="AR811" s="57"/>
      <c r="AS811" s="56">
        <f>Tabela4[[#This Row],[Total R$]]-Tabela4[[#This Row],[Total Pago]]</f>
        <v>0</v>
      </c>
      <c r="AT811" s="36"/>
    </row>
    <row r="812" spans="2:46" x14ac:dyDescent="0.25">
      <c r="B812" s="44"/>
      <c r="D812" s="349"/>
      <c r="E812" s="33"/>
      <c r="F812" s="33"/>
      <c r="G812" s="33"/>
      <c r="H812" s="33"/>
      <c r="I812" s="33"/>
      <c r="J812" s="33"/>
      <c r="K812" s="33"/>
      <c r="L812" s="561"/>
      <c r="M812" s="33"/>
      <c r="N812" s="33"/>
      <c r="O812" s="33"/>
      <c r="P812" s="184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44"/>
      <c r="AP812" s="37"/>
      <c r="AQ812" s="44"/>
      <c r="AR812" s="57"/>
      <c r="AS812" s="56">
        <f>Tabela4[[#This Row],[Total R$]]-Tabela4[[#This Row],[Total Pago]]</f>
        <v>0</v>
      </c>
      <c r="AT812" s="36"/>
    </row>
    <row r="813" spans="2:46" x14ac:dyDescent="0.25">
      <c r="B813" s="44"/>
      <c r="D813" s="349"/>
      <c r="E813" s="33"/>
      <c r="F813" s="33"/>
      <c r="G813" s="33"/>
      <c r="H813" s="33"/>
      <c r="I813" s="33"/>
      <c r="J813" s="33"/>
      <c r="K813" s="33"/>
      <c r="L813" s="561"/>
      <c r="M813" s="33"/>
      <c r="N813" s="33"/>
      <c r="O813" s="33"/>
      <c r="P813" s="184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44"/>
      <c r="AP813" s="37"/>
      <c r="AQ813" s="44"/>
      <c r="AR813" s="57"/>
      <c r="AS813" s="56">
        <f>Tabela4[[#This Row],[Total R$]]-Tabela4[[#This Row],[Total Pago]]</f>
        <v>0</v>
      </c>
      <c r="AT813" s="36"/>
    </row>
    <row r="814" spans="2:46" x14ac:dyDescent="0.25">
      <c r="B814" s="44"/>
      <c r="D814" s="349"/>
      <c r="E814" s="33"/>
      <c r="F814" s="33"/>
      <c r="G814" s="33"/>
      <c r="H814" s="33"/>
      <c r="I814" s="33"/>
      <c r="J814" s="33"/>
      <c r="K814" s="33"/>
      <c r="L814" s="561"/>
      <c r="M814" s="33"/>
      <c r="N814" s="33"/>
      <c r="O814" s="33"/>
      <c r="P814" s="184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44"/>
      <c r="AP814" s="37"/>
      <c r="AQ814" s="44"/>
      <c r="AR814" s="57"/>
      <c r="AS814" s="56">
        <f>Tabela4[[#This Row],[Total R$]]-Tabela4[[#This Row],[Total Pago]]</f>
        <v>0</v>
      </c>
      <c r="AT814" s="36"/>
    </row>
    <row r="815" spans="2:46" x14ac:dyDescent="0.25">
      <c r="B815" s="44"/>
      <c r="D815" s="349"/>
      <c r="E815" s="33"/>
      <c r="F815" s="33"/>
      <c r="G815" s="33"/>
      <c r="H815" s="33"/>
      <c r="I815" s="33"/>
      <c r="J815" s="33"/>
      <c r="K815" s="33"/>
      <c r="L815" s="561"/>
      <c r="M815" s="33"/>
      <c r="N815" s="33"/>
      <c r="O815" s="33"/>
      <c r="P815" s="184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44"/>
      <c r="AP815" s="37"/>
      <c r="AQ815" s="44"/>
      <c r="AR815" s="57"/>
      <c r="AS815" s="56">
        <f>Tabela4[[#This Row],[Total R$]]-Tabela4[[#This Row],[Total Pago]]</f>
        <v>0</v>
      </c>
      <c r="AT815" s="36"/>
    </row>
    <row r="816" spans="2:46" x14ac:dyDescent="0.25">
      <c r="B816" s="44"/>
      <c r="D816" s="349"/>
      <c r="E816" s="33"/>
      <c r="F816" s="33"/>
      <c r="G816" s="33"/>
      <c r="H816" s="33"/>
      <c r="I816" s="33"/>
      <c r="J816" s="33"/>
      <c r="K816" s="33"/>
      <c r="L816" s="561"/>
      <c r="M816" s="33"/>
      <c r="N816" s="33"/>
      <c r="O816" s="33"/>
      <c r="P816" s="184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44"/>
      <c r="AP816" s="37"/>
      <c r="AQ816" s="44"/>
      <c r="AR816" s="57"/>
      <c r="AS816" s="56">
        <f>Tabela4[[#This Row],[Total R$]]-Tabela4[[#This Row],[Total Pago]]</f>
        <v>0</v>
      </c>
      <c r="AT816" s="36"/>
    </row>
    <row r="817" spans="2:46" x14ac:dyDescent="0.25">
      <c r="B817" s="44"/>
      <c r="D817" s="349"/>
      <c r="E817" s="33"/>
      <c r="F817" s="33"/>
      <c r="G817" s="33"/>
      <c r="H817" s="33"/>
      <c r="I817" s="33"/>
      <c r="J817" s="33"/>
      <c r="K817" s="33"/>
      <c r="L817" s="561"/>
      <c r="M817" s="33"/>
      <c r="N817" s="33"/>
      <c r="O817" s="33"/>
      <c r="P817" s="184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44"/>
      <c r="AP817" s="37"/>
      <c r="AQ817" s="44"/>
      <c r="AR817" s="57"/>
      <c r="AS817" s="56">
        <f>Tabela4[[#This Row],[Total R$]]-Tabela4[[#This Row],[Total Pago]]</f>
        <v>0</v>
      </c>
      <c r="AT817" s="36"/>
    </row>
    <row r="818" spans="2:46" x14ac:dyDescent="0.25">
      <c r="B818" s="44"/>
      <c r="D818" s="349"/>
      <c r="E818" s="33"/>
      <c r="F818" s="33"/>
      <c r="G818" s="33"/>
      <c r="H818" s="33"/>
      <c r="I818" s="33"/>
      <c r="J818" s="33"/>
      <c r="K818" s="33"/>
      <c r="L818" s="561"/>
      <c r="M818" s="33"/>
      <c r="N818" s="33"/>
      <c r="O818" s="33"/>
      <c r="P818" s="184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44"/>
      <c r="AP818" s="37"/>
      <c r="AQ818" s="44"/>
      <c r="AR818" s="57"/>
      <c r="AS818" s="56">
        <f>Tabela4[[#This Row],[Total R$]]-Tabela4[[#This Row],[Total Pago]]</f>
        <v>0</v>
      </c>
      <c r="AT818" s="36"/>
    </row>
    <row r="819" spans="2:46" x14ac:dyDescent="0.25">
      <c r="B819" s="44"/>
      <c r="D819" s="349"/>
      <c r="E819" s="33"/>
      <c r="F819" s="33"/>
      <c r="G819" s="33"/>
      <c r="H819" s="33"/>
      <c r="I819" s="33"/>
      <c r="J819" s="33"/>
      <c r="K819" s="33"/>
      <c r="L819" s="561"/>
      <c r="M819" s="33"/>
      <c r="N819" s="33"/>
      <c r="O819" s="33"/>
      <c r="P819" s="184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44"/>
      <c r="AP819" s="37"/>
      <c r="AQ819" s="44"/>
      <c r="AR819" s="57"/>
      <c r="AS819" s="56">
        <f>Tabela4[[#This Row],[Total R$]]-Tabela4[[#This Row],[Total Pago]]</f>
        <v>0</v>
      </c>
      <c r="AT819" s="36"/>
    </row>
    <row r="820" spans="2:46" x14ac:dyDescent="0.25">
      <c r="B820" s="44"/>
      <c r="D820" s="349"/>
      <c r="E820" s="33"/>
      <c r="F820" s="33"/>
      <c r="G820" s="33"/>
      <c r="H820" s="33"/>
      <c r="I820" s="33"/>
      <c r="J820" s="33"/>
      <c r="K820" s="33"/>
      <c r="L820" s="561"/>
      <c r="M820" s="33"/>
      <c r="N820" s="33"/>
      <c r="O820" s="33"/>
      <c r="P820" s="184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44"/>
      <c r="AP820" s="37"/>
      <c r="AQ820" s="44"/>
      <c r="AR820" s="57"/>
      <c r="AS820" s="56">
        <f>Tabela4[[#This Row],[Total R$]]-Tabela4[[#This Row],[Total Pago]]</f>
        <v>0</v>
      </c>
      <c r="AT820" s="36"/>
    </row>
    <row r="821" spans="2:46" x14ac:dyDescent="0.25">
      <c r="B821" s="44"/>
      <c r="D821" s="349"/>
      <c r="E821" s="33"/>
      <c r="F821" s="33"/>
      <c r="G821" s="33"/>
      <c r="H821" s="33"/>
      <c r="I821" s="33"/>
      <c r="J821" s="33"/>
      <c r="K821" s="33"/>
      <c r="L821" s="561"/>
      <c r="M821" s="33"/>
      <c r="N821" s="33"/>
      <c r="O821" s="33"/>
      <c r="P821" s="184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44"/>
      <c r="AP821" s="37"/>
      <c r="AQ821" s="44"/>
      <c r="AR821" s="57"/>
      <c r="AS821" s="56">
        <f>Tabela4[[#This Row],[Total R$]]-Tabela4[[#This Row],[Total Pago]]</f>
        <v>0</v>
      </c>
      <c r="AT821" s="36"/>
    </row>
    <row r="822" spans="2:46" x14ac:dyDescent="0.25">
      <c r="B822" s="44"/>
      <c r="D822" s="349"/>
      <c r="E822" s="33"/>
      <c r="F822" s="33"/>
      <c r="G822" s="33"/>
      <c r="H822" s="33"/>
      <c r="I822" s="33"/>
      <c r="J822" s="33"/>
      <c r="K822" s="33"/>
      <c r="L822" s="561"/>
      <c r="M822" s="33"/>
      <c r="N822" s="33"/>
      <c r="O822" s="33"/>
      <c r="P822" s="184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44"/>
      <c r="AP822" s="37"/>
      <c r="AQ822" s="44"/>
      <c r="AR822" s="57"/>
      <c r="AS822" s="56">
        <f>Tabela4[[#This Row],[Total R$]]-Tabela4[[#This Row],[Total Pago]]</f>
        <v>0</v>
      </c>
      <c r="AT822" s="36"/>
    </row>
    <row r="823" spans="2:46" x14ac:dyDescent="0.25">
      <c r="B823" s="44"/>
      <c r="D823" s="349"/>
      <c r="E823" s="33"/>
      <c r="F823" s="33"/>
      <c r="G823" s="33"/>
      <c r="H823" s="33"/>
      <c r="I823" s="33"/>
      <c r="J823" s="33"/>
      <c r="K823" s="33"/>
      <c r="L823" s="561"/>
      <c r="M823" s="33"/>
      <c r="N823" s="33"/>
      <c r="O823" s="33"/>
      <c r="P823" s="184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44"/>
      <c r="AP823" s="37"/>
      <c r="AQ823" s="44"/>
      <c r="AR823" s="57"/>
      <c r="AS823" s="56">
        <f>Tabela4[[#This Row],[Total R$]]-Tabela4[[#This Row],[Total Pago]]</f>
        <v>0</v>
      </c>
      <c r="AT823" s="36"/>
    </row>
    <row r="824" spans="2:46" x14ac:dyDescent="0.25">
      <c r="B824" s="44"/>
      <c r="D824" s="349"/>
      <c r="E824" s="33"/>
      <c r="F824" s="33"/>
      <c r="G824" s="33"/>
      <c r="H824" s="33"/>
      <c r="I824" s="33"/>
      <c r="J824" s="33"/>
      <c r="K824" s="33"/>
      <c r="L824" s="561"/>
      <c r="M824" s="33"/>
      <c r="N824" s="33"/>
      <c r="O824" s="33"/>
      <c r="P824" s="184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44"/>
      <c r="AP824" s="37"/>
      <c r="AQ824" s="44"/>
      <c r="AR824" s="57"/>
      <c r="AS824" s="56">
        <f>Tabela4[[#This Row],[Total R$]]-Tabela4[[#This Row],[Total Pago]]</f>
        <v>0</v>
      </c>
      <c r="AT824" s="36"/>
    </row>
    <row r="825" spans="2:46" x14ac:dyDescent="0.25">
      <c r="B825" s="44"/>
      <c r="D825" s="349"/>
      <c r="E825" s="33"/>
      <c r="F825" s="33"/>
      <c r="G825" s="33"/>
      <c r="H825" s="33"/>
      <c r="I825" s="33"/>
      <c r="J825" s="33"/>
      <c r="K825" s="33"/>
      <c r="L825" s="561"/>
      <c r="M825" s="33"/>
      <c r="N825" s="33"/>
      <c r="O825" s="33"/>
      <c r="P825" s="184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44"/>
      <c r="AP825" s="37"/>
      <c r="AQ825" s="44"/>
      <c r="AR825" s="57"/>
      <c r="AS825" s="56">
        <f>Tabela4[[#This Row],[Total R$]]-Tabela4[[#This Row],[Total Pago]]</f>
        <v>0</v>
      </c>
      <c r="AT825" s="36"/>
    </row>
    <row r="826" spans="2:46" x14ac:dyDescent="0.25">
      <c r="B826" s="44"/>
      <c r="D826" s="349"/>
      <c r="E826" s="33"/>
      <c r="F826" s="33"/>
      <c r="G826" s="33"/>
      <c r="H826" s="33"/>
      <c r="I826" s="33"/>
      <c r="J826" s="33"/>
      <c r="K826" s="33"/>
      <c r="L826" s="561"/>
      <c r="M826" s="33"/>
      <c r="N826" s="33"/>
      <c r="O826" s="33"/>
      <c r="P826" s="184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44"/>
      <c r="AP826" s="37"/>
      <c r="AQ826" s="44"/>
      <c r="AR826" s="57"/>
      <c r="AS826" s="56">
        <f>Tabela4[[#This Row],[Total R$]]-Tabela4[[#This Row],[Total Pago]]</f>
        <v>0</v>
      </c>
      <c r="AT826" s="36"/>
    </row>
    <row r="827" spans="2:46" x14ac:dyDescent="0.25">
      <c r="B827" s="44"/>
      <c r="D827" s="349"/>
      <c r="E827" s="33"/>
      <c r="F827" s="33"/>
      <c r="G827" s="33"/>
      <c r="H827" s="33"/>
      <c r="I827" s="33"/>
      <c r="J827" s="33"/>
      <c r="K827" s="33"/>
      <c r="L827" s="561"/>
      <c r="M827" s="33"/>
      <c r="N827" s="33"/>
      <c r="O827" s="33"/>
      <c r="P827" s="184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44"/>
      <c r="AP827" s="37"/>
      <c r="AQ827" s="44"/>
      <c r="AR827" s="57"/>
      <c r="AS827" s="56">
        <f>Tabela4[[#This Row],[Total R$]]-Tabela4[[#This Row],[Total Pago]]</f>
        <v>0</v>
      </c>
      <c r="AT827" s="36"/>
    </row>
    <row r="828" spans="2:46" x14ac:dyDescent="0.25">
      <c r="B828" s="44"/>
      <c r="D828" s="349"/>
      <c r="E828" s="33"/>
      <c r="F828" s="33"/>
      <c r="G828" s="33"/>
      <c r="H828" s="33"/>
      <c r="I828" s="33"/>
      <c r="J828" s="33"/>
      <c r="K828" s="33"/>
      <c r="L828" s="561"/>
      <c r="M828" s="33"/>
      <c r="N828" s="33"/>
      <c r="O828" s="33"/>
      <c r="P828" s="184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44"/>
      <c r="AP828" s="37"/>
      <c r="AQ828" s="44"/>
      <c r="AR828" s="57"/>
      <c r="AS828" s="56">
        <f>Tabela4[[#This Row],[Total R$]]-Tabela4[[#This Row],[Total Pago]]</f>
        <v>0</v>
      </c>
      <c r="AT828" s="36"/>
    </row>
    <row r="829" spans="2:46" x14ac:dyDescent="0.25">
      <c r="B829" s="44"/>
      <c r="D829" s="349"/>
      <c r="E829" s="33"/>
      <c r="F829" s="33"/>
      <c r="G829" s="33"/>
      <c r="H829" s="33"/>
      <c r="I829" s="33"/>
      <c r="J829" s="33"/>
      <c r="K829" s="33"/>
      <c r="L829" s="561"/>
      <c r="M829" s="33"/>
      <c r="N829" s="33"/>
      <c r="O829" s="33"/>
      <c r="P829" s="184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44"/>
      <c r="AP829" s="37"/>
      <c r="AQ829" s="44"/>
      <c r="AR829" s="57"/>
      <c r="AS829" s="56">
        <f>Tabela4[[#This Row],[Total R$]]-Tabela4[[#This Row],[Total Pago]]</f>
        <v>0</v>
      </c>
      <c r="AT829" s="36"/>
    </row>
    <row r="830" spans="2:46" x14ac:dyDescent="0.25">
      <c r="B830" s="44"/>
      <c r="D830" s="349"/>
      <c r="E830" s="33"/>
      <c r="F830" s="33"/>
      <c r="G830" s="33"/>
      <c r="H830" s="33"/>
      <c r="I830" s="33"/>
      <c r="J830" s="33"/>
      <c r="K830" s="33"/>
      <c r="L830" s="561"/>
      <c r="M830" s="33"/>
      <c r="N830" s="33"/>
      <c r="O830" s="33"/>
      <c r="P830" s="184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44"/>
      <c r="AP830" s="37"/>
      <c r="AQ830" s="44"/>
      <c r="AR830" s="57"/>
      <c r="AS830" s="56">
        <f>Tabela4[[#This Row],[Total R$]]-Tabela4[[#This Row],[Total Pago]]</f>
        <v>0</v>
      </c>
      <c r="AT830" s="36"/>
    </row>
    <row r="831" spans="2:46" x14ac:dyDescent="0.25">
      <c r="B831" s="44"/>
      <c r="D831" s="349"/>
      <c r="E831" s="33"/>
      <c r="F831" s="33"/>
      <c r="G831" s="33"/>
      <c r="H831" s="33"/>
      <c r="I831" s="33"/>
      <c r="J831" s="33"/>
      <c r="K831" s="33"/>
      <c r="L831" s="561"/>
      <c r="M831" s="33"/>
      <c r="N831" s="33"/>
      <c r="O831" s="33"/>
      <c r="P831" s="184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44"/>
      <c r="AP831" s="37"/>
      <c r="AQ831" s="44"/>
      <c r="AR831" s="57"/>
      <c r="AS831" s="56">
        <f>Tabela4[[#This Row],[Total R$]]-Tabela4[[#This Row],[Total Pago]]</f>
        <v>0</v>
      </c>
      <c r="AT831" s="36"/>
    </row>
    <row r="832" spans="2:46" x14ac:dyDescent="0.25">
      <c r="B832" s="44"/>
      <c r="D832" s="349"/>
      <c r="E832" s="33"/>
      <c r="F832" s="33"/>
      <c r="G832" s="33"/>
      <c r="H832" s="33"/>
      <c r="I832" s="33"/>
      <c r="J832" s="33"/>
      <c r="K832" s="33"/>
      <c r="L832" s="561"/>
      <c r="M832" s="33"/>
      <c r="N832" s="33"/>
      <c r="O832" s="33"/>
      <c r="P832" s="184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44"/>
      <c r="AP832" s="37"/>
      <c r="AQ832" s="44"/>
      <c r="AR832" s="57"/>
      <c r="AS832" s="56">
        <f>Tabela4[[#This Row],[Total R$]]-Tabela4[[#This Row],[Total Pago]]</f>
        <v>0</v>
      </c>
      <c r="AT832" s="36"/>
    </row>
    <row r="833" spans="2:46" x14ac:dyDescent="0.25">
      <c r="B833" s="44"/>
      <c r="D833" s="349"/>
      <c r="E833" s="33"/>
      <c r="F833" s="33"/>
      <c r="G833" s="33"/>
      <c r="H833" s="33"/>
      <c r="I833" s="33"/>
      <c r="J833" s="33"/>
      <c r="K833" s="33"/>
      <c r="L833" s="561"/>
      <c r="M833" s="33"/>
      <c r="N833" s="33"/>
      <c r="O833" s="33"/>
      <c r="P833" s="184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44"/>
      <c r="AP833" s="37"/>
      <c r="AQ833" s="44"/>
      <c r="AR833" s="57"/>
      <c r="AS833" s="56">
        <f>Tabela4[[#This Row],[Total R$]]-Tabela4[[#This Row],[Total Pago]]</f>
        <v>0</v>
      </c>
      <c r="AT833" s="36"/>
    </row>
    <row r="834" spans="2:46" x14ac:dyDescent="0.25">
      <c r="B834" s="44"/>
      <c r="D834" s="349"/>
      <c r="E834" s="33"/>
      <c r="F834" s="33"/>
      <c r="G834" s="33"/>
      <c r="H834" s="33"/>
      <c r="I834" s="33"/>
      <c r="J834" s="33"/>
      <c r="K834" s="33"/>
      <c r="L834" s="561"/>
      <c r="M834" s="33"/>
      <c r="N834" s="33"/>
      <c r="O834" s="33"/>
      <c r="P834" s="184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44"/>
      <c r="AP834" s="37"/>
      <c r="AQ834" s="44"/>
      <c r="AR834" s="57"/>
      <c r="AS834" s="56">
        <f>Tabela4[[#This Row],[Total R$]]-Tabela4[[#This Row],[Total Pago]]</f>
        <v>0</v>
      </c>
      <c r="AT834" s="36"/>
    </row>
    <row r="835" spans="2:46" x14ac:dyDescent="0.25">
      <c r="B835" s="44"/>
      <c r="D835" s="349"/>
      <c r="E835" s="33"/>
      <c r="F835" s="33"/>
      <c r="G835" s="33"/>
      <c r="H835" s="33"/>
      <c r="I835" s="33"/>
      <c r="J835" s="33"/>
      <c r="K835" s="33"/>
      <c r="L835" s="561"/>
      <c r="M835" s="33"/>
      <c r="N835" s="33"/>
      <c r="O835" s="33"/>
      <c r="P835" s="184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44"/>
      <c r="AP835" s="37"/>
      <c r="AQ835" s="44"/>
      <c r="AR835" s="57"/>
      <c r="AS835" s="56">
        <f>Tabela4[[#This Row],[Total R$]]-Tabela4[[#This Row],[Total Pago]]</f>
        <v>0</v>
      </c>
      <c r="AT835" s="36"/>
    </row>
    <row r="836" spans="2:46" x14ac:dyDescent="0.25">
      <c r="B836" s="44"/>
      <c r="D836" s="349"/>
      <c r="E836" s="33"/>
      <c r="F836" s="33"/>
      <c r="G836" s="33"/>
      <c r="H836" s="33"/>
      <c r="I836" s="33"/>
      <c r="J836" s="33"/>
      <c r="K836" s="33"/>
      <c r="L836" s="561"/>
      <c r="M836" s="33"/>
      <c r="N836" s="33"/>
      <c r="O836" s="33"/>
      <c r="P836" s="184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44"/>
      <c r="AP836" s="37"/>
      <c r="AQ836" s="44"/>
      <c r="AR836" s="57"/>
      <c r="AS836" s="56">
        <f>Tabela4[[#This Row],[Total R$]]-Tabela4[[#This Row],[Total Pago]]</f>
        <v>0</v>
      </c>
      <c r="AT836" s="36"/>
    </row>
    <row r="837" spans="2:46" x14ac:dyDescent="0.25">
      <c r="B837" s="44"/>
      <c r="D837" s="349"/>
      <c r="E837" s="33"/>
      <c r="F837" s="33"/>
      <c r="G837" s="33"/>
      <c r="H837" s="33"/>
      <c r="I837" s="33"/>
      <c r="J837" s="33"/>
      <c r="K837" s="33"/>
      <c r="L837" s="561"/>
      <c r="M837" s="33"/>
      <c r="N837" s="33"/>
      <c r="O837" s="33"/>
      <c r="P837" s="184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44"/>
      <c r="AP837" s="37"/>
      <c r="AQ837" s="44"/>
      <c r="AR837" s="57"/>
      <c r="AS837" s="56">
        <f>Tabela4[[#This Row],[Total R$]]-Tabela4[[#This Row],[Total Pago]]</f>
        <v>0</v>
      </c>
      <c r="AT837" s="36"/>
    </row>
    <row r="838" spans="2:46" x14ac:dyDescent="0.25">
      <c r="B838" s="44"/>
      <c r="D838" s="349"/>
      <c r="E838" s="33"/>
      <c r="F838" s="33"/>
      <c r="G838" s="33"/>
      <c r="H838" s="33"/>
      <c r="I838" s="33"/>
      <c r="J838" s="33"/>
      <c r="K838" s="33"/>
      <c r="L838" s="561"/>
      <c r="M838" s="33"/>
      <c r="N838" s="33"/>
      <c r="O838" s="33"/>
      <c r="P838" s="184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44"/>
      <c r="AP838" s="37"/>
      <c r="AQ838" s="44"/>
      <c r="AR838" s="57"/>
      <c r="AS838" s="56">
        <f>Tabela4[[#This Row],[Total R$]]-Tabela4[[#This Row],[Total Pago]]</f>
        <v>0</v>
      </c>
      <c r="AT838" s="36"/>
    </row>
    <row r="839" spans="2:46" x14ac:dyDescent="0.25">
      <c r="B839" s="44"/>
      <c r="D839" s="349"/>
      <c r="E839" s="33"/>
      <c r="F839" s="33"/>
      <c r="G839" s="33"/>
      <c r="H839" s="33"/>
      <c r="I839" s="33"/>
      <c r="J839" s="33"/>
      <c r="K839" s="33"/>
      <c r="L839" s="561"/>
      <c r="M839" s="33"/>
      <c r="N839" s="33"/>
      <c r="O839" s="33"/>
      <c r="P839" s="184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44"/>
      <c r="AP839" s="37"/>
      <c r="AQ839" s="44"/>
      <c r="AR839" s="57"/>
      <c r="AS839" s="56">
        <f>Tabela4[[#This Row],[Total R$]]-Tabela4[[#This Row],[Total Pago]]</f>
        <v>0</v>
      </c>
      <c r="AT839" s="36"/>
    </row>
    <row r="840" spans="2:46" x14ac:dyDescent="0.25">
      <c r="B840" s="44"/>
      <c r="D840" s="349"/>
      <c r="E840" s="33"/>
      <c r="F840" s="33"/>
      <c r="G840" s="33"/>
      <c r="H840" s="33"/>
      <c r="I840" s="33"/>
      <c r="J840" s="33"/>
      <c r="K840" s="33"/>
      <c r="L840" s="561"/>
      <c r="M840" s="33"/>
      <c r="N840" s="33"/>
      <c r="O840" s="33"/>
      <c r="P840" s="184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44"/>
      <c r="AP840" s="37"/>
      <c r="AQ840" s="44"/>
      <c r="AR840" s="57"/>
      <c r="AS840" s="56">
        <f>Tabela4[[#This Row],[Total R$]]-Tabela4[[#This Row],[Total Pago]]</f>
        <v>0</v>
      </c>
      <c r="AT840" s="36"/>
    </row>
    <row r="841" spans="2:46" x14ac:dyDescent="0.25">
      <c r="B841" s="44"/>
      <c r="D841" s="349"/>
      <c r="E841" s="33"/>
      <c r="F841" s="33"/>
      <c r="G841" s="33"/>
      <c r="H841" s="33"/>
      <c r="I841" s="33"/>
      <c r="J841" s="33"/>
      <c r="K841" s="33"/>
      <c r="L841" s="561"/>
      <c r="M841" s="33"/>
      <c r="N841" s="33"/>
      <c r="O841" s="33"/>
      <c r="P841" s="184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44"/>
      <c r="AP841" s="37"/>
      <c r="AQ841" s="44"/>
      <c r="AR841" s="57"/>
      <c r="AS841" s="56">
        <f>Tabela4[[#This Row],[Total R$]]-Tabela4[[#This Row],[Total Pago]]</f>
        <v>0</v>
      </c>
      <c r="AT841" s="36"/>
    </row>
    <row r="842" spans="2:46" x14ac:dyDescent="0.25">
      <c r="B842" s="44"/>
      <c r="D842" s="349"/>
      <c r="E842" s="33"/>
      <c r="F842" s="33"/>
      <c r="G842" s="33"/>
      <c r="H842" s="33"/>
      <c r="I842" s="33"/>
      <c r="J842" s="33"/>
      <c r="K842" s="33"/>
      <c r="L842" s="561"/>
      <c r="M842" s="33"/>
      <c r="N842" s="33"/>
      <c r="O842" s="33"/>
      <c r="P842" s="184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44"/>
      <c r="AP842" s="37"/>
      <c r="AQ842" s="44"/>
      <c r="AR842" s="57"/>
      <c r="AS842" s="56">
        <f>Tabela4[[#This Row],[Total R$]]-Tabela4[[#This Row],[Total Pago]]</f>
        <v>0</v>
      </c>
      <c r="AT842" s="36"/>
    </row>
    <row r="843" spans="2:46" x14ac:dyDescent="0.25">
      <c r="B843" s="44"/>
      <c r="D843" s="349"/>
      <c r="E843" s="33"/>
      <c r="F843" s="33"/>
      <c r="G843" s="33"/>
      <c r="H843" s="33"/>
      <c r="I843" s="33"/>
      <c r="J843" s="33"/>
      <c r="K843" s="33"/>
      <c r="L843" s="561"/>
      <c r="M843" s="33"/>
      <c r="N843" s="33"/>
      <c r="O843" s="33"/>
      <c r="P843" s="184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44"/>
      <c r="AP843" s="37"/>
      <c r="AQ843" s="44"/>
      <c r="AR843" s="57"/>
      <c r="AS843" s="56">
        <f>Tabela4[[#This Row],[Total R$]]-Tabela4[[#This Row],[Total Pago]]</f>
        <v>0</v>
      </c>
      <c r="AT843" s="36"/>
    </row>
    <row r="844" spans="2:46" x14ac:dyDescent="0.25">
      <c r="B844" s="44"/>
      <c r="D844" s="349"/>
      <c r="E844" s="33"/>
      <c r="F844" s="33"/>
      <c r="G844" s="33"/>
      <c r="H844" s="33"/>
      <c r="I844" s="33"/>
      <c r="J844" s="33"/>
      <c r="K844" s="33"/>
      <c r="L844" s="561"/>
      <c r="M844" s="33"/>
      <c r="N844" s="33"/>
      <c r="O844" s="33"/>
      <c r="P844" s="184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44"/>
      <c r="AP844" s="37"/>
      <c r="AQ844" s="44"/>
      <c r="AR844" s="57"/>
      <c r="AS844" s="56">
        <f>Tabela4[[#This Row],[Total R$]]-Tabela4[[#This Row],[Total Pago]]</f>
        <v>0</v>
      </c>
      <c r="AT844" s="36"/>
    </row>
    <row r="845" spans="2:46" x14ac:dyDescent="0.25">
      <c r="B845" s="44"/>
      <c r="D845" s="349"/>
      <c r="E845" s="33"/>
      <c r="F845" s="33"/>
      <c r="G845" s="33"/>
      <c r="H845" s="33"/>
      <c r="I845" s="33"/>
      <c r="J845" s="33"/>
      <c r="K845" s="33"/>
      <c r="L845" s="561"/>
      <c r="M845" s="33"/>
      <c r="N845" s="33"/>
      <c r="O845" s="33"/>
      <c r="P845" s="184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44"/>
      <c r="AP845" s="37"/>
      <c r="AQ845" s="44"/>
      <c r="AR845" s="57"/>
      <c r="AS845" s="56">
        <f>Tabela4[[#This Row],[Total R$]]-Tabela4[[#This Row],[Total Pago]]</f>
        <v>0</v>
      </c>
      <c r="AT845" s="36"/>
    </row>
    <row r="846" spans="2:46" x14ac:dyDescent="0.25">
      <c r="B846" s="44"/>
      <c r="D846" s="349"/>
      <c r="E846" s="33"/>
      <c r="F846" s="33"/>
      <c r="G846" s="33"/>
      <c r="H846" s="33"/>
      <c r="I846" s="33"/>
      <c r="J846" s="33"/>
      <c r="K846" s="33"/>
      <c r="L846" s="561"/>
      <c r="M846" s="33"/>
      <c r="N846" s="33"/>
      <c r="O846" s="33"/>
      <c r="P846" s="184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44"/>
      <c r="AP846" s="37"/>
      <c r="AQ846" s="44"/>
      <c r="AR846" s="57"/>
      <c r="AS846" s="56">
        <f>Tabela4[[#This Row],[Total R$]]-Tabela4[[#This Row],[Total Pago]]</f>
        <v>0</v>
      </c>
      <c r="AT846" s="36"/>
    </row>
    <row r="847" spans="2:46" x14ac:dyDescent="0.25">
      <c r="B847" s="44"/>
      <c r="D847" s="349"/>
      <c r="E847" s="33"/>
      <c r="F847" s="33"/>
      <c r="G847" s="33"/>
      <c r="H847" s="33"/>
      <c r="I847" s="33"/>
      <c r="J847" s="33"/>
      <c r="K847" s="33"/>
      <c r="L847" s="561"/>
      <c r="M847" s="33"/>
      <c r="N847" s="33"/>
      <c r="O847" s="33"/>
      <c r="P847" s="184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44"/>
      <c r="AP847" s="37"/>
      <c r="AQ847" s="44"/>
      <c r="AR847" s="57"/>
      <c r="AS847" s="56">
        <f>Tabela4[[#This Row],[Total R$]]-Tabela4[[#This Row],[Total Pago]]</f>
        <v>0</v>
      </c>
      <c r="AT847" s="36"/>
    </row>
    <row r="848" spans="2:46" x14ac:dyDescent="0.25">
      <c r="B848" s="44"/>
      <c r="D848" s="349"/>
      <c r="E848" s="33"/>
      <c r="F848" s="33"/>
      <c r="G848" s="33"/>
      <c r="H848" s="33"/>
      <c r="I848" s="33"/>
      <c r="J848" s="33"/>
      <c r="K848" s="33"/>
      <c r="L848" s="561"/>
      <c r="M848" s="33"/>
      <c r="N848" s="33"/>
      <c r="O848" s="33"/>
      <c r="P848" s="184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44"/>
      <c r="AP848" s="37"/>
      <c r="AQ848" s="44"/>
      <c r="AR848" s="57"/>
      <c r="AS848" s="56">
        <f>Tabela4[[#This Row],[Total R$]]-Tabela4[[#This Row],[Total Pago]]</f>
        <v>0</v>
      </c>
      <c r="AT848" s="36"/>
    </row>
    <row r="849" spans="2:46" x14ac:dyDescent="0.25">
      <c r="B849" s="44"/>
      <c r="D849" s="349"/>
      <c r="E849" s="33"/>
      <c r="F849" s="33"/>
      <c r="G849" s="33"/>
      <c r="H849" s="33"/>
      <c r="I849" s="33"/>
      <c r="J849" s="33"/>
      <c r="K849" s="33"/>
      <c r="L849" s="561"/>
      <c r="M849" s="33"/>
      <c r="N849" s="33"/>
      <c r="O849" s="33"/>
      <c r="P849" s="184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44"/>
      <c r="AP849" s="37"/>
      <c r="AQ849" s="44"/>
      <c r="AR849" s="57"/>
      <c r="AS849" s="56">
        <f>Tabela4[[#This Row],[Total R$]]-Tabela4[[#This Row],[Total Pago]]</f>
        <v>0</v>
      </c>
      <c r="AT849" s="36"/>
    </row>
    <row r="850" spans="2:46" x14ac:dyDescent="0.25">
      <c r="B850" s="44"/>
      <c r="D850" s="349"/>
      <c r="E850" s="33"/>
      <c r="F850" s="33"/>
      <c r="G850" s="33"/>
      <c r="H850" s="33"/>
      <c r="I850" s="33"/>
      <c r="J850" s="33"/>
      <c r="K850" s="33"/>
      <c r="L850" s="561"/>
      <c r="M850" s="33"/>
      <c r="N850" s="33"/>
      <c r="O850" s="33"/>
      <c r="P850" s="184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44"/>
      <c r="AP850" s="37"/>
      <c r="AQ850" s="44"/>
      <c r="AR850" s="57"/>
      <c r="AS850" s="56">
        <f>Tabela4[[#This Row],[Total R$]]-Tabela4[[#This Row],[Total Pago]]</f>
        <v>0</v>
      </c>
      <c r="AT850" s="36"/>
    </row>
    <row r="851" spans="2:46" x14ac:dyDescent="0.25">
      <c r="B851" s="44"/>
      <c r="D851" s="349"/>
      <c r="E851" s="33"/>
      <c r="F851" s="33"/>
      <c r="G851" s="33"/>
      <c r="H851" s="33"/>
      <c r="I851" s="33"/>
      <c r="J851" s="33"/>
      <c r="K851" s="33"/>
      <c r="L851" s="561"/>
      <c r="M851" s="33"/>
      <c r="N851" s="33"/>
      <c r="O851" s="33"/>
      <c r="P851" s="184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63"/>
      <c r="AL851" s="33"/>
      <c r="AM851" s="33"/>
      <c r="AN851" s="33"/>
      <c r="AO851" s="44"/>
      <c r="AP851" s="37"/>
      <c r="AQ851" s="44"/>
      <c r="AR851" s="57"/>
      <c r="AS851" s="56">
        <f>Tabela4[[#This Row],[Total R$]]-Tabela4[[#This Row],[Total Pago]]</f>
        <v>0</v>
      </c>
      <c r="AT851" s="36"/>
    </row>
    <row r="852" spans="2:46" x14ac:dyDescent="0.25">
      <c r="B852" s="44"/>
      <c r="D852" s="349"/>
      <c r="E852" s="33"/>
      <c r="F852" s="33"/>
      <c r="G852" s="33"/>
      <c r="H852" s="33"/>
      <c r="I852" s="33"/>
      <c r="J852" s="33"/>
      <c r="K852" s="33"/>
      <c r="L852" s="561"/>
      <c r="M852" s="33"/>
      <c r="N852" s="33"/>
      <c r="O852" s="33"/>
      <c r="P852" s="184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44"/>
      <c r="AP852" s="37"/>
      <c r="AQ852" s="44"/>
      <c r="AR852" s="57"/>
      <c r="AS852" s="56">
        <f>Tabela4[[#This Row],[Total R$]]-Tabela4[[#This Row],[Total Pago]]</f>
        <v>0</v>
      </c>
      <c r="AT852" s="36"/>
    </row>
    <row r="853" spans="2:46" x14ac:dyDescent="0.25">
      <c r="B853" s="44"/>
      <c r="D853" s="349"/>
      <c r="E853" s="33"/>
      <c r="F853" s="33"/>
      <c r="G853" s="33"/>
      <c r="H853" s="33"/>
      <c r="I853" s="33"/>
      <c r="J853" s="33"/>
      <c r="K853" s="33"/>
      <c r="L853" s="561"/>
      <c r="M853" s="33"/>
      <c r="N853" s="33"/>
      <c r="O853" s="33"/>
      <c r="P853" s="184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63"/>
      <c r="AL853" s="33"/>
      <c r="AM853" s="33"/>
      <c r="AN853" s="33"/>
      <c r="AO853" s="44"/>
      <c r="AP853" s="37"/>
      <c r="AQ853" s="44"/>
      <c r="AR853" s="57"/>
      <c r="AS853" s="56">
        <f>Tabela4[[#This Row],[Total R$]]-Tabela4[[#This Row],[Total Pago]]</f>
        <v>0</v>
      </c>
      <c r="AT853" s="36"/>
    </row>
    <row r="854" spans="2:46" x14ac:dyDescent="0.25">
      <c r="B854" s="44"/>
      <c r="D854" s="349"/>
      <c r="E854" s="33"/>
      <c r="F854" s="33"/>
      <c r="G854" s="33"/>
      <c r="H854" s="33"/>
      <c r="I854" s="33"/>
      <c r="J854" s="33"/>
      <c r="K854" s="33"/>
      <c r="L854" s="561"/>
      <c r="M854" s="33"/>
      <c r="N854" s="33"/>
      <c r="O854" s="33"/>
      <c r="P854" s="184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44"/>
      <c r="AP854" s="37"/>
      <c r="AQ854" s="44"/>
      <c r="AR854" s="57"/>
      <c r="AS854" s="56">
        <f>Tabela4[[#This Row],[Total R$]]-Tabela4[[#This Row],[Total Pago]]</f>
        <v>0</v>
      </c>
      <c r="AT854" s="36"/>
    </row>
    <row r="855" spans="2:46" x14ac:dyDescent="0.25">
      <c r="B855" s="44"/>
      <c r="D855" s="349"/>
      <c r="E855" s="33"/>
      <c r="F855" s="33"/>
      <c r="G855" s="33"/>
      <c r="H855" s="33"/>
      <c r="I855" s="33"/>
      <c r="J855" s="33"/>
      <c r="K855" s="33"/>
      <c r="L855" s="561"/>
      <c r="M855" s="33"/>
      <c r="N855" s="33"/>
      <c r="O855" s="33"/>
      <c r="P855" s="184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44"/>
      <c r="AP855" s="37"/>
      <c r="AQ855" s="44"/>
      <c r="AR855" s="57"/>
      <c r="AS855" s="56">
        <f>Tabela4[[#This Row],[Total R$]]-Tabela4[[#This Row],[Total Pago]]</f>
        <v>0</v>
      </c>
      <c r="AT855" s="36"/>
    </row>
    <row r="856" spans="2:46" x14ac:dyDescent="0.25">
      <c r="B856" s="44"/>
      <c r="D856" s="349"/>
      <c r="E856" s="33"/>
      <c r="F856" s="33"/>
      <c r="G856" s="33"/>
      <c r="H856" s="33"/>
      <c r="I856" s="33"/>
      <c r="J856" s="33"/>
      <c r="K856" s="33"/>
      <c r="L856" s="561"/>
      <c r="M856" s="33"/>
      <c r="N856" s="33"/>
      <c r="O856" s="33"/>
      <c r="P856" s="184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44"/>
      <c r="AP856" s="37"/>
      <c r="AQ856" s="44"/>
      <c r="AR856" s="57"/>
      <c r="AS856" s="56">
        <f>Tabela4[[#This Row],[Total R$]]-Tabela4[[#This Row],[Total Pago]]</f>
        <v>0</v>
      </c>
      <c r="AT856" s="36"/>
    </row>
    <row r="857" spans="2:46" x14ac:dyDescent="0.25">
      <c r="B857" s="44"/>
      <c r="D857" s="349"/>
      <c r="E857" s="33"/>
      <c r="F857" s="33"/>
      <c r="G857" s="33"/>
      <c r="H857" s="33"/>
      <c r="I857" s="33"/>
      <c r="J857" s="33"/>
      <c r="K857" s="33"/>
      <c r="L857" s="561"/>
      <c r="M857" s="33"/>
      <c r="N857" s="33"/>
      <c r="O857" s="33"/>
      <c r="P857" s="184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44"/>
      <c r="AP857" s="37"/>
      <c r="AQ857" s="44"/>
      <c r="AR857" s="57"/>
      <c r="AS857" s="56">
        <f>Tabela4[[#This Row],[Total R$]]-Tabela4[[#This Row],[Total Pago]]</f>
        <v>0</v>
      </c>
      <c r="AT857" s="36"/>
    </row>
    <row r="858" spans="2:46" x14ac:dyDescent="0.25">
      <c r="B858" s="44"/>
      <c r="C858" s="332"/>
      <c r="D858" s="349"/>
      <c r="E858" s="33"/>
      <c r="F858" s="33"/>
      <c r="G858" s="33"/>
      <c r="H858" s="33"/>
      <c r="I858" s="33"/>
      <c r="J858" s="33"/>
      <c r="K858" s="33"/>
      <c r="L858" s="561"/>
      <c r="M858" s="33"/>
      <c r="N858" s="33"/>
      <c r="O858" s="33"/>
      <c r="P858" s="184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44"/>
      <c r="AP858" s="37"/>
      <c r="AQ858" s="44"/>
      <c r="AR858" s="57"/>
      <c r="AS858" s="56">
        <f>Tabela4[[#This Row],[Total R$]]-Tabela4[[#This Row],[Total Pago]]</f>
        <v>0</v>
      </c>
      <c r="AT858" s="36"/>
    </row>
    <row r="859" spans="2:46" x14ac:dyDescent="0.25">
      <c r="B859" s="44"/>
      <c r="D859" s="349"/>
      <c r="E859" s="33"/>
      <c r="F859" s="33"/>
      <c r="G859" s="33"/>
      <c r="H859" s="33"/>
      <c r="I859" s="33"/>
      <c r="J859" s="33"/>
      <c r="K859" s="33"/>
      <c r="L859" s="561"/>
      <c r="M859" s="33"/>
      <c r="N859" s="33"/>
      <c r="O859" s="33"/>
      <c r="P859" s="184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44"/>
      <c r="AP859" s="37"/>
      <c r="AQ859" s="44"/>
      <c r="AR859" s="57"/>
      <c r="AS859" s="56">
        <f>Tabela4[[#This Row],[Total R$]]-Tabela4[[#This Row],[Total Pago]]</f>
        <v>0</v>
      </c>
      <c r="AT859" s="36"/>
    </row>
    <row r="860" spans="2:46" x14ac:dyDescent="0.25">
      <c r="B860" s="44"/>
      <c r="D860" s="349"/>
      <c r="E860" s="33"/>
      <c r="F860" s="33"/>
      <c r="G860" s="33"/>
      <c r="H860" s="33"/>
      <c r="I860" s="33"/>
      <c r="J860" s="33"/>
      <c r="K860" s="33"/>
      <c r="L860" s="561"/>
      <c r="M860" s="33"/>
      <c r="N860" s="33"/>
      <c r="O860" s="33"/>
      <c r="P860" s="184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44"/>
      <c r="AP860" s="37"/>
      <c r="AQ860" s="44"/>
      <c r="AR860" s="57"/>
      <c r="AS860" s="56">
        <f>Tabela4[[#This Row],[Total R$]]-Tabela4[[#This Row],[Total Pago]]</f>
        <v>0</v>
      </c>
      <c r="AT860" s="36"/>
    </row>
    <row r="861" spans="2:46" x14ac:dyDescent="0.25">
      <c r="B861" s="44"/>
      <c r="D861" s="349"/>
      <c r="E861" s="33"/>
      <c r="F861" s="33"/>
      <c r="G861" s="33"/>
      <c r="H861" s="33"/>
      <c r="I861" s="33"/>
      <c r="J861" s="33"/>
      <c r="K861" s="33"/>
      <c r="L861" s="561"/>
      <c r="M861" s="33"/>
      <c r="N861" s="33"/>
      <c r="O861" s="33"/>
      <c r="P861" s="184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44"/>
      <c r="AP861" s="37"/>
      <c r="AQ861" s="44"/>
      <c r="AR861" s="57"/>
      <c r="AS861" s="56">
        <f>Tabela4[[#This Row],[Total R$]]-Tabela4[[#This Row],[Total Pago]]</f>
        <v>0</v>
      </c>
      <c r="AT861" s="36"/>
    </row>
    <row r="862" spans="2:46" x14ac:dyDescent="0.25">
      <c r="B862" s="44"/>
      <c r="D862" s="349"/>
      <c r="E862" s="33"/>
      <c r="F862" s="33"/>
      <c r="G862" s="33"/>
      <c r="H862" s="33"/>
      <c r="I862" s="33"/>
      <c r="J862" s="33"/>
      <c r="K862" s="33"/>
      <c r="L862" s="561"/>
      <c r="M862" s="33"/>
      <c r="N862" s="33"/>
      <c r="O862" s="33"/>
      <c r="P862" s="184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44"/>
      <c r="AP862" s="37"/>
      <c r="AQ862" s="44"/>
      <c r="AR862" s="57"/>
      <c r="AS862" s="56">
        <f>Tabela4[[#This Row],[Total R$]]-Tabela4[[#This Row],[Total Pago]]</f>
        <v>0</v>
      </c>
      <c r="AT862" s="36"/>
    </row>
    <row r="863" spans="2:46" x14ac:dyDescent="0.25">
      <c r="B863" s="44"/>
      <c r="D863" s="349"/>
      <c r="E863" s="33"/>
      <c r="F863" s="33"/>
      <c r="G863" s="33"/>
      <c r="H863" s="33"/>
      <c r="I863" s="33"/>
      <c r="J863" s="33"/>
      <c r="K863" s="33"/>
      <c r="L863" s="561"/>
      <c r="M863" s="33"/>
      <c r="N863" s="33"/>
      <c r="O863" s="33"/>
      <c r="P863" s="184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44"/>
      <c r="AP863" s="37"/>
      <c r="AQ863" s="44"/>
      <c r="AR863" s="57"/>
      <c r="AS863" s="56">
        <f>Tabela4[[#This Row],[Total R$]]-Tabela4[[#This Row],[Total Pago]]</f>
        <v>0</v>
      </c>
      <c r="AT863" s="36"/>
    </row>
    <row r="864" spans="2:46" x14ac:dyDescent="0.25">
      <c r="B864" s="44"/>
      <c r="D864" s="349"/>
      <c r="E864" s="33"/>
      <c r="F864" s="33"/>
      <c r="G864" s="33"/>
      <c r="H864" s="33"/>
      <c r="I864" s="33"/>
      <c r="J864" s="33"/>
      <c r="K864" s="33"/>
      <c r="L864" s="561"/>
      <c r="M864" s="33"/>
      <c r="N864" s="33"/>
      <c r="O864" s="33"/>
      <c r="P864" s="184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44"/>
      <c r="AP864" s="37"/>
      <c r="AQ864" s="44"/>
      <c r="AR864" s="57"/>
      <c r="AS864" s="56">
        <f>Tabela4[[#This Row],[Total R$]]-Tabela4[[#This Row],[Total Pago]]</f>
        <v>0</v>
      </c>
      <c r="AT864" s="36"/>
    </row>
    <row r="865" spans="2:46" x14ac:dyDescent="0.25">
      <c r="B865" s="44"/>
      <c r="D865" s="349"/>
      <c r="E865" s="33"/>
      <c r="F865" s="33"/>
      <c r="G865" s="33"/>
      <c r="H865" s="33"/>
      <c r="I865" s="33"/>
      <c r="J865" s="33"/>
      <c r="K865" s="33"/>
      <c r="L865" s="561"/>
      <c r="M865" s="33"/>
      <c r="N865" s="33"/>
      <c r="O865" s="33"/>
      <c r="P865" s="184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44"/>
      <c r="AP865" s="37"/>
      <c r="AQ865" s="44"/>
      <c r="AR865" s="57"/>
      <c r="AS865" s="56">
        <f>Tabela4[[#This Row],[Total R$]]-Tabela4[[#This Row],[Total Pago]]</f>
        <v>0</v>
      </c>
      <c r="AT865" s="36"/>
    </row>
    <row r="866" spans="2:46" x14ac:dyDescent="0.25">
      <c r="B866" s="44"/>
      <c r="D866" s="349"/>
      <c r="E866" s="33"/>
      <c r="F866" s="33"/>
      <c r="G866" s="33"/>
      <c r="H866" s="33"/>
      <c r="I866" s="33"/>
      <c r="J866" s="33"/>
      <c r="K866" s="33"/>
      <c r="L866" s="561"/>
      <c r="M866" s="33"/>
      <c r="N866" s="33"/>
      <c r="O866" s="33"/>
      <c r="P866" s="184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44"/>
      <c r="AP866" s="37"/>
      <c r="AQ866" s="44"/>
      <c r="AR866" s="57"/>
      <c r="AS866" s="56">
        <f>Tabela4[[#This Row],[Total R$]]-Tabela4[[#This Row],[Total Pago]]</f>
        <v>0</v>
      </c>
      <c r="AT866" s="36"/>
    </row>
    <row r="867" spans="2:46" x14ac:dyDescent="0.25">
      <c r="B867" s="44"/>
      <c r="D867" s="349"/>
      <c r="E867" s="33"/>
      <c r="F867" s="33"/>
      <c r="G867" s="33"/>
      <c r="H867" s="33"/>
      <c r="I867" s="33"/>
      <c r="J867" s="33"/>
      <c r="K867" s="33"/>
      <c r="L867" s="561"/>
      <c r="M867" s="33"/>
      <c r="N867" s="33"/>
      <c r="O867" s="33"/>
      <c r="P867" s="184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44"/>
      <c r="AP867" s="37"/>
      <c r="AQ867" s="44"/>
      <c r="AR867" s="57"/>
      <c r="AS867" s="56">
        <f>Tabela4[[#This Row],[Total R$]]-Tabela4[[#This Row],[Total Pago]]</f>
        <v>0</v>
      </c>
      <c r="AT867" s="36"/>
    </row>
    <row r="868" spans="2:46" x14ac:dyDescent="0.25">
      <c r="B868" s="44"/>
      <c r="D868" s="349"/>
      <c r="E868" s="33"/>
      <c r="F868" s="33"/>
      <c r="G868" s="33"/>
      <c r="H868" s="33"/>
      <c r="I868" s="33"/>
      <c r="J868" s="33"/>
      <c r="K868" s="33"/>
      <c r="L868" s="561"/>
      <c r="M868" s="33"/>
      <c r="N868" s="33"/>
      <c r="O868" s="33"/>
      <c r="P868" s="184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44"/>
      <c r="AP868" s="37"/>
      <c r="AQ868" s="44"/>
      <c r="AR868" s="57"/>
      <c r="AS868" s="56">
        <f>Tabela4[[#This Row],[Total R$]]-Tabela4[[#This Row],[Total Pago]]</f>
        <v>0</v>
      </c>
      <c r="AT868" s="36"/>
    </row>
    <row r="869" spans="2:46" x14ac:dyDescent="0.25">
      <c r="B869" s="44"/>
      <c r="D869" s="349"/>
      <c r="E869" s="33"/>
      <c r="F869" s="33"/>
      <c r="G869" s="33"/>
      <c r="H869" s="33"/>
      <c r="I869" s="33"/>
      <c r="J869" s="33"/>
      <c r="K869" s="33"/>
      <c r="L869" s="561"/>
      <c r="M869" s="33"/>
      <c r="N869" s="33"/>
      <c r="O869" s="33"/>
      <c r="P869" s="184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44"/>
      <c r="AP869" s="37"/>
      <c r="AQ869" s="44"/>
      <c r="AR869" s="57"/>
      <c r="AS869" s="56">
        <f>Tabela4[[#This Row],[Total R$]]-Tabela4[[#This Row],[Total Pago]]</f>
        <v>0</v>
      </c>
      <c r="AT869" s="36"/>
    </row>
    <row r="870" spans="2:46" x14ac:dyDescent="0.25">
      <c r="B870" s="44"/>
      <c r="D870" s="349"/>
      <c r="E870" s="33"/>
      <c r="F870" s="33"/>
      <c r="G870" s="33"/>
      <c r="H870" s="33"/>
      <c r="I870" s="33"/>
      <c r="J870" s="33"/>
      <c r="K870" s="33"/>
      <c r="L870" s="561"/>
      <c r="M870" s="33"/>
      <c r="N870" s="33"/>
      <c r="O870" s="33"/>
      <c r="P870" s="184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44"/>
      <c r="AP870" s="37"/>
      <c r="AQ870" s="44"/>
      <c r="AR870" s="57"/>
      <c r="AS870" s="56">
        <f>Tabela4[[#This Row],[Total R$]]-Tabela4[[#This Row],[Total Pago]]</f>
        <v>0</v>
      </c>
      <c r="AT870" s="36"/>
    </row>
    <row r="871" spans="2:46" x14ac:dyDescent="0.25">
      <c r="B871" s="44"/>
      <c r="D871" s="349"/>
      <c r="E871" s="33"/>
      <c r="F871" s="33"/>
      <c r="G871" s="33"/>
      <c r="H871" s="33"/>
      <c r="I871" s="33"/>
      <c r="J871" s="33"/>
      <c r="K871" s="33"/>
      <c r="L871" s="561"/>
      <c r="M871" s="33"/>
      <c r="N871" s="33"/>
      <c r="O871" s="33"/>
      <c r="P871" s="184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44"/>
      <c r="AP871" s="37"/>
      <c r="AQ871" s="44"/>
      <c r="AR871" s="57"/>
      <c r="AS871" s="56">
        <f>Tabela4[[#This Row],[Total R$]]-Tabela4[[#This Row],[Total Pago]]</f>
        <v>0</v>
      </c>
      <c r="AT871" s="36"/>
    </row>
    <row r="872" spans="2:46" x14ac:dyDescent="0.25">
      <c r="B872" s="44"/>
      <c r="D872" s="349"/>
      <c r="E872" s="33"/>
      <c r="F872" s="33"/>
      <c r="G872" s="33"/>
      <c r="H872" s="33"/>
      <c r="I872" s="33"/>
      <c r="J872" s="33"/>
      <c r="K872" s="33"/>
      <c r="L872" s="561"/>
      <c r="M872" s="33"/>
      <c r="N872" s="33"/>
      <c r="O872" s="33"/>
      <c r="P872" s="184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44"/>
      <c r="AP872" s="37"/>
      <c r="AQ872" s="44"/>
      <c r="AR872" s="57"/>
      <c r="AS872" s="56">
        <f>Tabela4[[#This Row],[Total R$]]-Tabela4[[#This Row],[Total Pago]]</f>
        <v>0</v>
      </c>
      <c r="AT872" s="36"/>
    </row>
    <row r="873" spans="2:46" x14ac:dyDescent="0.25">
      <c r="B873" s="44"/>
      <c r="D873" s="349"/>
      <c r="E873" s="33"/>
      <c r="F873" s="33"/>
      <c r="G873" s="33"/>
      <c r="H873" s="33"/>
      <c r="I873" s="33"/>
      <c r="J873" s="33"/>
      <c r="K873" s="33"/>
      <c r="L873" s="561"/>
      <c r="M873" s="33"/>
      <c r="N873" s="33"/>
      <c r="O873" s="33"/>
      <c r="P873" s="184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44"/>
      <c r="AP873" s="37"/>
      <c r="AQ873" s="44"/>
      <c r="AR873" s="57"/>
      <c r="AS873" s="56">
        <f>Tabela4[[#This Row],[Total R$]]-Tabela4[[#This Row],[Total Pago]]</f>
        <v>0</v>
      </c>
      <c r="AT873" s="36"/>
    </row>
    <row r="874" spans="2:46" x14ac:dyDescent="0.25">
      <c r="B874" s="44"/>
      <c r="D874" s="349"/>
      <c r="E874" s="33"/>
      <c r="F874" s="33"/>
      <c r="G874" s="33"/>
      <c r="H874" s="33"/>
      <c r="I874" s="33"/>
      <c r="J874" s="33"/>
      <c r="K874" s="33"/>
      <c r="L874" s="561"/>
      <c r="M874" s="33"/>
      <c r="N874" s="33"/>
      <c r="O874" s="33"/>
      <c r="P874" s="184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44"/>
      <c r="AP874" s="37"/>
      <c r="AQ874" s="44"/>
      <c r="AR874" s="57"/>
      <c r="AS874" s="56">
        <f>Tabela4[[#This Row],[Total R$]]-Tabela4[[#This Row],[Total Pago]]</f>
        <v>0</v>
      </c>
      <c r="AT874" s="36"/>
    </row>
    <row r="875" spans="2:46" x14ac:dyDescent="0.25">
      <c r="B875" s="44"/>
      <c r="D875" s="349"/>
      <c r="E875" s="33"/>
      <c r="F875" s="33"/>
      <c r="G875" s="33"/>
      <c r="H875" s="33"/>
      <c r="I875" s="33"/>
      <c r="J875" s="33"/>
      <c r="K875" s="33"/>
      <c r="L875" s="561"/>
      <c r="M875" s="33"/>
      <c r="N875" s="33"/>
      <c r="O875" s="33"/>
      <c r="P875" s="184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44"/>
      <c r="AP875" s="37"/>
      <c r="AQ875" s="44"/>
      <c r="AR875" s="57"/>
      <c r="AS875" s="56">
        <f>Tabela4[[#This Row],[Total R$]]-Tabela4[[#This Row],[Total Pago]]</f>
        <v>0</v>
      </c>
      <c r="AT875" s="36"/>
    </row>
    <row r="876" spans="2:46" x14ac:dyDescent="0.25">
      <c r="B876" s="44"/>
      <c r="D876" s="349"/>
      <c r="E876" s="33"/>
      <c r="F876" s="33"/>
      <c r="G876" s="33"/>
      <c r="H876" s="33"/>
      <c r="I876" s="33"/>
      <c r="J876" s="33"/>
      <c r="K876" s="33"/>
      <c r="L876" s="561"/>
      <c r="M876" s="33"/>
      <c r="N876" s="33"/>
      <c r="O876" s="33"/>
      <c r="P876" s="184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44"/>
      <c r="AP876" s="37"/>
      <c r="AQ876" s="44"/>
      <c r="AR876" s="57"/>
      <c r="AS876" s="56">
        <f>Tabela4[[#This Row],[Total R$]]-Tabela4[[#This Row],[Total Pago]]</f>
        <v>0</v>
      </c>
      <c r="AT876" s="36"/>
    </row>
    <row r="877" spans="2:46" x14ac:dyDescent="0.25">
      <c r="B877" s="44"/>
      <c r="D877" s="349"/>
      <c r="E877" s="33"/>
      <c r="F877" s="33"/>
      <c r="G877" s="33"/>
      <c r="H877" s="33"/>
      <c r="I877" s="33"/>
      <c r="J877" s="33"/>
      <c r="K877" s="33"/>
      <c r="L877" s="561"/>
      <c r="M877" s="33"/>
      <c r="N877" s="33"/>
      <c r="O877" s="33"/>
      <c r="P877" s="184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44"/>
      <c r="AP877" s="37"/>
      <c r="AQ877" s="44"/>
      <c r="AR877" s="57"/>
      <c r="AS877" s="56">
        <f>Tabela4[[#This Row],[Total R$]]-Tabela4[[#This Row],[Total Pago]]</f>
        <v>0</v>
      </c>
      <c r="AT877" s="36"/>
    </row>
    <row r="878" spans="2:46" x14ac:dyDescent="0.25">
      <c r="B878" s="44"/>
      <c r="D878" s="349"/>
      <c r="E878" s="33"/>
      <c r="F878" s="33"/>
      <c r="G878" s="33"/>
      <c r="H878" s="33"/>
      <c r="I878" s="33"/>
      <c r="J878" s="33"/>
      <c r="K878" s="33"/>
      <c r="L878" s="561"/>
      <c r="M878" s="33"/>
      <c r="N878" s="33"/>
      <c r="O878" s="33"/>
      <c r="P878" s="184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44"/>
      <c r="AP878" s="37"/>
      <c r="AQ878" s="44"/>
      <c r="AR878" s="57"/>
      <c r="AS878" s="56">
        <f>Tabela4[[#This Row],[Total R$]]-Tabela4[[#This Row],[Total Pago]]</f>
        <v>0</v>
      </c>
      <c r="AT878" s="36"/>
    </row>
    <row r="879" spans="2:46" x14ac:dyDescent="0.25">
      <c r="B879" s="44"/>
      <c r="D879" s="349"/>
      <c r="E879" s="33"/>
      <c r="F879" s="33"/>
      <c r="G879" s="33"/>
      <c r="H879" s="33"/>
      <c r="I879" s="33"/>
      <c r="J879" s="33"/>
      <c r="K879" s="33"/>
      <c r="L879" s="561"/>
      <c r="M879" s="33"/>
      <c r="N879" s="33"/>
      <c r="O879" s="33"/>
      <c r="P879" s="184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44"/>
      <c r="AP879" s="37"/>
      <c r="AQ879" s="44"/>
      <c r="AR879" s="57"/>
      <c r="AS879" s="56">
        <f>Tabela4[[#This Row],[Total R$]]-Tabela4[[#This Row],[Total Pago]]</f>
        <v>0</v>
      </c>
      <c r="AT879" s="36"/>
    </row>
    <row r="880" spans="2:46" x14ac:dyDescent="0.25">
      <c r="B880" s="44"/>
      <c r="D880" s="349"/>
      <c r="E880" s="33"/>
      <c r="F880" s="33"/>
      <c r="G880" s="33"/>
      <c r="H880" s="33"/>
      <c r="I880" s="33"/>
      <c r="J880" s="33"/>
      <c r="K880" s="33"/>
      <c r="L880" s="561"/>
      <c r="M880" s="33"/>
      <c r="N880" s="33"/>
      <c r="O880" s="33"/>
      <c r="P880" s="184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44"/>
      <c r="AP880" s="37"/>
      <c r="AQ880" s="44"/>
      <c r="AR880" s="57"/>
      <c r="AS880" s="56">
        <f>Tabela4[[#This Row],[Total R$]]-Tabela4[[#This Row],[Total Pago]]</f>
        <v>0</v>
      </c>
      <c r="AT880" s="36"/>
    </row>
    <row r="881" spans="2:46" x14ac:dyDescent="0.25">
      <c r="B881" s="44"/>
      <c r="D881" s="349"/>
      <c r="E881" s="33"/>
      <c r="F881" s="33"/>
      <c r="G881" s="33"/>
      <c r="H881" s="33"/>
      <c r="I881" s="33"/>
      <c r="J881" s="33"/>
      <c r="K881" s="33"/>
      <c r="L881" s="561"/>
      <c r="M881" s="33"/>
      <c r="N881" s="33"/>
      <c r="O881" s="33"/>
      <c r="P881" s="184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44"/>
      <c r="AP881" s="37"/>
      <c r="AQ881" s="44"/>
      <c r="AR881" s="57"/>
      <c r="AS881" s="56">
        <f>Tabela4[[#This Row],[Total R$]]-Tabela4[[#This Row],[Total Pago]]</f>
        <v>0</v>
      </c>
      <c r="AT881" s="36"/>
    </row>
    <row r="882" spans="2:46" x14ac:dyDescent="0.25">
      <c r="B882" s="44"/>
      <c r="D882" s="349"/>
      <c r="E882" s="33"/>
      <c r="F882" s="33"/>
      <c r="G882" s="33"/>
      <c r="H882" s="33"/>
      <c r="I882" s="33"/>
      <c r="J882" s="33"/>
      <c r="K882" s="33"/>
      <c r="L882" s="561"/>
      <c r="M882" s="33"/>
      <c r="N882" s="33"/>
      <c r="O882" s="33"/>
      <c r="P882" s="184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44"/>
      <c r="AP882" s="37"/>
      <c r="AQ882" s="44"/>
      <c r="AR882" s="57"/>
      <c r="AS882" s="56">
        <f>Tabela4[[#This Row],[Total R$]]-Tabela4[[#This Row],[Total Pago]]</f>
        <v>0</v>
      </c>
      <c r="AT882" s="36"/>
    </row>
    <row r="883" spans="2:46" x14ac:dyDescent="0.25">
      <c r="B883" s="44"/>
      <c r="D883" s="349"/>
      <c r="E883" s="33"/>
      <c r="F883" s="33"/>
      <c r="G883" s="33"/>
      <c r="H883" s="33"/>
      <c r="I883" s="33"/>
      <c r="J883" s="33"/>
      <c r="K883" s="33"/>
      <c r="L883" s="561"/>
      <c r="M883" s="33"/>
      <c r="N883" s="33"/>
      <c r="O883" s="33"/>
      <c r="P883" s="184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44"/>
      <c r="AP883" s="37"/>
      <c r="AQ883" s="44"/>
      <c r="AR883" s="57"/>
      <c r="AS883" s="56">
        <f>Tabela4[[#This Row],[Total R$]]-Tabela4[[#This Row],[Total Pago]]</f>
        <v>0</v>
      </c>
      <c r="AT883" s="36"/>
    </row>
    <row r="884" spans="2:46" x14ac:dyDescent="0.25">
      <c r="B884" s="44"/>
      <c r="D884" s="349"/>
      <c r="E884" s="33"/>
      <c r="F884" s="33"/>
      <c r="G884" s="33"/>
      <c r="H884" s="33"/>
      <c r="I884" s="33"/>
      <c r="J884" s="33"/>
      <c r="K884" s="33"/>
      <c r="L884" s="561"/>
      <c r="M884" s="33"/>
      <c r="N884" s="33"/>
      <c r="O884" s="33"/>
      <c r="P884" s="184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44"/>
      <c r="AP884" s="37"/>
      <c r="AQ884" s="44"/>
      <c r="AR884" s="57"/>
      <c r="AS884" s="56">
        <f>Tabela4[[#This Row],[Total R$]]-Tabela4[[#This Row],[Total Pago]]</f>
        <v>0</v>
      </c>
      <c r="AT884" s="36"/>
    </row>
    <row r="885" spans="2:46" x14ac:dyDescent="0.25">
      <c r="B885" s="44"/>
      <c r="D885" s="349"/>
      <c r="E885" s="33"/>
      <c r="F885" s="33"/>
      <c r="G885" s="33"/>
      <c r="H885" s="33"/>
      <c r="I885" s="33"/>
      <c r="J885" s="33"/>
      <c r="K885" s="33"/>
      <c r="L885" s="561"/>
      <c r="M885" s="33"/>
      <c r="N885" s="33"/>
      <c r="O885" s="33"/>
      <c r="P885" s="184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44"/>
      <c r="AP885" s="37"/>
      <c r="AQ885" s="44"/>
      <c r="AR885" s="57"/>
      <c r="AS885" s="56">
        <f>Tabela4[[#This Row],[Total R$]]-Tabela4[[#This Row],[Total Pago]]</f>
        <v>0</v>
      </c>
      <c r="AT885" s="36"/>
    </row>
    <row r="886" spans="2:46" x14ac:dyDescent="0.25">
      <c r="B886" s="44"/>
      <c r="D886" s="349"/>
      <c r="E886" s="33"/>
      <c r="F886" s="33"/>
      <c r="G886" s="33"/>
      <c r="H886" s="33"/>
      <c r="I886" s="33"/>
      <c r="J886" s="33"/>
      <c r="K886" s="33"/>
      <c r="L886" s="561"/>
      <c r="M886" s="33"/>
      <c r="N886" s="33"/>
      <c r="O886" s="33"/>
      <c r="P886" s="184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44"/>
      <c r="AP886" s="37"/>
      <c r="AQ886" s="44"/>
      <c r="AR886" s="57"/>
      <c r="AS886" s="56">
        <f>Tabela4[[#This Row],[Total R$]]-Tabela4[[#This Row],[Total Pago]]</f>
        <v>0</v>
      </c>
      <c r="AT886" s="36"/>
    </row>
    <row r="887" spans="2:46" x14ac:dyDescent="0.25">
      <c r="B887" s="44"/>
      <c r="D887" s="349"/>
      <c r="E887" s="33"/>
      <c r="F887" s="33"/>
      <c r="G887" s="33"/>
      <c r="H887" s="33"/>
      <c r="I887" s="33"/>
      <c r="J887" s="33"/>
      <c r="K887" s="33"/>
      <c r="L887" s="561"/>
      <c r="M887" s="33"/>
      <c r="N887" s="33"/>
      <c r="O887" s="33"/>
      <c r="P887" s="184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44"/>
      <c r="AP887" s="37"/>
      <c r="AQ887" s="44"/>
      <c r="AR887" s="57"/>
      <c r="AS887" s="56">
        <f>Tabela4[[#This Row],[Total R$]]-Tabela4[[#This Row],[Total Pago]]</f>
        <v>0</v>
      </c>
      <c r="AT887" s="36"/>
    </row>
    <row r="888" spans="2:46" x14ac:dyDescent="0.25">
      <c r="B888" s="44"/>
      <c r="D888" s="349"/>
      <c r="E888" s="33"/>
      <c r="F888" s="33"/>
      <c r="G888" s="33"/>
      <c r="H888" s="33"/>
      <c r="I888" s="33"/>
      <c r="J888" s="33"/>
      <c r="K888" s="33"/>
      <c r="L888" s="561"/>
      <c r="M888" s="33"/>
      <c r="N888" s="33"/>
      <c r="O888" s="33"/>
      <c r="P888" s="184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44"/>
      <c r="AP888" s="37"/>
      <c r="AQ888" s="44"/>
      <c r="AR888" s="57"/>
      <c r="AS888" s="56">
        <f>Tabela4[[#This Row],[Total R$]]-Tabela4[[#This Row],[Total Pago]]</f>
        <v>0</v>
      </c>
      <c r="AT888" s="36"/>
    </row>
    <row r="889" spans="2:46" x14ac:dyDescent="0.25">
      <c r="B889" s="44"/>
      <c r="D889" s="349"/>
      <c r="E889" s="33"/>
      <c r="F889" s="33"/>
      <c r="G889" s="33"/>
      <c r="H889" s="33"/>
      <c r="I889" s="33"/>
      <c r="J889" s="33"/>
      <c r="K889" s="33"/>
      <c r="L889" s="561"/>
      <c r="M889" s="33"/>
      <c r="N889" s="33"/>
      <c r="O889" s="33"/>
      <c r="P889" s="184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44"/>
      <c r="AP889" s="37"/>
      <c r="AQ889" s="44"/>
      <c r="AR889" s="57"/>
      <c r="AS889" s="56">
        <f>Tabela4[[#This Row],[Total R$]]-Tabela4[[#This Row],[Total Pago]]</f>
        <v>0</v>
      </c>
      <c r="AT889" s="36"/>
    </row>
    <row r="890" spans="2:46" x14ac:dyDescent="0.25">
      <c r="B890" s="44"/>
      <c r="D890" s="349"/>
      <c r="E890" s="33"/>
      <c r="F890" s="33"/>
      <c r="G890" s="33"/>
      <c r="H890" s="33"/>
      <c r="I890" s="33"/>
      <c r="J890" s="33"/>
      <c r="K890" s="33"/>
      <c r="L890" s="561"/>
      <c r="M890" s="33"/>
      <c r="N890" s="33"/>
      <c r="O890" s="33"/>
      <c r="P890" s="184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44"/>
      <c r="AP890" s="37"/>
      <c r="AQ890" s="44"/>
      <c r="AR890" s="57"/>
      <c r="AS890" s="56">
        <f>Tabela4[[#This Row],[Total R$]]-Tabela4[[#This Row],[Total Pago]]</f>
        <v>0</v>
      </c>
      <c r="AT890" s="36"/>
    </row>
    <row r="891" spans="2:46" x14ac:dyDescent="0.25">
      <c r="B891" s="44"/>
      <c r="D891" s="349"/>
      <c r="E891" s="33"/>
      <c r="F891" s="33"/>
      <c r="G891" s="33"/>
      <c r="H891" s="33"/>
      <c r="I891" s="33"/>
      <c r="J891" s="33"/>
      <c r="K891" s="33"/>
      <c r="L891" s="561"/>
      <c r="M891" s="33"/>
      <c r="N891" s="33"/>
      <c r="O891" s="33"/>
      <c r="P891" s="184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44"/>
      <c r="AP891" s="37"/>
      <c r="AQ891" s="44"/>
      <c r="AR891" s="57"/>
      <c r="AS891" s="56">
        <f>Tabela4[[#This Row],[Total R$]]-Tabela4[[#This Row],[Total Pago]]</f>
        <v>0</v>
      </c>
      <c r="AT891" s="36"/>
    </row>
    <row r="892" spans="2:46" x14ac:dyDescent="0.25">
      <c r="B892" s="44"/>
      <c r="D892" s="349"/>
      <c r="E892" s="33"/>
      <c r="F892" s="33"/>
      <c r="G892" s="33"/>
      <c r="H892" s="33"/>
      <c r="I892" s="33"/>
      <c r="J892" s="33"/>
      <c r="K892" s="33"/>
      <c r="L892" s="561"/>
      <c r="M892" s="33"/>
      <c r="N892" s="33"/>
      <c r="O892" s="33"/>
      <c r="P892" s="184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44"/>
      <c r="AP892" s="37"/>
      <c r="AQ892" s="44"/>
      <c r="AR892" s="57"/>
      <c r="AS892" s="56">
        <f>Tabela4[[#This Row],[Total R$]]-Tabela4[[#This Row],[Total Pago]]</f>
        <v>0</v>
      </c>
      <c r="AT892" s="36"/>
    </row>
    <row r="893" spans="2:46" x14ac:dyDescent="0.25">
      <c r="B893" s="44"/>
      <c r="D893" s="349"/>
      <c r="E893" s="33"/>
      <c r="F893" s="33"/>
      <c r="G893" s="33"/>
      <c r="H893" s="33"/>
      <c r="I893" s="33"/>
      <c r="J893" s="33"/>
      <c r="K893" s="33"/>
      <c r="L893" s="561"/>
      <c r="M893" s="33"/>
      <c r="N893" s="33"/>
      <c r="O893" s="33"/>
      <c r="P893" s="184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44"/>
      <c r="AP893" s="37"/>
      <c r="AQ893" s="44"/>
      <c r="AR893" s="57"/>
      <c r="AS893" s="56">
        <f>Tabela4[[#This Row],[Total R$]]-Tabela4[[#This Row],[Total Pago]]</f>
        <v>0</v>
      </c>
      <c r="AT893" s="36"/>
    </row>
    <row r="894" spans="2:46" x14ac:dyDescent="0.25">
      <c r="B894" s="44"/>
      <c r="D894" s="349"/>
      <c r="E894" s="33"/>
      <c r="F894" s="33"/>
      <c r="G894" s="33"/>
      <c r="H894" s="33"/>
      <c r="I894" s="33"/>
      <c r="J894" s="33"/>
      <c r="K894" s="33"/>
      <c r="L894" s="561"/>
      <c r="M894" s="33"/>
      <c r="N894" s="33"/>
      <c r="O894" s="33"/>
      <c r="P894" s="184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44"/>
      <c r="AP894" s="37"/>
      <c r="AQ894" s="44"/>
      <c r="AR894" s="57"/>
      <c r="AS894" s="56">
        <f>Tabela4[[#This Row],[Total R$]]-Tabela4[[#This Row],[Total Pago]]</f>
        <v>0</v>
      </c>
      <c r="AT894" s="36"/>
    </row>
    <row r="895" spans="2:46" x14ac:dyDescent="0.25">
      <c r="B895" s="44"/>
      <c r="D895" s="349"/>
      <c r="E895" s="33"/>
      <c r="F895" s="33"/>
      <c r="G895" s="33"/>
      <c r="H895" s="33"/>
      <c r="I895" s="33"/>
      <c r="J895" s="33"/>
      <c r="K895" s="33"/>
      <c r="L895" s="561"/>
      <c r="M895" s="33"/>
      <c r="N895" s="33"/>
      <c r="O895" s="33"/>
      <c r="P895" s="184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44"/>
      <c r="AP895" s="37"/>
      <c r="AQ895" s="44"/>
      <c r="AR895" s="57"/>
      <c r="AS895" s="56">
        <f>Tabela4[[#This Row],[Total R$]]-Tabela4[[#This Row],[Total Pago]]</f>
        <v>0</v>
      </c>
      <c r="AT895" s="36"/>
    </row>
    <row r="896" spans="2:46" x14ac:dyDescent="0.25">
      <c r="B896" s="44"/>
      <c r="D896" s="349"/>
      <c r="E896" s="33"/>
      <c r="F896" s="33"/>
      <c r="G896" s="33"/>
      <c r="H896" s="33"/>
      <c r="I896" s="33"/>
      <c r="J896" s="33"/>
      <c r="K896" s="33"/>
      <c r="L896" s="561"/>
      <c r="M896" s="33"/>
      <c r="N896" s="33"/>
      <c r="O896" s="33"/>
      <c r="P896" s="184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44"/>
      <c r="AP896" s="37"/>
      <c r="AQ896" s="44"/>
      <c r="AR896" s="57"/>
      <c r="AS896" s="56">
        <f>Tabela4[[#This Row],[Total R$]]-Tabela4[[#This Row],[Total Pago]]</f>
        <v>0</v>
      </c>
      <c r="AT896" s="36"/>
    </row>
    <row r="897" spans="2:46" x14ac:dyDescent="0.25">
      <c r="B897" s="44"/>
      <c r="D897" s="349"/>
      <c r="E897" s="33"/>
      <c r="F897" s="33"/>
      <c r="G897" s="33"/>
      <c r="H897" s="33"/>
      <c r="I897" s="33"/>
      <c r="J897" s="33"/>
      <c r="K897" s="33"/>
      <c r="L897" s="561"/>
      <c r="M897" s="33"/>
      <c r="N897" s="33"/>
      <c r="O897" s="33"/>
      <c r="P897" s="184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44"/>
      <c r="AP897" s="37"/>
      <c r="AQ897" s="44"/>
      <c r="AR897" s="57"/>
      <c r="AS897" s="56">
        <f>Tabela4[[#This Row],[Total R$]]-Tabela4[[#This Row],[Total Pago]]</f>
        <v>0</v>
      </c>
      <c r="AT897" s="36"/>
    </row>
    <row r="898" spans="2:46" x14ac:dyDescent="0.25">
      <c r="B898" s="44"/>
      <c r="D898" s="349"/>
      <c r="E898" s="33"/>
      <c r="F898" s="33"/>
      <c r="G898" s="33"/>
      <c r="H898" s="33"/>
      <c r="I898" s="33"/>
      <c r="J898" s="33"/>
      <c r="K898" s="33"/>
      <c r="L898" s="561"/>
      <c r="M898" s="33"/>
      <c r="N898" s="33"/>
      <c r="O898" s="33"/>
      <c r="P898" s="184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44"/>
      <c r="AP898" s="37"/>
      <c r="AQ898" s="44"/>
      <c r="AR898" s="57"/>
      <c r="AS898" s="56">
        <f>Tabela4[[#This Row],[Total R$]]-Tabela4[[#This Row],[Total Pago]]</f>
        <v>0</v>
      </c>
      <c r="AT898" s="36"/>
    </row>
    <row r="899" spans="2:46" x14ac:dyDescent="0.25">
      <c r="B899" s="44"/>
      <c r="D899" s="349"/>
      <c r="E899" s="33"/>
      <c r="F899" s="33"/>
      <c r="G899" s="33"/>
      <c r="H899" s="33"/>
      <c r="I899" s="33"/>
      <c r="J899" s="33"/>
      <c r="K899" s="33"/>
      <c r="L899" s="561"/>
      <c r="M899" s="33"/>
      <c r="N899" s="33"/>
      <c r="O899" s="33"/>
      <c r="P899" s="184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44"/>
      <c r="AP899" s="37"/>
      <c r="AQ899" s="44"/>
      <c r="AR899" s="57"/>
      <c r="AS899" s="56">
        <f>Tabela4[[#This Row],[Total R$]]-Tabela4[[#This Row],[Total Pago]]</f>
        <v>0</v>
      </c>
      <c r="AT899" s="36"/>
    </row>
    <row r="900" spans="2:46" x14ac:dyDescent="0.25">
      <c r="B900" s="44"/>
      <c r="D900" s="349"/>
      <c r="E900" s="33"/>
      <c r="F900" s="33"/>
      <c r="G900" s="33"/>
      <c r="H900" s="33"/>
      <c r="I900" s="33"/>
      <c r="J900" s="33"/>
      <c r="K900" s="33"/>
      <c r="L900" s="561"/>
      <c r="M900" s="33"/>
      <c r="N900" s="33"/>
      <c r="O900" s="33"/>
      <c r="P900" s="184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44"/>
      <c r="AP900" s="37"/>
      <c r="AQ900" s="44"/>
      <c r="AR900" s="57"/>
      <c r="AS900" s="56">
        <f>Tabela4[[#This Row],[Total R$]]-Tabela4[[#This Row],[Total Pago]]</f>
        <v>0</v>
      </c>
      <c r="AT900" s="36"/>
    </row>
    <row r="901" spans="2:46" x14ac:dyDescent="0.25">
      <c r="B901" s="44"/>
      <c r="D901" s="349"/>
      <c r="E901" s="33"/>
      <c r="F901" s="33"/>
      <c r="G901" s="33"/>
      <c r="H901" s="33"/>
      <c r="I901" s="33"/>
      <c r="J901" s="33"/>
      <c r="K901" s="33"/>
      <c r="L901" s="561"/>
      <c r="M901" s="33"/>
      <c r="N901" s="33"/>
      <c r="O901" s="33"/>
      <c r="P901" s="184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44"/>
      <c r="AP901" s="37"/>
      <c r="AQ901" s="44"/>
      <c r="AR901" s="57"/>
      <c r="AS901" s="56">
        <f>Tabela4[[#This Row],[Total R$]]-Tabela4[[#This Row],[Total Pago]]</f>
        <v>0</v>
      </c>
      <c r="AT901" s="36"/>
    </row>
    <row r="902" spans="2:46" x14ac:dyDescent="0.25">
      <c r="B902" s="44"/>
      <c r="D902" s="349"/>
      <c r="E902" s="33"/>
      <c r="F902" s="33"/>
      <c r="G902" s="33"/>
      <c r="H902" s="33"/>
      <c r="I902" s="33"/>
      <c r="J902" s="33"/>
      <c r="K902" s="33"/>
      <c r="L902" s="561"/>
      <c r="M902" s="33"/>
      <c r="N902" s="33"/>
      <c r="O902" s="33"/>
      <c r="P902" s="184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44"/>
      <c r="AP902" s="37"/>
      <c r="AQ902" s="44"/>
      <c r="AR902" s="57"/>
      <c r="AS902" s="56">
        <f>Tabela4[[#This Row],[Total R$]]-Tabela4[[#This Row],[Total Pago]]</f>
        <v>0</v>
      </c>
      <c r="AT902" s="36"/>
    </row>
    <row r="903" spans="2:46" x14ac:dyDescent="0.25">
      <c r="B903" s="44"/>
      <c r="D903" s="349"/>
      <c r="E903" s="33"/>
      <c r="F903" s="33"/>
      <c r="G903" s="33"/>
      <c r="H903" s="33"/>
      <c r="I903" s="33"/>
      <c r="J903" s="33"/>
      <c r="K903" s="33"/>
      <c r="L903" s="561"/>
      <c r="M903" s="33"/>
      <c r="N903" s="33"/>
      <c r="O903" s="33"/>
      <c r="P903" s="184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44"/>
      <c r="AP903" s="37"/>
      <c r="AQ903" s="44"/>
      <c r="AR903" s="57"/>
      <c r="AS903" s="56">
        <f>Tabela4[[#This Row],[Total R$]]-Tabela4[[#This Row],[Total Pago]]</f>
        <v>0</v>
      </c>
      <c r="AT903" s="36"/>
    </row>
    <row r="904" spans="2:46" x14ac:dyDescent="0.25">
      <c r="B904" s="44"/>
      <c r="D904" s="349"/>
      <c r="E904" s="33"/>
      <c r="F904" s="33"/>
      <c r="G904" s="33"/>
      <c r="H904" s="33"/>
      <c r="I904" s="33"/>
      <c r="J904" s="33"/>
      <c r="K904" s="33"/>
      <c r="L904" s="561"/>
      <c r="M904" s="33"/>
      <c r="N904" s="33"/>
      <c r="O904" s="33"/>
      <c r="P904" s="184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44"/>
      <c r="AP904" s="37"/>
      <c r="AQ904" s="44"/>
      <c r="AR904" s="57"/>
      <c r="AS904" s="56">
        <f>Tabela4[[#This Row],[Total R$]]-Tabela4[[#This Row],[Total Pago]]</f>
        <v>0</v>
      </c>
      <c r="AT904" s="36"/>
    </row>
    <row r="905" spans="2:46" x14ac:dyDescent="0.25">
      <c r="B905" s="44"/>
      <c r="D905" s="349"/>
      <c r="E905" s="33"/>
      <c r="F905" s="33"/>
      <c r="G905" s="33"/>
      <c r="H905" s="33"/>
      <c r="I905" s="33"/>
      <c r="J905" s="33"/>
      <c r="K905" s="33"/>
      <c r="L905" s="561"/>
      <c r="M905" s="33"/>
      <c r="N905" s="33"/>
      <c r="O905" s="33"/>
      <c r="P905" s="184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44"/>
      <c r="AP905" s="37"/>
      <c r="AQ905" s="44"/>
      <c r="AR905" s="57"/>
      <c r="AS905" s="56">
        <f>Tabela4[[#This Row],[Total R$]]-Tabela4[[#This Row],[Total Pago]]</f>
        <v>0</v>
      </c>
      <c r="AT905" s="36"/>
    </row>
    <row r="906" spans="2:46" x14ac:dyDescent="0.25">
      <c r="B906" s="44"/>
      <c r="D906" s="349"/>
      <c r="E906" s="33"/>
      <c r="F906" s="33"/>
      <c r="G906" s="33"/>
      <c r="H906" s="33"/>
      <c r="I906" s="33"/>
      <c r="J906" s="33"/>
      <c r="K906" s="33"/>
      <c r="L906" s="561"/>
      <c r="M906" s="33"/>
      <c r="N906" s="33"/>
      <c r="O906" s="33"/>
      <c r="P906" s="184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44"/>
      <c r="AP906" s="37"/>
      <c r="AQ906" s="44"/>
      <c r="AR906" s="57"/>
      <c r="AS906" s="56">
        <f>Tabela4[[#This Row],[Total R$]]-Tabela4[[#This Row],[Total Pago]]</f>
        <v>0</v>
      </c>
      <c r="AT906" s="36"/>
    </row>
    <row r="907" spans="2:46" x14ac:dyDescent="0.25">
      <c r="B907" s="44"/>
      <c r="D907" s="349"/>
      <c r="E907" s="33"/>
      <c r="F907" s="33"/>
      <c r="G907" s="33"/>
      <c r="H907" s="33"/>
      <c r="I907" s="33"/>
      <c r="J907" s="33"/>
      <c r="K907" s="33"/>
      <c r="L907" s="561"/>
      <c r="M907" s="33"/>
      <c r="N907" s="33"/>
      <c r="O907" s="33"/>
      <c r="P907" s="184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44"/>
      <c r="AP907" s="37"/>
      <c r="AQ907" s="44"/>
      <c r="AR907" s="57"/>
      <c r="AS907" s="56">
        <f>Tabela4[[#This Row],[Total R$]]-Tabela4[[#This Row],[Total Pago]]</f>
        <v>0</v>
      </c>
      <c r="AT907" s="36"/>
    </row>
    <row r="908" spans="2:46" x14ac:dyDescent="0.25">
      <c r="B908" s="44"/>
      <c r="D908" s="349"/>
      <c r="E908" s="33"/>
      <c r="F908" s="33"/>
      <c r="G908" s="33"/>
      <c r="H908" s="33"/>
      <c r="I908" s="33"/>
      <c r="J908" s="33"/>
      <c r="K908" s="33"/>
      <c r="L908" s="561"/>
      <c r="M908" s="33"/>
      <c r="N908" s="33"/>
      <c r="O908" s="33"/>
      <c r="P908" s="184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44"/>
      <c r="AP908" s="37"/>
      <c r="AQ908" s="44"/>
      <c r="AR908" s="57"/>
      <c r="AS908" s="56">
        <f>Tabela4[[#This Row],[Total R$]]-Tabela4[[#This Row],[Total Pago]]</f>
        <v>0</v>
      </c>
      <c r="AT908" s="36"/>
    </row>
    <row r="909" spans="2:46" x14ac:dyDescent="0.25">
      <c r="B909" s="44"/>
      <c r="D909" s="349"/>
      <c r="E909" s="33"/>
      <c r="F909" s="33"/>
      <c r="G909" s="33"/>
      <c r="H909" s="33"/>
      <c r="I909" s="33"/>
      <c r="J909" s="33"/>
      <c r="K909" s="33"/>
      <c r="L909" s="561"/>
      <c r="M909" s="33"/>
      <c r="N909" s="33"/>
      <c r="O909" s="33"/>
      <c r="P909" s="184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44"/>
      <c r="AP909" s="37"/>
      <c r="AQ909" s="44"/>
      <c r="AR909" s="57"/>
      <c r="AS909" s="56">
        <f>Tabela4[[#This Row],[Total R$]]-Tabela4[[#This Row],[Total Pago]]</f>
        <v>0</v>
      </c>
      <c r="AT909" s="36"/>
    </row>
    <row r="910" spans="2:46" x14ac:dyDescent="0.25">
      <c r="B910" s="44"/>
      <c r="D910" s="349"/>
      <c r="E910" s="33"/>
      <c r="F910" s="33"/>
      <c r="G910" s="33"/>
      <c r="H910" s="33"/>
      <c r="I910" s="33"/>
      <c r="J910" s="33"/>
      <c r="K910" s="33"/>
      <c r="L910" s="561"/>
      <c r="M910" s="33"/>
      <c r="N910" s="33"/>
      <c r="O910" s="33"/>
      <c r="P910" s="184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44"/>
      <c r="AP910" s="37"/>
      <c r="AQ910" s="44"/>
      <c r="AR910" s="57"/>
      <c r="AS910" s="56">
        <f>Tabela4[[#This Row],[Total R$]]-Tabela4[[#This Row],[Total Pago]]</f>
        <v>0</v>
      </c>
      <c r="AT910" s="36"/>
    </row>
    <row r="911" spans="2:46" x14ac:dyDescent="0.25">
      <c r="B911" s="44"/>
      <c r="D911" s="349"/>
      <c r="E911" s="33"/>
      <c r="F911" s="33"/>
      <c r="G911" s="33"/>
      <c r="H911" s="33"/>
      <c r="I911" s="33"/>
      <c r="J911" s="33"/>
      <c r="K911" s="33"/>
      <c r="L911" s="561"/>
      <c r="M911" s="33"/>
      <c r="N911" s="33"/>
      <c r="O911" s="33"/>
      <c r="P911" s="184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44"/>
      <c r="AP911" s="37"/>
      <c r="AQ911" s="44"/>
      <c r="AR911" s="57"/>
      <c r="AS911" s="56">
        <f>Tabela4[[#This Row],[Total R$]]-Tabela4[[#This Row],[Total Pago]]</f>
        <v>0</v>
      </c>
      <c r="AT911" s="36"/>
    </row>
    <row r="912" spans="2:46" x14ac:dyDescent="0.25">
      <c r="B912" s="44"/>
      <c r="D912" s="349"/>
      <c r="E912" s="33"/>
      <c r="F912" s="33"/>
      <c r="G912" s="33"/>
      <c r="H912" s="33"/>
      <c r="I912" s="33"/>
      <c r="J912" s="33"/>
      <c r="K912" s="33"/>
      <c r="L912" s="561"/>
      <c r="M912" s="33"/>
      <c r="N912" s="33"/>
      <c r="O912" s="33"/>
      <c r="P912" s="184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44"/>
      <c r="AP912" s="37"/>
      <c r="AQ912" s="44"/>
      <c r="AR912" s="57"/>
      <c r="AS912" s="56">
        <f>Tabela4[[#This Row],[Total R$]]-Tabela4[[#This Row],[Total Pago]]</f>
        <v>0</v>
      </c>
      <c r="AT912" s="36"/>
    </row>
    <row r="913" spans="2:46" x14ac:dyDescent="0.25">
      <c r="B913" s="44"/>
      <c r="D913" s="349"/>
      <c r="E913" s="33"/>
      <c r="F913" s="33"/>
      <c r="G913" s="33"/>
      <c r="H913" s="33"/>
      <c r="I913" s="33"/>
      <c r="J913" s="33"/>
      <c r="K913" s="33"/>
      <c r="L913" s="561"/>
      <c r="M913" s="33"/>
      <c r="N913" s="33"/>
      <c r="O913" s="33"/>
      <c r="P913" s="184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44"/>
      <c r="AP913" s="37"/>
      <c r="AQ913" s="44"/>
      <c r="AR913" s="57"/>
      <c r="AS913" s="56">
        <f>Tabela4[[#This Row],[Total R$]]-Tabela4[[#This Row],[Total Pago]]</f>
        <v>0</v>
      </c>
      <c r="AT913" s="36"/>
    </row>
    <row r="914" spans="2:46" x14ac:dyDescent="0.25">
      <c r="B914" s="44"/>
      <c r="D914" s="349"/>
      <c r="E914" s="33"/>
      <c r="F914" s="33"/>
      <c r="G914" s="33"/>
      <c r="H914" s="33"/>
      <c r="I914" s="33"/>
      <c r="J914" s="33"/>
      <c r="K914" s="33"/>
      <c r="L914" s="561"/>
      <c r="M914" s="33"/>
      <c r="N914" s="33"/>
      <c r="O914" s="33"/>
      <c r="P914" s="184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44"/>
      <c r="AP914" s="37"/>
      <c r="AQ914" s="44"/>
      <c r="AR914" s="57"/>
      <c r="AS914" s="56">
        <f>Tabela4[[#This Row],[Total R$]]-Tabela4[[#This Row],[Total Pago]]</f>
        <v>0</v>
      </c>
      <c r="AT914" s="36"/>
    </row>
    <row r="915" spans="2:46" x14ac:dyDescent="0.25">
      <c r="B915" s="44"/>
      <c r="D915" s="349"/>
      <c r="E915" s="33"/>
      <c r="F915" s="33"/>
      <c r="G915" s="33"/>
      <c r="H915" s="33"/>
      <c r="I915" s="33"/>
      <c r="J915" s="33"/>
      <c r="K915" s="33"/>
      <c r="L915" s="561"/>
      <c r="M915" s="33"/>
      <c r="N915" s="33"/>
      <c r="O915" s="33"/>
      <c r="P915" s="184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44"/>
      <c r="AP915" s="37"/>
      <c r="AQ915" s="44"/>
      <c r="AR915" s="57"/>
      <c r="AS915" s="56">
        <f>Tabela4[[#This Row],[Total R$]]-Tabela4[[#This Row],[Total Pago]]</f>
        <v>0</v>
      </c>
      <c r="AT915" s="36"/>
    </row>
    <row r="916" spans="2:46" x14ac:dyDescent="0.25">
      <c r="B916" s="44"/>
      <c r="D916" s="349"/>
      <c r="E916" s="33"/>
      <c r="F916" s="33"/>
      <c r="G916" s="33"/>
      <c r="H916" s="33"/>
      <c r="I916" s="33"/>
      <c r="J916" s="33"/>
      <c r="K916" s="33"/>
      <c r="L916" s="561"/>
      <c r="M916" s="33"/>
      <c r="N916" s="33"/>
      <c r="O916" s="33"/>
      <c r="P916" s="184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44"/>
      <c r="AP916" s="37"/>
      <c r="AQ916" s="44"/>
      <c r="AR916" s="57"/>
      <c r="AS916" s="56">
        <f>Tabela4[[#This Row],[Total R$]]-Tabela4[[#This Row],[Total Pago]]</f>
        <v>0</v>
      </c>
      <c r="AT916" s="36"/>
    </row>
    <row r="917" spans="2:46" x14ac:dyDescent="0.25">
      <c r="B917" s="44"/>
      <c r="D917" s="349"/>
      <c r="E917" s="33"/>
      <c r="F917" s="33"/>
      <c r="G917" s="33"/>
      <c r="H917" s="33"/>
      <c r="I917" s="33"/>
      <c r="J917" s="33"/>
      <c r="K917" s="33"/>
      <c r="L917" s="561"/>
      <c r="M917" s="33"/>
      <c r="N917" s="33"/>
      <c r="O917" s="33"/>
      <c r="P917" s="184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44"/>
      <c r="AP917" s="37"/>
      <c r="AQ917" s="44"/>
      <c r="AR917" s="57"/>
      <c r="AS917" s="56">
        <f>Tabela4[[#This Row],[Total R$]]-Tabela4[[#This Row],[Total Pago]]</f>
        <v>0</v>
      </c>
      <c r="AT917" s="36"/>
    </row>
    <row r="918" spans="2:46" x14ac:dyDescent="0.25">
      <c r="B918" s="44"/>
      <c r="D918" s="349"/>
      <c r="E918" s="33"/>
      <c r="F918" s="33"/>
      <c r="G918" s="33"/>
      <c r="H918" s="33"/>
      <c r="I918" s="33"/>
      <c r="J918" s="33"/>
      <c r="K918" s="33"/>
      <c r="L918" s="561"/>
      <c r="M918" s="33"/>
      <c r="N918" s="33"/>
      <c r="O918" s="33"/>
      <c r="P918" s="184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44"/>
      <c r="AP918" s="37"/>
      <c r="AQ918" s="44"/>
      <c r="AR918" s="57"/>
      <c r="AS918" s="56">
        <f>Tabela4[[#This Row],[Total R$]]-Tabela4[[#This Row],[Total Pago]]</f>
        <v>0</v>
      </c>
      <c r="AT918" s="36"/>
    </row>
    <row r="919" spans="2:46" x14ac:dyDescent="0.25">
      <c r="B919" s="44"/>
      <c r="D919" s="349"/>
      <c r="E919" s="33"/>
      <c r="F919" s="33"/>
      <c r="G919" s="33"/>
      <c r="H919" s="33"/>
      <c r="I919" s="33"/>
      <c r="J919" s="33"/>
      <c r="K919" s="33"/>
      <c r="L919" s="561"/>
      <c r="M919" s="33"/>
      <c r="N919" s="33"/>
      <c r="O919" s="33"/>
      <c r="P919" s="184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44"/>
      <c r="AP919" s="37"/>
      <c r="AQ919" s="44"/>
      <c r="AR919" s="57"/>
      <c r="AS919" s="56">
        <f>Tabela4[[#This Row],[Total R$]]-Tabela4[[#This Row],[Total Pago]]</f>
        <v>0</v>
      </c>
      <c r="AT919" s="36"/>
    </row>
    <row r="920" spans="2:46" x14ac:dyDescent="0.25">
      <c r="B920" s="44"/>
      <c r="D920" s="349"/>
      <c r="E920" s="33"/>
      <c r="F920" s="33"/>
      <c r="G920" s="33"/>
      <c r="H920" s="33"/>
      <c r="I920" s="33"/>
      <c r="J920" s="33"/>
      <c r="K920" s="33"/>
      <c r="L920" s="561"/>
      <c r="M920" s="33"/>
      <c r="N920" s="33"/>
      <c r="O920" s="33"/>
      <c r="P920" s="184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44"/>
      <c r="AP920" s="37"/>
      <c r="AQ920" s="44"/>
      <c r="AR920" s="57"/>
      <c r="AS920" s="56">
        <f>Tabela4[[#This Row],[Total R$]]-Tabela4[[#This Row],[Total Pago]]</f>
        <v>0</v>
      </c>
      <c r="AT920" s="36"/>
    </row>
    <row r="921" spans="2:46" x14ac:dyDescent="0.25">
      <c r="B921" s="44"/>
      <c r="D921" s="349"/>
      <c r="E921" s="33"/>
      <c r="F921" s="33"/>
      <c r="G921" s="33"/>
      <c r="H921" s="33"/>
      <c r="I921" s="33"/>
      <c r="J921" s="33"/>
      <c r="K921" s="33"/>
      <c r="L921" s="561"/>
      <c r="M921" s="33"/>
      <c r="N921" s="33"/>
      <c r="O921" s="33"/>
      <c r="P921" s="184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44"/>
      <c r="AP921" s="37"/>
      <c r="AQ921" s="44"/>
      <c r="AR921" s="57"/>
      <c r="AS921" s="56">
        <f>Tabela4[[#This Row],[Total R$]]-Tabela4[[#This Row],[Total Pago]]</f>
        <v>0</v>
      </c>
      <c r="AT921" s="36"/>
    </row>
    <row r="922" spans="2:46" x14ac:dyDescent="0.25">
      <c r="B922" s="44"/>
      <c r="D922" s="349"/>
      <c r="E922" s="33"/>
      <c r="F922" s="33"/>
      <c r="G922" s="33"/>
      <c r="H922" s="33"/>
      <c r="I922" s="33"/>
      <c r="J922" s="33"/>
      <c r="K922" s="33"/>
      <c r="L922" s="561"/>
      <c r="M922" s="33"/>
      <c r="N922" s="33"/>
      <c r="O922" s="33"/>
      <c r="P922" s="184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44"/>
      <c r="AP922" s="37"/>
      <c r="AQ922" s="44"/>
      <c r="AR922" s="57"/>
      <c r="AS922" s="56">
        <f>Tabela4[[#This Row],[Total R$]]-Tabela4[[#This Row],[Total Pago]]</f>
        <v>0</v>
      </c>
      <c r="AT922" s="36"/>
    </row>
    <row r="923" spans="2:46" x14ac:dyDescent="0.25">
      <c r="B923" s="44"/>
      <c r="D923" s="349"/>
      <c r="E923" s="33"/>
      <c r="F923" s="33"/>
      <c r="G923" s="33"/>
      <c r="H923" s="33"/>
      <c r="I923" s="33"/>
      <c r="J923" s="33"/>
      <c r="K923" s="33"/>
      <c r="L923" s="561"/>
      <c r="M923" s="33"/>
      <c r="N923" s="33"/>
      <c r="O923" s="33"/>
      <c r="P923" s="184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44"/>
      <c r="AP923" s="37"/>
      <c r="AQ923" s="44"/>
      <c r="AR923" s="57"/>
      <c r="AS923" s="56">
        <f>Tabela4[[#This Row],[Total R$]]-Tabela4[[#This Row],[Total Pago]]</f>
        <v>0</v>
      </c>
      <c r="AT923" s="36"/>
    </row>
    <row r="924" spans="2:46" x14ac:dyDescent="0.25">
      <c r="B924" s="44"/>
      <c r="D924" s="349"/>
      <c r="E924" s="33"/>
      <c r="F924" s="33"/>
      <c r="G924" s="33"/>
      <c r="H924" s="33"/>
      <c r="I924" s="33"/>
      <c r="J924" s="33"/>
      <c r="K924" s="33"/>
      <c r="L924" s="561"/>
      <c r="M924" s="33"/>
      <c r="N924" s="33"/>
      <c r="O924" s="33"/>
      <c r="P924" s="184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44"/>
      <c r="AP924" s="37"/>
      <c r="AQ924" s="44"/>
      <c r="AR924" s="57"/>
      <c r="AS924" s="56">
        <f>Tabela4[[#This Row],[Total R$]]-Tabela4[[#This Row],[Total Pago]]</f>
        <v>0</v>
      </c>
      <c r="AT924" s="36"/>
    </row>
    <row r="925" spans="2:46" x14ac:dyDescent="0.25">
      <c r="B925" s="44"/>
      <c r="D925" s="349"/>
      <c r="E925" s="33"/>
      <c r="F925" s="33"/>
      <c r="G925" s="33"/>
      <c r="H925" s="33"/>
      <c r="I925" s="33"/>
      <c r="J925" s="33"/>
      <c r="K925" s="33"/>
      <c r="L925" s="561"/>
      <c r="M925" s="33"/>
      <c r="N925" s="33"/>
      <c r="O925" s="33"/>
      <c r="P925" s="184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44"/>
      <c r="AP925" s="37"/>
      <c r="AQ925" s="44"/>
      <c r="AR925" s="57"/>
      <c r="AS925" s="56">
        <f>Tabela4[[#This Row],[Total R$]]-Tabela4[[#This Row],[Total Pago]]</f>
        <v>0</v>
      </c>
      <c r="AT925" s="36"/>
    </row>
    <row r="926" spans="2:46" x14ac:dyDescent="0.25">
      <c r="B926" s="44"/>
      <c r="D926" s="349"/>
      <c r="E926" s="33"/>
      <c r="F926" s="33"/>
      <c r="G926" s="33"/>
      <c r="H926" s="33"/>
      <c r="I926" s="33"/>
      <c r="J926" s="33"/>
      <c r="K926" s="33"/>
      <c r="L926" s="561"/>
      <c r="M926" s="33"/>
      <c r="N926" s="33"/>
      <c r="O926" s="33"/>
      <c r="P926" s="184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44"/>
      <c r="AP926" s="37"/>
      <c r="AQ926" s="44"/>
      <c r="AR926" s="57"/>
      <c r="AS926" s="56">
        <f>Tabela4[[#This Row],[Total R$]]-Tabela4[[#This Row],[Total Pago]]</f>
        <v>0</v>
      </c>
      <c r="AT926" s="36"/>
    </row>
    <row r="927" spans="2:46" x14ac:dyDescent="0.25">
      <c r="B927" s="44"/>
      <c r="D927" s="349"/>
      <c r="E927" s="33"/>
      <c r="F927" s="33"/>
      <c r="G927" s="33"/>
      <c r="H927" s="33"/>
      <c r="I927" s="33"/>
      <c r="J927" s="33"/>
      <c r="K927" s="33"/>
      <c r="L927" s="561"/>
      <c r="M927" s="33"/>
      <c r="N927" s="33"/>
      <c r="O927" s="33"/>
      <c r="P927" s="184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44"/>
      <c r="AP927" s="37"/>
      <c r="AQ927" s="44"/>
      <c r="AR927" s="57"/>
      <c r="AS927" s="56">
        <f>Tabela4[[#This Row],[Total R$]]-Tabela4[[#This Row],[Total Pago]]</f>
        <v>0</v>
      </c>
      <c r="AT927" s="36"/>
    </row>
    <row r="928" spans="2:46" x14ac:dyDescent="0.25">
      <c r="B928" s="44"/>
      <c r="D928" s="349"/>
      <c r="E928" s="33"/>
      <c r="F928" s="33"/>
      <c r="G928" s="33"/>
      <c r="H928" s="33"/>
      <c r="I928" s="33"/>
      <c r="J928" s="33"/>
      <c r="K928" s="33"/>
      <c r="L928" s="561"/>
      <c r="M928" s="33"/>
      <c r="N928" s="33"/>
      <c r="O928" s="33"/>
      <c r="P928" s="184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44"/>
      <c r="AP928" s="37"/>
      <c r="AQ928" s="44"/>
      <c r="AR928" s="57"/>
      <c r="AS928" s="56">
        <f>Tabela4[[#This Row],[Total R$]]-Tabela4[[#This Row],[Total Pago]]</f>
        <v>0</v>
      </c>
      <c r="AT928" s="36"/>
    </row>
    <row r="929" spans="2:46" x14ac:dyDescent="0.25">
      <c r="B929" s="44"/>
      <c r="D929" s="349"/>
      <c r="E929" s="33"/>
      <c r="F929" s="33"/>
      <c r="G929" s="33"/>
      <c r="H929" s="33"/>
      <c r="I929" s="33"/>
      <c r="J929" s="33"/>
      <c r="K929" s="33"/>
      <c r="L929" s="561"/>
      <c r="M929" s="33"/>
      <c r="N929" s="33"/>
      <c r="O929" s="33"/>
      <c r="P929" s="184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44"/>
      <c r="AP929" s="37"/>
      <c r="AQ929" s="44"/>
      <c r="AR929" s="57"/>
      <c r="AS929" s="56">
        <f>Tabela4[[#This Row],[Total R$]]-Tabela4[[#This Row],[Total Pago]]</f>
        <v>0</v>
      </c>
      <c r="AT929" s="36"/>
    </row>
    <row r="930" spans="2:46" x14ac:dyDescent="0.25">
      <c r="B930" s="44"/>
      <c r="D930" s="349"/>
      <c r="E930" s="33"/>
      <c r="F930" s="33"/>
      <c r="G930" s="33"/>
      <c r="H930" s="33"/>
      <c r="I930" s="33"/>
      <c r="J930" s="33"/>
      <c r="K930" s="33"/>
      <c r="L930" s="561"/>
      <c r="M930" s="33"/>
      <c r="N930" s="33"/>
      <c r="O930" s="33"/>
      <c r="P930" s="184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44"/>
      <c r="AP930" s="37"/>
      <c r="AQ930" s="44"/>
      <c r="AR930" s="57"/>
      <c r="AS930" s="56">
        <f>Tabela4[[#This Row],[Total R$]]-Tabela4[[#This Row],[Total Pago]]</f>
        <v>0</v>
      </c>
      <c r="AT930" s="36"/>
    </row>
    <row r="931" spans="2:46" x14ac:dyDescent="0.25">
      <c r="B931" s="44"/>
      <c r="D931" s="349"/>
      <c r="E931" s="33"/>
      <c r="F931" s="33"/>
      <c r="G931" s="33"/>
      <c r="H931" s="33"/>
      <c r="I931" s="33"/>
      <c r="J931" s="33"/>
      <c r="K931" s="33"/>
      <c r="L931" s="561"/>
      <c r="M931" s="33"/>
      <c r="N931" s="33"/>
      <c r="O931" s="33"/>
      <c r="P931" s="184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44"/>
      <c r="AP931" s="37"/>
      <c r="AQ931" s="44"/>
      <c r="AR931" s="57"/>
      <c r="AS931" s="56">
        <f>Tabela4[[#This Row],[Total R$]]-Tabela4[[#This Row],[Total Pago]]</f>
        <v>0</v>
      </c>
      <c r="AT931" s="36"/>
    </row>
    <row r="932" spans="2:46" x14ac:dyDescent="0.25">
      <c r="B932" s="44"/>
      <c r="D932" s="349"/>
      <c r="E932" s="33"/>
      <c r="F932" s="33"/>
      <c r="G932" s="33"/>
      <c r="H932" s="33"/>
      <c r="I932" s="33"/>
      <c r="J932" s="33"/>
      <c r="K932" s="33"/>
      <c r="L932" s="561"/>
      <c r="M932" s="33"/>
      <c r="N932" s="33"/>
      <c r="O932" s="33"/>
      <c r="P932" s="184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44"/>
      <c r="AP932" s="37"/>
      <c r="AQ932" s="44"/>
      <c r="AR932" s="57"/>
      <c r="AS932" s="56">
        <f>Tabela4[[#This Row],[Total R$]]-Tabela4[[#This Row],[Total Pago]]</f>
        <v>0</v>
      </c>
      <c r="AT932" s="36"/>
    </row>
    <row r="933" spans="2:46" x14ac:dyDescent="0.25">
      <c r="B933" s="44"/>
      <c r="D933" s="349"/>
      <c r="E933" s="33"/>
      <c r="F933" s="33"/>
      <c r="G933" s="33"/>
      <c r="H933" s="33"/>
      <c r="I933" s="33"/>
      <c r="J933" s="33"/>
      <c r="K933" s="33"/>
      <c r="L933" s="561"/>
      <c r="M933" s="33"/>
      <c r="N933" s="33"/>
      <c r="O933" s="33"/>
      <c r="P933" s="184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44"/>
      <c r="AP933" s="37"/>
      <c r="AQ933" s="44"/>
      <c r="AR933" s="57"/>
      <c r="AS933" s="56">
        <f>Tabela4[[#This Row],[Total R$]]-Tabela4[[#This Row],[Total Pago]]</f>
        <v>0</v>
      </c>
      <c r="AT933" s="36"/>
    </row>
    <row r="934" spans="2:46" x14ac:dyDescent="0.25">
      <c r="B934" s="44"/>
      <c r="D934" s="349"/>
      <c r="E934" s="33"/>
      <c r="F934" s="33"/>
      <c r="G934" s="33"/>
      <c r="H934" s="33"/>
      <c r="I934" s="33"/>
      <c r="J934" s="33"/>
      <c r="K934" s="33"/>
      <c r="L934" s="561"/>
      <c r="M934" s="33"/>
      <c r="N934" s="33"/>
      <c r="O934" s="33"/>
      <c r="P934" s="184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44"/>
      <c r="AP934" s="37"/>
      <c r="AQ934" s="44"/>
      <c r="AR934" s="57"/>
      <c r="AS934" s="56">
        <f>Tabela4[[#This Row],[Total R$]]-Tabela4[[#This Row],[Total Pago]]</f>
        <v>0</v>
      </c>
      <c r="AT934" s="36"/>
    </row>
    <row r="935" spans="2:46" x14ac:dyDescent="0.25">
      <c r="B935" s="44"/>
      <c r="D935" s="349"/>
      <c r="E935" s="33"/>
      <c r="F935" s="33"/>
      <c r="G935" s="33"/>
      <c r="H935" s="33"/>
      <c r="I935" s="33"/>
      <c r="J935" s="33"/>
      <c r="K935" s="33"/>
      <c r="L935" s="561"/>
      <c r="M935" s="33"/>
      <c r="N935" s="33"/>
      <c r="O935" s="33"/>
      <c r="P935" s="184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44"/>
      <c r="AP935" s="37"/>
      <c r="AQ935" s="44"/>
      <c r="AR935" s="57"/>
      <c r="AS935" s="56">
        <f>Tabela4[[#This Row],[Total R$]]-Tabela4[[#This Row],[Total Pago]]</f>
        <v>0</v>
      </c>
      <c r="AT935" s="36"/>
    </row>
    <row r="936" spans="2:46" x14ac:dyDescent="0.25">
      <c r="B936" s="44"/>
      <c r="D936" s="349"/>
      <c r="E936" s="33"/>
      <c r="F936" s="33"/>
      <c r="G936" s="33"/>
      <c r="H936" s="33"/>
      <c r="I936" s="33"/>
      <c r="J936" s="33"/>
      <c r="K936" s="33"/>
      <c r="L936" s="561"/>
      <c r="M936" s="33"/>
      <c r="N936" s="33"/>
      <c r="O936" s="33"/>
      <c r="P936" s="184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44"/>
      <c r="AP936" s="37"/>
      <c r="AQ936" s="44"/>
      <c r="AR936" s="57"/>
      <c r="AS936" s="56">
        <f>Tabela4[[#This Row],[Total R$]]-Tabela4[[#This Row],[Total Pago]]</f>
        <v>0</v>
      </c>
      <c r="AT936" s="36"/>
    </row>
    <row r="937" spans="2:46" x14ac:dyDescent="0.25">
      <c r="B937" s="44"/>
      <c r="D937" s="349"/>
      <c r="E937" s="33"/>
      <c r="F937" s="33"/>
      <c r="G937" s="33"/>
      <c r="H937" s="33"/>
      <c r="I937" s="33"/>
      <c r="J937" s="33"/>
      <c r="K937" s="33"/>
      <c r="L937" s="561"/>
      <c r="M937" s="33"/>
      <c r="N937" s="33"/>
      <c r="O937" s="33"/>
      <c r="P937" s="184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44"/>
      <c r="AP937" s="37"/>
      <c r="AQ937" s="44"/>
      <c r="AR937" s="57"/>
      <c r="AS937" s="56">
        <f>Tabela4[[#This Row],[Total R$]]-Tabela4[[#This Row],[Total Pago]]</f>
        <v>0</v>
      </c>
      <c r="AT937" s="36"/>
    </row>
    <row r="938" spans="2:46" x14ac:dyDescent="0.25">
      <c r="B938" s="44"/>
      <c r="D938" s="349"/>
      <c r="E938" s="33"/>
      <c r="F938" s="33"/>
      <c r="G938" s="33"/>
      <c r="H938" s="33"/>
      <c r="I938" s="33"/>
      <c r="J938" s="33"/>
      <c r="K938" s="33"/>
      <c r="L938" s="561"/>
      <c r="M938" s="33"/>
      <c r="N938" s="33"/>
      <c r="O938" s="33"/>
      <c r="P938" s="184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44"/>
      <c r="AP938" s="37"/>
      <c r="AQ938" s="44"/>
      <c r="AR938" s="57"/>
      <c r="AS938" s="56">
        <f>Tabela4[[#This Row],[Total R$]]-Tabela4[[#This Row],[Total Pago]]</f>
        <v>0</v>
      </c>
      <c r="AT938" s="36"/>
    </row>
    <row r="939" spans="2:46" x14ac:dyDescent="0.25">
      <c r="B939" s="44"/>
      <c r="D939" s="349"/>
      <c r="E939" s="33"/>
      <c r="F939" s="33"/>
      <c r="G939" s="33"/>
      <c r="H939" s="33"/>
      <c r="I939" s="33"/>
      <c r="J939" s="33"/>
      <c r="K939" s="33"/>
      <c r="L939" s="561"/>
      <c r="M939" s="33"/>
      <c r="N939" s="33"/>
      <c r="O939" s="33"/>
      <c r="P939" s="184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44"/>
      <c r="AP939" s="37"/>
      <c r="AQ939" s="44"/>
      <c r="AR939" s="57"/>
      <c r="AS939" s="56">
        <f>Tabela4[[#This Row],[Total R$]]-Tabela4[[#This Row],[Total Pago]]</f>
        <v>0</v>
      </c>
      <c r="AT939" s="36"/>
    </row>
    <row r="940" spans="2:46" x14ac:dyDescent="0.25">
      <c r="B940" s="44"/>
      <c r="D940" s="349"/>
      <c r="E940" s="33"/>
      <c r="F940" s="33"/>
      <c r="G940" s="33"/>
      <c r="H940" s="33"/>
      <c r="I940" s="33"/>
      <c r="J940" s="33"/>
      <c r="K940" s="33"/>
      <c r="L940" s="561"/>
      <c r="M940" s="33"/>
      <c r="N940" s="33"/>
      <c r="O940" s="33"/>
      <c r="P940" s="184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44"/>
      <c r="AP940" s="37"/>
      <c r="AQ940" s="44"/>
      <c r="AR940" s="57"/>
      <c r="AS940" s="56">
        <f>Tabela4[[#This Row],[Total R$]]-Tabela4[[#This Row],[Total Pago]]</f>
        <v>0</v>
      </c>
      <c r="AT940" s="36"/>
    </row>
    <row r="941" spans="2:46" x14ac:dyDescent="0.25">
      <c r="B941" s="44"/>
      <c r="D941" s="349"/>
      <c r="E941" s="33"/>
      <c r="F941" s="33"/>
      <c r="G941" s="33"/>
      <c r="H941" s="33"/>
      <c r="I941" s="33"/>
      <c r="J941" s="33"/>
      <c r="K941" s="33"/>
      <c r="L941" s="561"/>
      <c r="M941" s="33"/>
      <c r="N941" s="33"/>
      <c r="O941" s="33"/>
      <c r="P941" s="184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44"/>
      <c r="AP941" s="37"/>
      <c r="AQ941" s="44"/>
      <c r="AR941" s="57"/>
      <c r="AS941" s="56">
        <f>Tabela4[[#This Row],[Total R$]]-Tabela4[[#This Row],[Total Pago]]</f>
        <v>0</v>
      </c>
      <c r="AT941" s="36"/>
    </row>
    <row r="942" spans="2:46" x14ac:dyDescent="0.25">
      <c r="B942" s="44"/>
      <c r="D942" s="349"/>
      <c r="E942" s="33"/>
      <c r="F942" s="33"/>
      <c r="G942" s="33"/>
      <c r="H942" s="33"/>
      <c r="I942" s="33"/>
      <c r="J942" s="33"/>
      <c r="K942" s="33"/>
      <c r="L942" s="561"/>
      <c r="M942" s="33"/>
      <c r="N942" s="33"/>
      <c r="O942" s="33"/>
      <c r="P942" s="184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44"/>
      <c r="AP942" s="37"/>
      <c r="AQ942" s="44"/>
      <c r="AR942" s="57"/>
      <c r="AS942" s="56">
        <f>Tabela4[[#This Row],[Total R$]]-Tabela4[[#This Row],[Total Pago]]</f>
        <v>0</v>
      </c>
      <c r="AT942" s="36"/>
    </row>
    <row r="943" spans="2:46" x14ac:dyDescent="0.25">
      <c r="B943" s="44"/>
      <c r="D943" s="349"/>
      <c r="E943" s="33"/>
      <c r="F943" s="33"/>
      <c r="G943" s="33"/>
      <c r="H943" s="33"/>
      <c r="I943" s="33"/>
      <c r="J943" s="33"/>
      <c r="K943" s="33"/>
      <c r="L943" s="561"/>
      <c r="M943" s="33"/>
      <c r="N943" s="33"/>
      <c r="O943" s="33"/>
      <c r="P943" s="184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44"/>
      <c r="AP943" s="37"/>
      <c r="AQ943" s="44"/>
      <c r="AR943" s="57"/>
      <c r="AS943" s="56">
        <f>Tabela4[[#This Row],[Total R$]]-Tabela4[[#This Row],[Total Pago]]</f>
        <v>0</v>
      </c>
      <c r="AT943" s="36"/>
    </row>
    <row r="944" spans="2:46" x14ac:dyDescent="0.25">
      <c r="B944" s="44"/>
      <c r="D944" s="349"/>
      <c r="E944" s="33"/>
      <c r="F944" s="33"/>
      <c r="G944" s="33"/>
      <c r="H944" s="33"/>
      <c r="I944" s="33"/>
      <c r="J944" s="33"/>
      <c r="K944" s="33"/>
      <c r="L944" s="561"/>
      <c r="M944" s="33"/>
      <c r="N944" s="33"/>
      <c r="O944" s="33"/>
      <c r="P944" s="184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44"/>
      <c r="AP944" s="37"/>
      <c r="AQ944" s="44"/>
      <c r="AR944" s="57"/>
      <c r="AS944" s="56">
        <f>Tabela4[[#This Row],[Total R$]]-Tabela4[[#This Row],[Total Pago]]</f>
        <v>0</v>
      </c>
      <c r="AT944" s="36"/>
    </row>
    <row r="945" spans="2:46" x14ac:dyDescent="0.25">
      <c r="B945" s="44"/>
      <c r="D945" s="349"/>
      <c r="E945" s="33"/>
      <c r="F945" s="33"/>
      <c r="G945" s="33"/>
      <c r="H945" s="33"/>
      <c r="I945" s="33"/>
      <c r="J945" s="33"/>
      <c r="K945" s="33"/>
      <c r="L945" s="561"/>
      <c r="M945" s="33"/>
      <c r="N945" s="33"/>
      <c r="O945" s="33"/>
      <c r="P945" s="184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44"/>
      <c r="AP945" s="37"/>
      <c r="AQ945" s="44"/>
      <c r="AR945" s="57"/>
      <c r="AS945" s="56">
        <f>Tabela4[[#This Row],[Total R$]]-Tabela4[[#This Row],[Total Pago]]</f>
        <v>0</v>
      </c>
      <c r="AT945" s="36"/>
    </row>
    <row r="946" spans="2:46" x14ac:dyDescent="0.25">
      <c r="B946" s="44"/>
      <c r="D946" s="349"/>
      <c r="E946" s="33"/>
      <c r="F946" s="33"/>
      <c r="G946" s="33"/>
      <c r="H946" s="33"/>
      <c r="I946" s="33"/>
      <c r="J946" s="33"/>
      <c r="K946" s="33"/>
      <c r="L946" s="561"/>
      <c r="M946" s="33"/>
      <c r="N946" s="33"/>
      <c r="O946" s="33"/>
      <c r="P946" s="184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44"/>
      <c r="AP946" s="37"/>
      <c r="AQ946" s="44"/>
      <c r="AR946" s="57"/>
      <c r="AS946" s="56">
        <f>Tabela4[[#This Row],[Total R$]]-Tabela4[[#This Row],[Total Pago]]</f>
        <v>0</v>
      </c>
      <c r="AT946" s="36"/>
    </row>
    <row r="947" spans="2:46" x14ac:dyDescent="0.25">
      <c r="B947" s="44"/>
      <c r="D947" s="349"/>
      <c r="E947" s="33"/>
      <c r="F947" s="33"/>
      <c r="G947" s="33"/>
      <c r="H947" s="33"/>
      <c r="I947" s="33"/>
      <c r="J947" s="33"/>
      <c r="K947" s="33"/>
      <c r="L947" s="561"/>
      <c r="M947" s="33"/>
      <c r="N947" s="33"/>
      <c r="O947" s="33"/>
      <c r="P947" s="184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44"/>
      <c r="AP947" s="37"/>
      <c r="AQ947" s="44"/>
      <c r="AR947" s="57"/>
      <c r="AS947" s="56">
        <f>Tabela4[[#This Row],[Total R$]]-Tabela4[[#This Row],[Total Pago]]</f>
        <v>0</v>
      </c>
      <c r="AT947" s="36"/>
    </row>
    <row r="948" spans="2:46" x14ac:dyDescent="0.25">
      <c r="B948" s="44"/>
      <c r="D948" s="349"/>
      <c r="E948" s="33"/>
      <c r="F948" s="33"/>
      <c r="G948" s="33"/>
      <c r="H948" s="33"/>
      <c r="I948" s="33"/>
      <c r="J948" s="33"/>
      <c r="K948" s="33"/>
      <c r="L948" s="561"/>
      <c r="M948" s="33"/>
      <c r="N948" s="33"/>
      <c r="O948" s="33"/>
      <c r="P948" s="184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44"/>
      <c r="AP948" s="37"/>
      <c r="AQ948" s="44"/>
      <c r="AR948" s="57"/>
      <c r="AS948" s="56">
        <f>Tabela4[[#This Row],[Total R$]]-Tabela4[[#This Row],[Total Pago]]</f>
        <v>0</v>
      </c>
      <c r="AT948" s="36"/>
    </row>
    <row r="949" spans="2:46" x14ac:dyDescent="0.25">
      <c r="B949" s="44"/>
      <c r="D949" s="349"/>
      <c r="E949" s="33"/>
      <c r="F949" s="33"/>
      <c r="G949" s="33"/>
      <c r="H949" s="33"/>
      <c r="I949" s="33"/>
      <c r="J949" s="33"/>
      <c r="K949" s="33"/>
      <c r="L949" s="561"/>
      <c r="M949" s="33"/>
      <c r="N949" s="33"/>
      <c r="O949" s="33"/>
      <c r="P949" s="184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44"/>
      <c r="AP949" s="37"/>
      <c r="AQ949" s="44"/>
      <c r="AR949" s="57"/>
      <c r="AS949" s="56">
        <f>Tabela4[[#This Row],[Total R$]]-Tabela4[[#This Row],[Total Pago]]</f>
        <v>0</v>
      </c>
      <c r="AT949" s="36"/>
    </row>
    <row r="950" spans="2:46" x14ac:dyDescent="0.25">
      <c r="B950" s="44"/>
      <c r="D950" s="349"/>
      <c r="E950" s="33"/>
      <c r="F950" s="33"/>
      <c r="G950" s="33"/>
      <c r="H950" s="33"/>
      <c r="I950" s="33"/>
      <c r="J950" s="33"/>
      <c r="K950" s="33"/>
      <c r="L950" s="561"/>
      <c r="M950" s="33"/>
      <c r="N950" s="33"/>
      <c r="O950" s="33"/>
      <c r="P950" s="184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44"/>
      <c r="AP950" s="37"/>
      <c r="AQ950" s="44"/>
      <c r="AR950" s="57"/>
      <c r="AS950" s="56">
        <f>Tabela4[[#This Row],[Total R$]]-Tabela4[[#This Row],[Total Pago]]</f>
        <v>0</v>
      </c>
      <c r="AT950" s="36"/>
    </row>
    <row r="951" spans="2:46" x14ac:dyDescent="0.25">
      <c r="B951" s="44"/>
      <c r="D951" s="349"/>
      <c r="E951" s="33"/>
      <c r="F951" s="33"/>
      <c r="G951" s="33"/>
      <c r="H951" s="33"/>
      <c r="I951" s="33"/>
      <c r="J951" s="33"/>
      <c r="K951" s="33"/>
      <c r="L951" s="561"/>
      <c r="M951" s="33"/>
      <c r="N951" s="33"/>
      <c r="O951" s="33"/>
      <c r="P951" s="184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44"/>
      <c r="AP951" s="37"/>
      <c r="AQ951" s="44"/>
      <c r="AR951" s="57"/>
      <c r="AS951" s="56">
        <f>Tabela4[[#This Row],[Total R$]]-Tabela4[[#This Row],[Total Pago]]</f>
        <v>0</v>
      </c>
      <c r="AT951" s="36"/>
    </row>
    <row r="952" spans="2:46" x14ac:dyDescent="0.25">
      <c r="B952" s="44"/>
      <c r="D952" s="349"/>
      <c r="E952" s="33"/>
      <c r="F952" s="33"/>
      <c r="G952" s="33"/>
      <c r="H952" s="33"/>
      <c r="I952" s="33"/>
      <c r="J952" s="33"/>
      <c r="K952" s="33"/>
      <c r="L952" s="561"/>
      <c r="M952" s="33"/>
      <c r="N952" s="33"/>
      <c r="O952" s="33"/>
      <c r="P952" s="184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44"/>
      <c r="AP952" s="37"/>
      <c r="AQ952" s="44"/>
      <c r="AR952" s="57"/>
      <c r="AS952" s="56">
        <f>Tabela4[[#This Row],[Total R$]]-Tabela4[[#This Row],[Total Pago]]</f>
        <v>0</v>
      </c>
      <c r="AT952" s="36"/>
    </row>
    <row r="953" spans="2:46" x14ac:dyDescent="0.25">
      <c r="B953" s="44"/>
      <c r="D953" s="349"/>
      <c r="E953" s="33"/>
      <c r="F953" s="33"/>
      <c r="G953" s="33"/>
      <c r="H953" s="33"/>
      <c r="I953" s="33"/>
      <c r="J953" s="33"/>
      <c r="K953" s="33"/>
      <c r="L953" s="561"/>
      <c r="M953" s="33"/>
      <c r="N953" s="33"/>
      <c r="O953" s="33"/>
      <c r="P953" s="184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44"/>
      <c r="AP953" s="37"/>
      <c r="AQ953" s="44"/>
      <c r="AR953" s="57"/>
      <c r="AS953" s="56">
        <f>Tabela4[[#This Row],[Total R$]]-Tabela4[[#This Row],[Total Pago]]</f>
        <v>0</v>
      </c>
      <c r="AT953" s="36"/>
    </row>
    <row r="954" spans="2:46" x14ac:dyDescent="0.25">
      <c r="B954" s="44"/>
      <c r="D954" s="349"/>
      <c r="E954" s="33"/>
      <c r="F954" s="33"/>
      <c r="G954" s="33"/>
      <c r="H954" s="33"/>
      <c r="I954" s="33"/>
      <c r="J954" s="33"/>
      <c r="K954" s="33"/>
      <c r="L954" s="561"/>
      <c r="M954" s="33"/>
      <c r="N954" s="33"/>
      <c r="O954" s="33"/>
      <c r="P954" s="184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44"/>
      <c r="AP954" s="37"/>
      <c r="AQ954" s="44"/>
      <c r="AR954" s="57"/>
      <c r="AS954" s="56">
        <f>Tabela4[[#This Row],[Total R$]]-Tabela4[[#This Row],[Total Pago]]</f>
        <v>0</v>
      </c>
      <c r="AT954" s="36"/>
    </row>
    <row r="955" spans="2:46" x14ac:dyDescent="0.25">
      <c r="B955" s="44"/>
      <c r="D955" s="349"/>
      <c r="E955" s="33"/>
      <c r="F955" s="33"/>
      <c r="G955" s="33"/>
      <c r="H955" s="33"/>
      <c r="I955" s="33"/>
      <c r="J955" s="33"/>
      <c r="K955" s="33"/>
      <c r="L955" s="561"/>
      <c r="M955" s="33"/>
      <c r="N955" s="33"/>
      <c r="O955" s="33"/>
      <c r="P955" s="184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44"/>
      <c r="AP955" s="37"/>
      <c r="AQ955" s="44"/>
      <c r="AR955" s="57"/>
      <c r="AS955" s="56">
        <f>Tabela4[[#This Row],[Total R$]]-Tabela4[[#This Row],[Total Pago]]</f>
        <v>0</v>
      </c>
      <c r="AT955" s="36"/>
    </row>
    <row r="956" spans="2:46" x14ac:dyDescent="0.25">
      <c r="B956" s="44"/>
      <c r="D956" s="349"/>
      <c r="E956" s="33"/>
      <c r="F956" s="33"/>
      <c r="G956" s="33"/>
      <c r="H956" s="33"/>
      <c r="I956" s="33"/>
      <c r="J956" s="33"/>
      <c r="K956" s="33"/>
      <c r="L956" s="561"/>
      <c r="M956" s="33"/>
      <c r="N956" s="33"/>
      <c r="O956" s="33"/>
      <c r="P956" s="184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44"/>
      <c r="AP956" s="37"/>
      <c r="AQ956" s="44"/>
      <c r="AR956" s="57"/>
      <c r="AS956" s="56">
        <f>Tabela4[[#This Row],[Total R$]]-Tabela4[[#This Row],[Total Pago]]</f>
        <v>0</v>
      </c>
      <c r="AT956" s="36"/>
    </row>
    <row r="957" spans="2:46" x14ac:dyDescent="0.25">
      <c r="B957" s="44"/>
      <c r="D957" s="349"/>
      <c r="E957" s="33"/>
      <c r="F957" s="33"/>
      <c r="G957" s="33"/>
      <c r="H957" s="33"/>
      <c r="I957" s="33"/>
      <c r="J957" s="33"/>
      <c r="K957" s="33"/>
      <c r="L957" s="561"/>
      <c r="M957" s="33"/>
      <c r="N957" s="33"/>
      <c r="O957" s="33"/>
      <c r="P957" s="184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44"/>
      <c r="AP957" s="37"/>
      <c r="AQ957" s="44"/>
      <c r="AR957" s="57"/>
      <c r="AS957" s="56">
        <f>Tabela4[[#This Row],[Total R$]]-Tabela4[[#This Row],[Total Pago]]</f>
        <v>0</v>
      </c>
      <c r="AT957" s="36"/>
    </row>
    <row r="958" spans="2:46" x14ac:dyDescent="0.25">
      <c r="B958" s="44"/>
      <c r="D958" s="349"/>
      <c r="E958" s="33"/>
      <c r="F958" s="33"/>
      <c r="G958" s="33"/>
      <c r="H958" s="33"/>
      <c r="I958" s="33"/>
      <c r="J958" s="33"/>
      <c r="K958" s="33"/>
      <c r="L958" s="561"/>
      <c r="M958" s="33"/>
      <c r="N958" s="33"/>
      <c r="O958" s="33"/>
      <c r="P958" s="184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44"/>
      <c r="AP958" s="37"/>
      <c r="AQ958" s="44"/>
      <c r="AR958" s="57"/>
      <c r="AS958" s="56">
        <f>Tabela4[[#This Row],[Total R$]]-Tabela4[[#This Row],[Total Pago]]</f>
        <v>0</v>
      </c>
      <c r="AT958" s="36"/>
    </row>
    <row r="959" spans="2:46" x14ac:dyDescent="0.25">
      <c r="B959" s="44"/>
      <c r="D959" s="349"/>
      <c r="E959" s="33"/>
      <c r="F959" s="33"/>
      <c r="G959" s="33"/>
      <c r="H959" s="33"/>
      <c r="I959" s="33"/>
      <c r="J959" s="33"/>
      <c r="K959" s="33"/>
      <c r="L959" s="561"/>
      <c r="M959" s="33"/>
      <c r="N959" s="33"/>
      <c r="O959" s="33"/>
      <c r="P959" s="184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44"/>
      <c r="AP959" s="37"/>
      <c r="AQ959" s="44"/>
      <c r="AR959" s="57"/>
      <c r="AS959" s="56">
        <f>Tabela4[[#This Row],[Total R$]]-Tabela4[[#This Row],[Total Pago]]</f>
        <v>0</v>
      </c>
      <c r="AT959" s="36"/>
    </row>
    <row r="960" spans="2:46" x14ac:dyDescent="0.25">
      <c r="B960" s="44"/>
      <c r="D960" s="349"/>
      <c r="E960" s="33"/>
      <c r="F960" s="33"/>
      <c r="G960" s="33"/>
      <c r="H960" s="33"/>
      <c r="I960" s="33"/>
      <c r="J960" s="33"/>
      <c r="K960" s="33"/>
      <c r="L960" s="561"/>
      <c r="M960" s="33"/>
      <c r="N960" s="33"/>
      <c r="O960" s="33"/>
      <c r="P960" s="184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44"/>
      <c r="AP960" s="37"/>
      <c r="AQ960" s="44"/>
      <c r="AR960" s="57"/>
      <c r="AS960" s="56">
        <f>Tabela4[[#This Row],[Total R$]]-Tabela4[[#This Row],[Total Pago]]</f>
        <v>0</v>
      </c>
      <c r="AT960" s="36"/>
    </row>
    <row r="961" spans="2:46" x14ac:dyDescent="0.25">
      <c r="B961" s="44"/>
      <c r="D961" s="349"/>
      <c r="E961" s="33"/>
      <c r="F961" s="33"/>
      <c r="G961" s="33"/>
      <c r="H961" s="33"/>
      <c r="I961" s="33"/>
      <c r="J961" s="33"/>
      <c r="K961" s="33"/>
      <c r="L961" s="561"/>
      <c r="M961" s="33"/>
      <c r="N961" s="33"/>
      <c r="O961" s="33"/>
      <c r="P961" s="184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44"/>
      <c r="AP961" s="37"/>
      <c r="AQ961" s="44"/>
      <c r="AR961" s="57"/>
      <c r="AS961" s="56">
        <f>Tabela4[[#This Row],[Total R$]]-Tabela4[[#This Row],[Total Pago]]</f>
        <v>0</v>
      </c>
      <c r="AT961" s="36"/>
    </row>
    <row r="962" spans="2:46" x14ac:dyDescent="0.25">
      <c r="B962" s="44"/>
      <c r="D962" s="349"/>
      <c r="E962" s="33"/>
      <c r="F962" s="33"/>
      <c r="G962" s="33"/>
      <c r="H962" s="33"/>
      <c r="I962" s="33"/>
      <c r="J962" s="33"/>
      <c r="K962" s="33"/>
      <c r="L962" s="561"/>
      <c r="M962" s="33"/>
      <c r="N962" s="33"/>
      <c r="O962" s="33"/>
      <c r="P962" s="184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44"/>
      <c r="AP962" s="37"/>
      <c r="AQ962" s="44"/>
      <c r="AR962" s="57"/>
      <c r="AS962" s="56">
        <f>Tabela4[[#This Row],[Total R$]]-Tabela4[[#This Row],[Total Pago]]</f>
        <v>0</v>
      </c>
      <c r="AT962" s="36"/>
    </row>
    <row r="963" spans="2:46" x14ac:dyDescent="0.25">
      <c r="B963" s="44"/>
      <c r="D963" s="349"/>
      <c r="E963" s="33"/>
      <c r="F963" s="33"/>
      <c r="G963" s="33"/>
      <c r="H963" s="33"/>
      <c r="I963" s="33"/>
      <c r="J963" s="33"/>
      <c r="K963" s="33"/>
      <c r="L963" s="561"/>
      <c r="M963" s="33"/>
      <c r="N963" s="33"/>
      <c r="O963" s="33"/>
      <c r="P963" s="184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44"/>
      <c r="AP963" s="37"/>
      <c r="AQ963" s="44"/>
      <c r="AR963" s="57"/>
      <c r="AS963" s="56">
        <f>Tabela4[[#This Row],[Total R$]]-Tabela4[[#This Row],[Total Pago]]</f>
        <v>0</v>
      </c>
      <c r="AT963" s="36"/>
    </row>
    <row r="964" spans="2:46" x14ac:dyDescent="0.25">
      <c r="B964" s="44"/>
      <c r="D964" s="349"/>
      <c r="E964" s="33"/>
      <c r="F964" s="33"/>
      <c r="G964" s="33"/>
      <c r="H964" s="33"/>
      <c r="I964" s="33"/>
      <c r="J964" s="33"/>
      <c r="K964" s="33"/>
      <c r="L964" s="561"/>
      <c r="M964" s="33"/>
      <c r="N964" s="33"/>
      <c r="O964" s="33"/>
      <c r="P964" s="184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44"/>
      <c r="AP964" s="37"/>
      <c r="AQ964" s="44"/>
      <c r="AR964" s="57"/>
      <c r="AS964" s="56">
        <f>Tabela4[[#This Row],[Total R$]]-Tabela4[[#This Row],[Total Pago]]</f>
        <v>0</v>
      </c>
      <c r="AT964" s="36"/>
    </row>
    <row r="965" spans="2:46" x14ac:dyDescent="0.25">
      <c r="B965" s="44"/>
      <c r="D965" s="349"/>
      <c r="E965" s="33"/>
      <c r="F965" s="33"/>
      <c r="G965" s="33"/>
      <c r="H965" s="33"/>
      <c r="I965" s="33"/>
      <c r="J965" s="33"/>
      <c r="K965" s="33"/>
      <c r="L965" s="561"/>
      <c r="M965" s="33"/>
      <c r="N965" s="33"/>
      <c r="O965" s="33"/>
      <c r="P965" s="184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44"/>
      <c r="AP965" s="37"/>
      <c r="AQ965" s="44"/>
      <c r="AR965" s="57"/>
      <c r="AS965" s="56">
        <f>Tabela4[[#This Row],[Total R$]]-Tabela4[[#This Row],[Total Pago]]</f>
        <v>0</v>
      </c>
      <c r="AT965" s="36"/>
    </row>
    <row r="966" spans="2:46" x14ac:dyDescent="0.25">
      <c r="B966" s="44"/>
      <c r="D966" s="349"/>
      <c r="E966" s="33"/>
      <c r="F966" s="33"/>
      <c r="G966" s="33"/>
      <c r="H966" s="33"/>
      <c r="I966" s="33"/>
      <c r="J966" s="33"/>
      <c r="K966" s="33"/>
      <c r="L966" s="561"/>
      <c r="M966" s="33"/>
      <c r="N966" s="33"/>
      <c r="O966" s="33"/>
      <c r="P966" s="184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44"/>
      <c r="AP966" s="37"/>
      <c r="AQ966" s="44"/>
      <c r="AR966" s="57"/>
      <c r="AS966" s="56">
        <f>Tabela4[[#This Row],[Total R$]]-Tabela4[[#This Row],[Total Pago]]</f>
        <v>0</v>
      </c>
      <c r="AT966" s="36"/>
    </row>
    <row r="967" spans="2:46" x14ac:dyDescent="0.25">
      <c r="B967" s="44"/>
      <c r="D967" s="349"/>
      <c r="E967" s="33"/>
      <c r="F967" s="33"/>
      <c r="G967" s="33"/>
      <c r="H967" s="33"/>
      <c r="I967" s="33"/>
      <c r="J967" s="33"/>
      <c r="K967" s="33"/>
      <c r="L967" s="561"/>
      <c r="M967" s="33"/>
      <c r="N967" s="33"/>
      <c r="O967" s="33"/>
      <c r="P967" s="184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44"/>
      <c r="AP967" s="37"/>
      <c r="AQ967" s="44"/>
      <c r="AR967" s="57"/>
      <c r="AS967" s="56">
        <f>Tabela4[[#This Row],[Total R$]]-Tabela4[[#This Row],[Total Pago]]</f>
        <v>0</v>
      </c>
      <c r="AT967" s="36"/>
    </row>
    <row r="968" spans="2:46" x14ac:dyDescent="0.25">
      <c r="B968" s="44"/>
      <c r="D968" s="349"/>
      <c r="E968" s="33"/>
      <c r="F968" s="33"/>
      <c r="G968" s="33"/>
      <c r="H968" s="33"/>
      <c r="I968" s="33"/>
      <c r="J968" s="33"/>
      <c r="K968" s="33"/>
      <c r="L968" s="561"/>
      <c r="M968" s="33"/>
      <c r="N968" s="33"/>
      <c r="O968" s="33"/>
      <c r="P968" s="184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44"/>
      <c r="AP968" s="37"/>
      <c r="AQ968" s="44"/>
      <c r="AR968" s="57"/>
      <c r="AS968" s="56">
        <f>Tabela4[[#This Row],[Total R$]]-Tabela4[[#This Row],[Total Pago]]</f>
        <v>0</v>
      </c>
      <c r="AT968" s="36"/>
    </row>
    <row r="969" spans="2:46" x14ac:dyDescent="0.25">
      <c r="B969" s="44"/>
      <c r="D969" s="349"/>
      <c r="E969" s="33"/>
      <c r="F969" s="33"/>
      <c r="G969" s="33"/>
      <c r="H969" s="33"/>
      <c r="I969" s="33"/>
      <c r="J969" s="33"/>
      <c r="K969" s="33"/>
      <c r="L969" s="561"/>
      <c r="M969" s="33"/>
      <c r="N969" s="33"/>
      <c r="O969" s="33"/>
      <c r="P969" s="184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44"/>
      <c r="AP969" s="37"/>
      <c r="AQ969" s="44"/>
      <c r="AR969" s="57"/>
      <c r="AS969" s="56">
        <f>Tabela4[[#This Row],[Total R$]]-Tabela4[[#This Row],[Total Pago]]</f>
        <v>0</v>
      </c>
      <c r="AT969" s="36"/>
    </row>
    <row r="970" spans="2:46" x14ac:dyDescent="0.25">
      <c r="B970" s="44"/>
      <c r="D970" s="349"/>
      <c r="E970" s="33"/>
      <c r="F970" s="33"/>
      <c r="G970" s="33"/>
      <c r="H970" s="33"/>
      <c r="I970" s="33"/>
      <c r="J970" s="33"/>
      <c r="K970" s="33"/>
      <c r="L970" s="561"/>
      <c r="M970" s="33"/>
      <c r="N970" s="33"/>
      <c r="O970" s="33"/>
      <c r="P970" s="184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44"/>
      <c r="AP970" s="37"/>
      <c r="AQ970" s="44"/>
      <c r="AR970" s="57"/>
      <c r="AS970" s="56">
        <f>Tabela4[[#This Row],[Total R$]]-Tabela4[[#This Row],[Total Pago]]</f>
        <v>0</v>
      </c>
      <c r="AT970" s="36"/>
    </row>
    <row r="971" spans="2:46" x14ac:dyDescent="0.25">
      <c r="B971" s="44"/>
      <c r="D971" s="349"/>
      <c r="E971" s="33"/>
      <c r="F971" s="33"/>
      <c r="G971" s="33"/>
      <c r="H971" s="33"/>
      <c r="I971" s="33"/>
      <c r="J971" s="33"/>
      <c r="K971" s="33"/>
      <c r="L971" s="561"/>
      <c r="M971" s="33"/>
      <c r="N971" s="33"/>
      <c r="O971" s="33"/>
      <c r="P971" s="184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44"/>
      <c r="AP971" s="37"/>
      <c r="AQ971" s="44"/>
      <c r="AR971" s="57"/>
      <c r="AS971" s="56">
        <f>Tabela4[[#This Row],[Total R$]]-Tabela4[[#This Row],[Total Pago]]</f>
        <v>0</v>
      </c>
      <c r="AT971" s="36"/>
    </row>
    <row r="972" spans="2:46" x14ac:dyDescent="0.25">
      <c r="B972" s="44"/>
      <c r="D972" s="349"/>
      <c r="E972" s="33"/>
      <c r="F972" s="33"/>
      <c r="G972" s="33"/>
      <c r="H972" s="33"/>
      <c r="I972" s="33"/>
      <c r="J972" s="33"/>
      <c r="K972" s="33"/>
      <c r="L972" s="561"/>
      <c r="M972" s="33"/>
      <c r="N972" s="33"/>
      <c r="O972" s="33"/>
      <c r="P972" s="184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44"/>
      <c r="AP972" s="37"/>
      <c r="AQ972" s="44"/>
      <c r="AR972" s="57"/>
      <c r="AS972" s="56">
        <f>Tabela4[[#This Row],[Total R$]]-Tabela4[[#This Row],[Total Pago]]</f>
        <v>0</v>
      </c>
      <c r="AT972" s="36"/>
    </row>
    <row r="973" spans="2:46" x14ac:dyDescent="0.25">
      <c r="B973" s="44"/>
      <c r="D973" s="349"/>
      <c r="E973" s="33"/>
      <c r="F973" s="33"/>
      <c r="G973" s="33"/>
      <c r="H973" s="33"/>
      <c r="I973" s="33"/>
      <c r="J973" s="33"/>
      <c r="K973" s="33"/>
      <c r="L973" s="561"/>
      <c r="M973" s="33"/>
      <c r="N973" s="33"/>
      <c r="O973" s="33"/>
      <c r="P973" s="184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44"/>
      <c r="AP973" s="37"/>
      <c r="AQ973" s="44"/>
      <c r="AR973" s="57"/>
      <c r="AS973" s="56">
        <f>Tabela4[[#This Row],[Total R$]]-Tabela4[[#This Row],[Total Pago]]</f>
        <v>0</v>
      </c>
      <c r="AT973" s="36"/>
    </row>
    <row r="974" spans="2:46" x14ac:dyDescent="0.25">
      <c r="B974" s="44"/>
      <c r="D974" s="349"/>
      <c r="E974" s="33"/>
      <c r="F974" s="33"/>
      <c r="G974" s="33"/>
      <c r="H974" s="33"/>
      <c r="I974" s="33"/>
      <c r="J974" s="33"/>
      <c r="K974" s="33"/>
      <c r="L974" s="561"/>
      <c r="M974" s="33"/>
      <c r="N974" s="33"/>
      <c r="O974" s="33"/>
      <c r="P974" s="184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44"/>
      <c r="AP974" s="37"/>
      <c r="AQ974" s="44"/>
      <c r="AR974" s="57"/>
      <c r="AS974" s="56">
        <f>Tabela4[[#This Row],[Total R$]]-Tabela4[[#This Row],[Total Pago]]</f>
        <v>0</v>
      </c>
      <c r="AT974" s="36"/>
    </row>
    <row r="975" spans="2:46" x14ac:dyDescent="0.25">
      <c r="B975" s="44"/>
      <c r="D975" s="349"/>
      <c r="E975" s="33"/>
      <c r="F975" s="33"/>
      <c r="G975" s="33"/>
      <c r="H975" s="33"/>
      <c r="I975" s="33"/>
      <c r="J975" s="33"/>
      <c r="K975" s="33"/>
      <c r="L975" s="561"/>
      <c r="M975" s="33"/>
      <c r="N975" s="33"/>
      <c r="O975" s="33"/>
      <c r="P975" s="184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44"/>
      <c r="AP975" s="37"/>
      <c r="AQ975" s="44"/>
      <c r="AR975" s="57"/>
      <c r="AS975" s="56">
        <f>Tabela4[[#This Row],[Total R$]]-Tabela4[[#This Row],[Total Pago]]</f>
        <v>0</v>
      </c>
      <c r="AT975" s="36"/>
    </row>
    <row r="976" spans="2:46" x14ac:dyDescent="0.25">
      <c r="B976" s="44"/>
      <c r="D976" s="349"/>
      <c r="E976" s="33"/>
      <c r="F976" s="33"/>
      <c r="G976" s="33"/>
      <c r="H976" s="33"/>
      <c r="I976" s="33"/>
      <c r="J976" s="33"/>
      <c r="K976" s="33"/>
      <c r="L976" s="561"/>
      <c r="M976" s="33"/>
      <c r="N976" s="33"/>
      <c r="O976" s="33"/>
      <c r="P976" s="184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44"/>
      <c r="AP976" s="37"/>
      <c r="AQ976" s="44"/>
      <c r="AR976" s="57"/>
      <c r="AS976" s="56">
        <f>Tabela4[[#This Row],[Total R$]]-Tabela4[[#This Row],[Total Pago]]</f>
        <v>0</v>
      </c>
      <c r="AT976" s="36"/>
    </row>
    <row r="977" spans="2:46" x14ac:dyDescent="0.25">
      <c r="B977" s="44"/>
      <c r="D977" s="349"/>
      <c r="E977" s="33"/>
      <c r="F977" s="33"/>
      <c r="G977" s="33"/>
      <c r="H977" s="33"/>
      <c r="I977" s="33"/>
      <c r="J977" s="33"/>
      <c r="K977" s="33"/>
      <c r="L977" s="561"/>
      <c r="M977" s="33"/>
      <c r="N977" s="33"/>
      <c r="O977" s="33"/>
      <c r="P977" s="184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44"/>
      <c r="AP977" s="37"/>
      <c r="AQ977" s="44"/>
      <c r="AR977" s="57"/>
      <c r="AS977" s="56">
        <f>Tabela4[[#This Row],[Total R$]]-Tabela4[[#This Row],[Total Pago]]</f>
        <v>0</v>
      </c>
      <c r="AT977" s="36"/>
    </row>
    <row r="978" spans="2:46" x14ac:dyDescent="0.25">
      <c r="B978" s="44"/>
      <c r="D978" s="349"/>
      <c r="E978" s="33"/>
      <c r="F978" s="33"/>
      <c r="G978" s="33"/>
      <c r="H978" s="33"/>
      <c r="I978" s="33"/>
      <c r="J978" s="33"/>
      <c r="K978" s="33"/>
      <c r="L978" s="561"/>
      <c r="M978" s="33"/>
      <c r="N978" s="33"/>
      <c r="O978" s="33"/>
      <c r="P978" s="184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44"/>
      <c r="AP978" s="37"/>
      <c r="AQ978" s="44"/>
      <c r="AR978" s="57"/>
      <c r="AS978" s="56">
        <f>Tabela4[[#This Row],[Total R$]]-Tabela4[[#This Row],[Total Pago]]</f>
        <v>0</v>
      </c>
      <c r="AT978" s="36"/>
    </row>
    <row r="979" spans="2:46" x14ac:dyDescent="0.25">
      <c r="B979" s="44"/>
      <c r="D979" s="349"/>
      <c r="E979" s="33"/>
      <c r="F979" s="33"/>
      <c r="G979" s="33"/>
      <c r="H979" s="33"/>
      <c r="I979" s="33"/>
      <c r="J979" s="33"/>
      <c r="K979" s="33"/>
      <c r="L979" s="561"/>
      <c r="M979" s="33"/>
      <c r="N979" s="33"/>
      <c r="O979" s="33"/>
      <c r="P979" s="184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44"/>
      <c r="AP979" s="37"/>
      <c r="AQ979" s="44"/>
      <c r="AR979" s="57"/>
      <c r="AS979" s="56">
        <f>Tabela4[[#This Row],[Total R$]]-Tabela4[[#This Row],[Total Pago]]</f>
        <v>0</v>
      </c>
      <c r="AT979" s="36"/>
    </row>
    <row r="980" spans="2:46" x14ac:dyDescent="0.25">
      <c r="B980" s="44"/>
      <c r="D980" s="349"/>
      <c r="E980" s="33"/>
      <c r="F980" s="33"/>
      <c r="G980" s="33"/>
      <c r="H980" s="33"/>
      <c r="I980" s="33"/>
      <c r="J980" s="33"/>
      <c r="K980" s="33"/>
      <c r="L980" s="561"/>
      <c r="M980" s="33"/>
      <c r="N980" s="33"/>
      <c r="O980" s="33"/>
      <c r="P980" s="184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44"/>
      <c r="AP980" s="37"/>
      <c r="AQ980" s="44"/>
      <c r="AR980" s="57"/>
      <c r="AS980" s="56">
        <f>Tabela4[[#This Row],[Total R$]]-Tabela4[[#This Row],[Total Pago]]</f>
        <v>0</v>
      </c>
      <c r="AT980" s="36"/>
    </row>
    <row r="981" spans="2:46" x14ac:dyDescent="0.25">
      <c r="B981" s="44"/>
      <c r="D981" s="349"/>
      <c r="E981" s="33"/>
      <c r="F981" s="33"/>
      <c r="G981" s="33"/>
      <c r="H981" s="33"/>
      <c r="I981" s="33"/>
      <c r="J981" s="33"/>
      <c r="K981" s="33"/>
      <c r="L981" s="561"/>
      <c r="M981" s="33"/>
      <c r="N981" s="33"/>
      <c r="O981" s="33"/>
      <c r="P981" s="184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44"/>
      <c r="AP981" s="37"/>
      <c r="AQ981" s="44"/>
      <c r="AR981" s="57"/>
      <c r="AS981" s="56">
        <f>Tabela4[[#This Row],[Total R$]]-Tabela4[[#This Row],[Total Pago]]</f>
        <v>0</v>
      </c>
      <c r="AT981" s="36"/>
    </row>
    <row r="982" spans="2:46" x14ac:dyDescent="0.25">
      <c r="B982" s="44"/>
      <c r="D982" s="349"/>
      <c r="E982" s="33"/>
      <c r="F982" s="33"/>
      <c r="G982" s="33"/>
      <c r="H982" s="33"/>
      <c r="I982" s="33"/>
      <c r="J982" s="33"/>
      <c r="K982" s="33"/>
      <c r="L982" s="561"/>
      <c r="M982" s="33"/>
      <c r="N982" s="33"/>
      <c r="O982" s="33"/>
      <c r="P982" s="184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44"/>
      <c r="AP982" s="37"/>
      <c r="AQ982" s="44"/>
      <c r="AR982" s="57"/>
      <c r="AS982" s="56">
        <f>Tabela4[[#This Row],[Total R$]]-Tabela4[[#This Row],[Total Pago]]</f>
        <v>0</v>
      </c>
      <c r="AT982" s="36"/>
    </row>
    <row r="983" spans="2:46" x14ac:dyDescent="0.25">
      <c r="B983" s="44"/>
      <c r="D983" s="349"/>
      <c r="E983" s="33"/>
      <c r="F983" s="33"/>
      <c r="G983" s="33"/>
      <c r="H983" s="33"/>
      <c r="I983" s="33"/>
      <c r="J983" s="33"/>
      <c r="K983" s="33"/>
      <c r="L983" s="561"/>
      <c r="M983" s="33"/>
      <c r="N983" s="33"/>
      <c r="O983" s="33"/>
      <c r="P983" s="184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44"/>
      <c r="AP983" s="37"/>
      <c r="AQ983" s="44"/>
      <c r="AR983" s="57"/>
      <c r="AS983" s="56">
        <f>Tabela4[[#This Row],[Total R$]]-Tabela4[[#This Row],[Total Pago]]</f>
        <v>0</v>
      </c>
      <c r="AT983" s="36"/>
    </row>
    <row r="984" spans="2:46" x14ac:dyDescent="0.25">
      <c r="B984" s="44"/>
      <c r="D984" s="349"/>
      <c r="E984" s="33"/>
      <c r="F984" s="33"/>
      <c r="G984" s="33"/>
      <c r="H984" s="33"/>
      <c r="I984" s="33"/>
      <c r="J984" s="33"/>
      <c r="K984" s="33"/>
      <c r="L984" s="561"/>
      <c r="M984" s="33"/>
      <c r="N984" s="33"/>
      <c r="O984" s="33"/>
      <c r="P984" s="184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44"/>
      <c r="AP984" s="37"/>
      <c r="AQ984" s="44"/>
      <c r="AR984" s="57"/>
      <c r="AS984" s="56">
        <f>Tabela4[[#This Row],[Total R$]]-Tabela4[[#This Row],[Total Pago]]</f>
        <v>0</v>
      </c>
      <c r="AT984" s="36"/>
    </row>
    <row r="985" spans="2:46" x14ac:dyDescent="0.25">
      <c r="B985" s="44"/>
      <c r="D985" s="349"/>
      <c r="E985" s="33"/>
      <c r="F985" s="33"/>
      <c r="G985" s="33"/>
      <c r="H985" s="33"/>
      <c r="I985" s="33"/>
      <c r="J985" s="33"/>
      <c r="K985" s="33"/>
      <c r="L985" s="561"/>
      <c r="M985" s="33"/>
      <c r="N985" s="33"/>
      <c r="O985" s="33"/>
      <c r="P985" s="184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44"/>
      <c r="AP985" s="37"/>
      <c r="AQ985" s="44"/>
      <c r="AR985" s="57"/>
      <c r="AS985" s="56">
        <f>Tabela4[[#This Row],[Total R$]]-Tabela4[[#This Row],[Total Pago]]</f>
        <v>0</v>
      </c>
      <c r="AT985" s="36"/>
    </row>
    <row r="986" spans="2:46" x14ac:dyDescent="0.25">
      <c r="B986" s="44"/>
      <c r="D986" s="349"/>
      <c r="E986" s="33"/>
      <c r="F986" s="33"/>
      <c r="G986" s="33"/>
      <c r="H986" s="33"/>
      <c r="I986" s="33"/>
      <c r="J986" s="33"/>
      <c r="K986" s="33"/>
      <c r="L986" s="561"/>
      <c r="M986" s="33"/>
      <c r="N986" s="33"/>
      <c r="O986" s="33"/>
      <c r="P986" s="184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44"/>
      <c r="AP986" s="37"/>
      <c r="AQ986" s="44"/>
      <c r="AR986" s="57"/>
      <c r="AS986" s="56">
        <f>Tabela4[[#This Row],[Total R$]]-Tabela4[[#This Row],[Total Pago]]</f>
        <v>0</v>
      </c>
      <c r="AT986" s="36"/>
    </row>
    <row r="987" spans="2:46" x14ac:dyDescent="0.25">
      <c r="B987" s="44"/>
      <c r="D987" s="349"/>
      <c r="E987" s="33"/>
      <c r="F987" s="33"/>
      <c r="G987" s="33"/>
      <c r="H987" s="33"/>
      <c r="I987" s="33"/>
      <c r="J987" s="33"/>
      <c r="K987" s="33"/>
      <c r="L987" s="561"/>
      <c r="M987" s="33"/>
      <c r="N987" s="33"/>
      <c r="O987" s="33"/>
      <c r="P987" s="184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44"/>
      <c r="AP987" s="37"/>
      <c r="AQ987" s="44"/>
      <c r="AR987" s="57"/>
      <c r="AS987" s="56">
        <f>Tabela4[[#This Row],[Total R$]]-Tabela4[[#This Row],[Total Pago]]</f>
        <v>0</v>
      </c>
      <c r="AT987" s="36"/>
    </row>
    <row r="988" spans="2:46" x14ac:dyDescent="0.25">
      <c r="B988" s="44"/>
      <c r="D988" s="349"/>
      <c r="E988" s="33"/>
      <c r="F988" s="33"/>
      <c r="G988" s="33"/>
      <c r="H988" s="33"/>
      <c r="I988" s="33"/>
      <c r="J988" s="33"/>
      <c r="K988" s="33"/>
      <c r="L988" s="561"/>
      <c r="M988" s="33"/>
      <c r="N988" s="33"/>
      <c r="O988" s="33"/>
      <c r="P988" s="184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44"/>
      <c r="AP988" s="37"/>
      <c r="AQ988" s="44"/>
      <c r="AR988" s="57"/>
      <c r="AS988" s="56">
        <f>Tabela4[[#This Row],[Total R$]]-Tabela4[[#This Row],[Total Pago]]</f>
        <v>0</v>
      </c>
      <c r="AT988" s="36"/>
    </row>
    <row r="989" spans="2:46" x14ac:dyDescent="0.25">
      <c r="B989" s="44"/>
      <c r="D989" s="349"/>
      <c r="E989" s="33"/>
      <c r="F989" s="33"/>
      <c r="G989" s="33"/>
      <c r="H989" s="33"/>
      <c r="I989" s="33"/>
      <c r="J989" s="33"/>
      <c r="K989" s="33"/>
      <c r="L989" s="561"/>
      <c r="M989" s="33"/>
      <c r="N989" s="33"/>
      <c r="O989" s="33"/>
      <c r="P989" s="184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44"/>
      <c r="AP989" s="37"/>
      <c r="AQ989" s="44"/>
      <c r="AR989" s="57"/>
      <c r="AS989" s="56">
        <f>Tabela4[[#This Row],[Total R$]]-Tabela4[[#This Row],[Total Pago]]</f>
        <v>0</v>
      </c>
      <c r="AT989" s="36"/>
    </row>
    <row r="990" spans="2:46" x14ac:dyDescent="0.25">
      <c r="B990" s="44"/>
      <c r="D990" s="349"/>
      <c r="E990" s="33"/>
      <c r="F990" s="33"/>
      <c r="G990" s="33"/>
      <c r="H990" s="33"/>
      <c r="I990" s="33"/>
      <c r="J990" s="33"/>
      <c r="K990" s="33"/>
      <c r="L990" s="561"/>
      <c r="M990" s="33"/>
      <c r="N990" s="33"/>
      <c r="O990" s="33"/>
      <c r="P990" s="184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44"/>
      <c r="AP990" s="37"/>
      <c r="AQ990" s="44"/>
      <c r="AR990" s="57"/>
      <c r="AS990" s="56">
        <f>Tabela4[[#This Row],[Total R$]]-Tabela4[[#This Row],[Total Pago]]</f>
        <v>0</v>
      </c>
      <c r="AT990" s="36"/>
    </row>
    <row r="991" spans="2:46" x14ac:dyDescent="0.25">
      <c r="B991" s="44"/>
      <c r="D991" s="349"/>
      <c r="E991" s="33"/>
      <c r="F991" s="33"/>
      <c r="G991" s="33"/>
      <c r="H991" s="33"/>
      <c r="I991" s="33"/>
      <c r="J991" s="33"/>
      <c r="K991" s="33"/>
      <c r="L991" s="561"/>
      <c r="M991" s="33"/>
      <c r="N991" s="33"/>
      <c r="O991" s="33"/>
      <c r="P991" s="184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44"/>
      <c r="AP991" s="37"/>
      <c r="AQ991" s="44"/>
      <c r="AR991" s="57"/>
      <c r="AS991" s="56">
        <f>Tabela4[[#This Row],[Total R$]]-Tabela4[[#This Row],[Total Pago]]</f>
        <v>0</v>
      </c>
      <c r="AT991" s="36"/>
    </row>
    <row r="992" spans="2:46" x14ac:dyDescent="0.25">
      <c r="B992" s="44"/>
      <c r="D992" s="349"/>
      <c r="E992" s="33"/>
      <c r="F992" s="33"/>
      <c r="G992" s="33"/>
      <c r="H992" s="33"/>
      <c r="I992" s="33"/>
      <c r="J992" s="33"/>
      <c r="K992" s="33"/>
      <c r="L992" s="561"/>
      <c r="M992" s="33"/>
      <c r="N992" s="33"/>
      <c r="O992" s="33"/>
      <c r="P992" s="184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44"/>
      <c r="AP992" s="37"/>
      <c r="AQ992" s="44"/>
      <c r="AR992" s="57"/>
      <c r="AS992" s="56">
        <f>Tabela4[[#This Row],[Total R$]]-Tabela4[[#This Row],[Total Pago]]</f>
        <v>0</v>
      </c>
      <c r="AT992" s="36"/>
    </row>
    <row r="993" spans="2:46" x14ac:dyDescent="0.25">
      <c r="B993" s="44"/>
      <c r="D993" s="349"/>
      <c r="E993" s="33"/>
      <c r="F993" s="33"/>
      <c r="G993" s="33"/>
      <c r="H993" s="33"/>
      <c r="I993" s="33"/>
      <c r="J993" s="33"/>
      <c r="K993" s="33"/>
      <c r="L993" s="561"/>
      <c r="M993" s="33"/>
      <c r="N993" s="33"/>
      <c r="O993" s="33"/>
      <c r="P993" s="184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44"/>
      <c r="AP993" s="37"/>
      <c r="AQ993" s="44"/>
      <c r="AR993" s="57"/>
      <c r="AS993" s="56">
        <f>Tabela4[[#This Row],[Total R$]]-Tabela4[[#This Row],[Total Pago]]</f>
        <v>0</v>
      </c>
      <c r="AT993" s="36"/>
    </row>
    <row r="994" spans="2:46" x14ac:dyDescent="0.25">
      <c r="B994" s="44"/>
      <c r="D994" s="349"/>
      <c r="E994" s="33"/>
      <c r="F994" s="33"/>
      <c r="G994" s="33"/>
      <c r="H994" s="33"/>
      <c r="I994" s="33"/>
      <c r="J994" s="33"/>
      <c r="K994" s="33"/>
      <c r="L994" s="561"/>
      <c r="M994" s="33"/>
      <c r="N994" s="33"/>
      <c r="O994" s="33"/>
      <c r="P994" s="184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44"/>
      <c r="AP994" s="37"/>
      <c r="AQ994" s="44"/>
      <c r="AR994" s="57"/>
      <c r="AS994" s="56">
        <f>Tabela4[[#This Row],[Total R$]]-Tabela4[[#This Row],[Total Pago]]</f>
        <v>0</v>
      </c>
      <c r="AT994" s="36"/>
    </row>
    <row r="995" spans="2:46" x14ac:dyDescent="0.25">
      <c r="B995" s="44"/>
      <c r="D995" s="349"/>
      <c r="E995" s="33"/>
      <c r="F995" s="33"/>
      <c r="G995" s="33"/>
      <c r="H995" s="33"/>
      <c r="I995" s="33"/>
      <c r="J995" s="33"/>
      <c r="K995" s="33"/>
      <c r="L995" s="561"/>
      <c r="M995" s="33"/>
      <c r="N995" s="33"/>
      <c r="O995" s="33"/>
      <c r="P995" s="184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44"/>
      <c r="AP995" s="37"/>
      <c r="AQ995" s="44"/>
      <c r="AR995" s="57"/>
      <c r="AS995" s="56">
        <f>Tabela4[[#This Row],[Total R$]]-Tabela4[[#This Row],[Total Pago]]</f>
        <v>0</v>
      </c>
      <c r="AT995" s="36"/>
    </row>
    <row r="996" spans="2:46" x14ac:dyDescent="0.25">
      <c r="B996" s="44"/>
      <c r="D996" s="349"/>
      <c r="E996" s="33"/>
      <c r="F996" s="33"/>
      <c r="G996" s="33"/>
      <c r="H996" s="33"/>
      <c r="I996" s="33"/>
      <c r="J996" s="33"/>
      <c r="K996" s="33"/>
      <c r="L996" s="561"/>
      <c r="M996" s="33"/>
      <c r="N996" s="33"/>
      <c r="O996" s="33"/>
      <c r="P996" s="184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44"/>
      <c r="AP996" s="37"/>
      <c r="AQ996" s="44"/>
      <c r="AR996" s="57"/>
      <c r="AS996" s="56">
        <f>Tabela4[[#This Row],[Total R$]]-Tabela4[[#This Row],[Total Pago]]</f>
        <v>0</v>
      </c>
      <c r="AT996" s="36"/>
    </row>
    <row r="997" spans="2:46" x14ac:dyDescent="0.25">
      <c r="B997" s="44"/>
      <c r="D997" s="349"/>
      <c r="E997" s="33"/>
      <c r="F997" s="33"/>
      <c r="G997" s="33"/>
      <c r="H997" s="33"/>
      <c r="I997" s="33"/>
      <c r="J997" s="33"/>
      <c r="K997" s="33"/>
      <c r="L997" s="561"/>
      <c r="M997" s="33"/>
      <c r="N997" s="33"/>
      <c r="O997" s="33"/>
      <c r="P997" s="184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44"/>
      <c r="AP997" s="37"/>
      <c r="AQ997" s="44"/>
      <c r="AR997" s="57"/>
      <c r="AS997" s="56">
        <f>Tabela4[[#This Row],[Total R$]]-Tabela4[[#This Row],[Total Pago]]</f>
        <v>0</v>
      </c>
      <c r="AT997" s="36"/>
    </row>
    <row r="998" spans="2:46" x14ac:dyDescent="0.25">
      <c r="B998" s="44"/>
      <c r="D998" s="349"/>
      <c r="E998" s="33"/>
      <c r="F998" s="33"/>
      <c r="G998" s="33"/>
      <c r="H998" s="33"/>
      <c r="I998" s="33"/>
      <c r="J998" s="33"/>
      <c r="K998" s="33"/>
      <c r="L998" s="561"/>
      <c r="M998" s="33"/>
      <c r="N998" s="33"/>
      <c r="O998" s="33"/>
      <c r="P998" s="184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44"/>
      <c r="AP998" s="37"/>
      <c r="AQ998" s="44"/>
      <c r="AR998" s="57"/>
      <c r="AS998" s="56">
        <f>Tabela4[[#This Row],[Total R$]]-Tabela4[[#This Row],[Total Pago]]</f>
        <v>0</v>
      </c>
      <c r="AT998" s="36"/>
    </row>
    <row r="999" spans="2:46" x14ac:dyDescent="0.25">
      <c r="B999" s="44"/>
      <c r="D999" s="349"/>
      <c r="E999" s="33"/>
      <c r="F999" s="33"/>
      <c r="G999" s="33"/>
      <c r="H999" s="33"/>
      <c r="I999" s="33"/>
      <c r="J999" s="33"/>
      <c r="K999" s="33"/>
      <c r="L999" s="561"/>
      <c r="M999" s="33"/>
      <c r="N999" s="33"/>
      <c r="O999" s="33"/>
      <c r="P999" s="184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44"/>
      <c r="AP999" s="37"/>
      <c r="AQ999" s="44"/>
      <c r="AR999" s="57"/>
      <c r="AS999" s="56">
        <f>Tabela4[[#This Row],[Total R$]]-Tabela4[[#This Row],[Total Pago]]</f>
        <v>0</v>
      </c>
      <c r="AT999" s="36"/>
    </row>
    <row r="1000" spans="2:46" x14ac:dyDescent="0.25">
      <c r="B1000" s="44"/>
      <c r="D1000" s="349"/>
      <c r="E1000" s="33"/>
      <c r="F1000" s="33"/>
      <c r="G1000" s="33"/>
      <c r="H1000" s="33"/>
      <c r="I1000" s="33"/>
      <c r="J1000" s="33"/>
      <c r="K1000" s="33"/>
      <c r="L1000" s="561"/>
      <c r="M1000" s="33"/>
      <c r="N1000" s="33"/>
      <c r="O1000" s="33"/>
      <c r="P1000" s="184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44"/>
      <c r="AP1000" s="37"/>
      <c r="AQ1000" s="44"/>
      <c r="AR1000" s="57"/>
      <c r="AS1000" s="56">
        <f>Tabela4[[#This Row],[Total R$]]-Tabela4[[#This Row],[Total Pago]]</f>
        <v>0</v>
      </c>
      <c r="AT1000" s="36"/>
    </row>
    <row r="1001" spans="2:46" x14ac:dyDescent="0.25">
      <c r="B1001" s="44"/>
      <c r="D1001" s="349"/>
      <c r="E1001" s="33"/>
      <c r="F1001" s="33"/>
      <c r="G1001" s="33"/>
      <c r="H1001" s="33"/>
      <c r="I1001" s="33"/>
      <c r="J1001" s="33"/>
      <c r="K1001" s="33"/>
      <c r="L1001" s="561"/>
      <c r="M1001" s="33"/>
      <c r="N1001" s="33"/>
      <c r="O1001" s="33"/>
      <c r="P1001" s="184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44"/>
      <c r="AP1001" s="37"/>
      <c r="AQ1001" s="44"/>
      <c r="AR1001" s="57"/>
      <c r="AS1001" s="56">
        <f>Tabela4[[#This Row],[Total R$]]-Tabela4[[#This Row],[Total Pago]]</f>
        <v>0</v>
      </c>
      <c r="AT1001" s="36"/>
    </row>
    <row r="1002" spans="2:46" x14ac:dyDescent="0.25">
      <c r="B1002" s="44"/>
      <c r="D1002" s="349"/>
      <c r="E1002" s="33"/>
      <c r="F1002" s="33"/>
      <c r="G1002" s="33"/>
      <c r="H1002" s="33"/>
      <c r="I1002" s="33"/>
      <c r="J1002" s="33"/>
      <c r="K1002" s="33"/>
      <c r="L1002" s="561"/>
      <c r="M1002" s="33"/>
      <c r="N1002" s="33"/>
      <c r="O1002" s="33"/>
      <c r="P1002" s="184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44"/>
      <c r="AP1002" s="37"/>
      <c r="AQ1002" s="44"/>
      <c r="AR1002" s="57"/>
      <c r="AS1002" s="56">
        <f>Tabela4[[#This Row],[Total R$]]-Tabela4[[#This Row],[Total Pago]]</f>
        <v>0</v>
      </c>
      <c r="AT1002" s="36"/>
    </row>
    <row r="1003" spans="2:46" x14ac:dyDescent="0.25">
      <c r="B1003" s="44"/>
      <c r="D1003" s="349"/>
      <c r="E1003" s="33"/>
      <c r="F1003" s="33"/>
      <c r="G1003" s="33"/>
      <c r="H1003" s="33"/>
      <c r="I1003" s="33"/>
      <c r="J1003" s="33"/>
      <c r="K1003" s="33"/>
      <c r="L1003" s="561"/>
      <c r="M1003" s="33"/>
      <c r="N1003" s="33"/>
      <c r="O1003" s="33"/>
      <c r="P1003" s="184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44"/>
      <c r="AP1003" s="37"/>
      <c r="AQ1003" s="44"/>
      <c r="AR1003" s="57"/>
      <c r="AS1003" s="56">
        <f>Tabela4[[#This Row],[Total R$]]-Tabela4[[#This Row],[Total Pago]]</f>
        <v>0</v>
      </c>
      <c r="AT1003" s="36"/>
    </row>
    <row r="1004" spans="2:46" x14ac:dyDescent="0.25">
      <c r="B1004" s="44"/>
      <c r="D1004" s="349"/>
      <c r="E1004" s="33"/>
      <c r="F1004" s="33"/>
      <c r="G1004" s="33"/>
      <c r="H1004" s="33"/>
      <c r="I1004" s="33"/>
      <c r="J1004" s="33"/>
      <c r="K1004" s="33"/>
      <c r="L1004" s="561"/>
      <c r="M1004" s="33"/>
      <c r="N1004" s="33"/>
      <c r="O1004" s="33"/>
      <c r="P1004" s="184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44"/>
      <c r="AP1004" s="37"/>
      <c r="AQ1004" s="44"/>
      <c r="AR1004" s="57"/>
      <c r="AS1004" s="56">
        <f>Tabela4[[#This Row],[Total R$]]-Tabela4[[#This Row],[Total Pago]]</f>
        <v>0</v>
      </c>
      <c r="AT1004" s="36"/>
    </row>
    <row r="1005" spans="2:46" x14ac:dyDescent="0.25">
      <c r="B1005" s="44"/>
      <c r="D1005" s="349"/>
      <c r="E1005" s="33"/>
      <c r="F1005" s="33"/>
      <c r="G1005" s="33"/>
      <c r="H1005" s="33"/>
      <c r="I1005" s="33"/>
      <c r="J1005" s="33"/>
      <c r="K1005" s="33"/>
      <c r="L1005" s="561"/>
      <c r="M1005" s="33"/>
      <c r="N1005" s="33"/>
      <c r="O1005" s="33"/>
      <c r="P1005" s="184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44"/>
      <c r="AP1005" s="37"/>
      <c r="AQ1005" s="44"/>
      <c r="AR1005" s="57"/>
      <c r="AS1005" s="56">
        <f>Tabela4[[#This Row],[Total R$]]-Tabela4[[#This Row],[Total Pago]]</f>
        <v>0</v>
      </c>
      <c r="AT1005" s="36"/>
    </row>
    <row r="1006" spans="2:46" x14ac:dyDescent="0.25">
      <c r="B1006" s="44"/>
      <c r="D1006" s="349"/>
      <c r="E1006" s="33"/>
      <c r="F1006" s="33"/>
      <c r="G1006" s="33"/>
      <c r="H1006" s="33"/>
      <c r="I1006" s="33"/>
      <c r="J1006" s="33"/>
      <c r="K1006" s="33"/>
      <c r="L1006" s="561"/>
      <c r="M1006" s="33"/>
      <c r="N1006" s="33"/>
      <c r="O1006" s="33"/>
      <c r="P1006" s="184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44"/>
      <c r="AP1006" s="37"/>
      <c r="AQ1006" s="44"/>
      <c r="AR1006" s="57"/>
      <c r="AS1006" s="56">
        <f>Tabela4[[#This Row],[Total R$]]-Tabela4[[#This Row],[Total Pago]]</f>
        <v>0</v>
      </c>
      <c r="AT1006" s="36"/>
    </row>
    <row r="1007" spans="2:46" x14ac:dyDescent="0.25">
      <c r="B1007" s="44"/>
      <c r="D1007" s="349"/>
      <c r="E1007" s="33"/>
      <c r="F1007" s="33"/>
      <c r="G1007" s="33"/>
      <c r="H1007" s="33"/>
      <c r="I1007" s="33"/>
      <c r="J1007" s="33"/>
      <c r="K1007" s="33"/>
      <c r="L1007" s="561"/>
      <c r="M1007" s="33"/>
      <c r="N1007" s="33"/>
      <c r="O1007" s="33"/>
      <c r="P1007" s="184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44"/>
      <c r="AP1007" s="37"/>
      <c r="AQ1007" s="44"/>
      <c r="AR1007" s="57"/>
      <c r="AS1007" s="56">
        <f>Tabela4[[#This Row],[Total R$]]-Tabela4[[#This Row],[Total Pago]]</f>
        <v>0</v>
      </c>
      <c r="AT1007" s="36"/>
    </row>
    <row r="1008" spans="2:46" x14ac:dyDescent="0.25">
      <c r="B1008" s="44"/>
      <c r="D1008" s="349"/>
      <c r="E1008" s="33"/>
      <c r="F1008" s="33"/>
      <c r="G1008" s="33"/>
      <c r="H1008" s="33"/>
      <c r="I1008" s="33"/>
      <c r="J1008" s="33"/>
      <c r="K1008" s="33"/>
      <c r="L1008" s="561"/>
      <c r="M1008" s="33"/>
      <c r="N1008" s="33"/>
      <c r="O1008" s="33"/>
      <c r="P1008" s="184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44"/>
      <c r="AP1008" s="37"/>
      <c r="AQ1008" s="44"/>
      <c r="AR1008" s="57"/>
      <c r="AS1008" s="56">
        <f>Tabela4[[#This Row],[Total R$]]-Tabela4[[#This Row],[Total Pago]]</f>
        <v>0</v>
      </c>
      <c r="AT1008" s="36"/>
    </row>
    <row r="1009" spans="2:46" x14ac:dyDescent="0.25">
      <c r="B1009" s="44"/>
      <c r="D1009" s="349"/>
      <c r="E1009" s="33"/>
      <c r="F1009" s="33"/>
      <c r="G1009" s="33"/>
      <c r="H1009" s="33"/>
      <c r="I1009" s="33"/>
      <c r="J1009" s="33"/>
      <c r="K1009" s="33"/>
      <c r="L1009" s="561"/>
      <c r="M1009" s="33"/>
      <c r="N1009" s="33"/>
      <c r="O1009" s="33"/>
      <c r="P1009" s="184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44"/>
      <c r="AP1009" s="37"/>
      <c r="AQ1009" s="44"/>
      <c r="AR1009" s="57"/>
      <c r="AS1009" s="56">
        <f>Tabela4[[#This Row],[Total R$]]-Tabela4[[#This Row],[Total Pago]]</f>
        <v>0</v>
      </c>
      <c r="AT1009" s="36"/>
    </row>
    <row r="1010" spans="2:46" x14ac:dyDescent="0.25">
      <c r="B1010" s="44"/>
      <c r="D1010" s="349"/>
      <c r="E1010" s="33"/>
      <c r="F1010" s="33"/>
      <c r="G1010" s="33"/>
      <c r="H1010" s="33"/>
      <c r="I1010" s="33"/>
      <c r="J1010" s="33"/>
      <c r="K1010" s="33"/>
      <c r="L1010" s="561"/>
      <c r="M1010" s="33"/>
      <c r="N1010" s="33"/>
      <c r="O1010" s="33"/>
      <c r="P1010" s="184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44"/>
      <c r="AP1010" s="37"/>
      <c r="AQ1010" s="44"/>
      <c r="AR1010" s="57"/>
      <c r="AS1010" s="56">
        <f>Tabela4[[#This Row],[Total R$]]-Tabela4[[#This Row],[Total Pago]]</f>
        <v>0</v>
      </c>
      <c r="AT1010" s="36"/>
    </row>
    <row r="1011" spans="2:46" x14ac:dyDescent="0.25">
      <c r="B1011" s="44"/>
      <c r="D1011" s="349"/>
      <c r="E1011" s="33"/>
      <c r="F1011" s="33"/>
      <c r="G1011" s="33"/>
      <c r="H1011" s="33"/>
      <c r="I1011" s="33"/>
      <c r="J1011" s="33"/>
      <c r="K1011" s="33"/>
      <c r="L1011" s="561"/>
      <c r="M1011" s="33"/>
      <c r="N1011" s="33"/>
      <c r="O1011" s="33"/>
      <c r="P1011" s="184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44"/>
      <c r="AP1011" s="37"/>
      <c r="AQ1011" s="44"/>
      <c r="AR1011" s="57"/>
      <c r="AS1011" s="56">
        <f>Tabela4[[#This Row],[Total R$]]-Tabela4[[#This Row],[Total Pago]]</f>
        <v>0</v>
      </c>
      <c r="AT1011" s="36"/>
    </row>
    <row r="1012" spans="2:46" x14ac:dyDescent="0.25">
      <c r="B1012" s="44"/>
      <c r="D1012" s="349"/>
      <c r="E1012" s="33"/>
      <c r="F1012" s="33"/>
      <c r="G1012" s="33"/>
      <c r="H1012" s="33"/>
      <c r="I1012" s="33"/>
      <c r="J1012" s="33"/>
      <c r="K1012" s="33"/>
      <c r="L1012" s="561"/>
      <c r="M1012" s="33"/>
      <c r="N1012" s="33"/>
      <c r="O1012" s="33"/>
      <c r="P1012" s="184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44"/>
      <c r="AP1012" s="37"/>
      <c r="AQ1012" s="44"/>
      <c r="AR1012" s="57"/>
      <c r="AS1012" s="56">
        <f>Tabela4[[#This Row],[Total R$]]-Tabela4[[#This Row],[Total Pago]]</f>
        <v>0</v>
      </c>
      <c r="AT1012" s="36"/>
    </row>
    <row r="1013" spans="2:46" x14ac:dyDescent="0.25">
      <c r="B1013" s="44"/>
      <c r="D1013" s="349"/>
      <c r="E1013" s="33"/>
      <c r="F1013" s="33"/>
      <c r="G1013" s="33"/>
      <c r="H1013" s="33"/>
      <c r="I1013" s="33"/>
      <c r="J1013" s="33"/>
      <c r="K1013" s="33"/>
      <c r="L1013" s="561"/>
      <c r="M1013" s="33"/>
      <c r="N1013" s="33"/>
      <c r="O1013" s="33"/>
      <c r="P1013" s="184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44"/>
      <c r="AP1013" s="37"/>
      <c r="AQ1013" s="44"/>
      <c r="AR1013" s="57"/>
      <c r="AS1013" s="56">
        <f>Tabela4[[#This Row],[Total R$]]-Tabela4[[#This Row],[Total Pago]]</f>
        <v>0</v>
      </c>
      <c r="AT1013" s="36"/>
    </row>
    <row r="1014" spans="2:46" x14ac:dyDescent="0.25">
      <c r="B1014" s="44"/>
      <c r="D1014" s="349"/>
      <c r="E1014" s="33"/>
      <c r="F1014" s="33"/>
      <c r="G1014" s="33"/>
      <c r="H1014" s="33"/>
      <c r="I1014" s="33"/>
      <c r="J1014" s="33"/>
      <c r="K1014" s="33"/>
      <c r="L1014" s="561"/>
      <c r="M1014" s="33"/>
      <c r="N1014" s="33"/>
      <c r="O1014" s="33"/>
      <c r="P1014" s="184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44"/>
      <c r="AP1014" s="37"/>
      <c r="AQ1014" s="44"/>
      <c r="AR1014" s="57"/>
      <c r="AS1014" s="56">
        <f>Tabela4[[#This Row],[Total R$]]-Tabela4[[#This Row],[Total Pago]]</f>
        <v>0</v>
      </c>
      <c r="AT1014" s="36"/>
    </row>
    <row r="1015" spans="2:46" x14ac:dyDescent="0.25">
      <c r="B1015" s="44"/>
      <c r="D1015" s="349"/>
      <c r="E1015" s="33"/>
      <c r="F1015" s="33"/>
      <c r="G1015" s="33"/>
      <c r="H1015" s="33"/>
      <c r="I1015" s="33"/>
      <c r="J1015" s="33"/>
      <c r="K1015" s="33"/>
      <c r="L1015" s="561"/>
      <c r="M1015" s="33"/>
      <c r="N1015" s="33"/>
      <c r="O1015" s="33"/>
      <c r="P1015" s="184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44"/>
      <c r="AP1015" s="37"/>
      <c r="AQ1015" s="44"/>
      <c r="AR1015" s="57"/>
      <c r="AS1015" s="56">
        <f>Tabela4[[#This Row],[Total R$]]-Tabela4[[#This Row],[Total Pago]]</f>
        <v>0</v>
      </c>
      <c r="AT1015" s="36"/>
    </row>
    <row r="1016" spans="2:46" x14ac:dyDescent="0.25">
      <c r="B1016" s="44"/>
      <c r="D1016" s="349"/>
      <c r="E1016" s="33"/>
      <c r="F1016" s="33"/>
      <c r="G1016" s="33"/>
      <c r="H1016" s="33"/>
      <c r="I1016" s="33"/>
      <c r="J1016" s="33"/>
      <c r="K1016" s="33"/>
      <c r="L1016" s="561"/>
      <c r="M1016" s="33"/>
      <c r="N1016" s="33"/>
      <c r="O1016" s="33"/>
      <c r="P1016" s="184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44"/>
      <c r="AP1016" s="37"/>
      <c r="AQ1016" s="44"/>
      <c r="AR1016" s="57"/>
      <c r="AS1016" s="56">
        <f>Tabela4[[#This Row],[Total R$]]-Tabela4[[#This Row],[Total Pago]]</f>
        <v>0</v>
      </c>
      <c r="AT1016" s="36"/>
    </row>
    <row r="1017" spans="2:46" x14ac:dyDescent="0.25">
      <c r="B1017" s="44"/>
      <c r="D1017" s="349"/>
      <c r="E1017" s="33"/>
      <c r="F1017" s="33"/>
      <c r="G1017" s="33"/>
      <c r="H1017" s="33"/>
      <c r="I1017" s="33"/>
      <c r="J1017" s="33"/>
      <c r="K1017" s="33"/>
      <c r="L1017" s="561"/>
      <c r="M1017" s="33"/>
      <c r="N1017" s="33"/>
      <c r="O1017" s="33"/>
      <c r="P1017" s="184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44"/>
      <c r="AP1017" s="37"/>
      <c r="AQ1017" s="44"/>
      <c r="AR1017" s="57"/>
      <c r="AS1017" s="56">
        <f>Tabela4[[#This Row],[Total R$]]-Tabela4[[#This Row],[Total Pago]]</f>
        <v>0</v>
      </c>
      <c r="AT1017" s="36"/>
    </row>
    <row r="1018" spans="2:46" x14ac:dyDescent="0.25">
      <c r="B1018" s="44"/>
      <c r="D1018" s="349"/>
      <c r="E1018" s="33"/>
      <c r="F1018" s="33"/>
      <c r="G1018" s="33"/>
      <c r="H1018" s="33"/>
      <c r="I1018" s="33"/>
      <c r="J1018" s="33"/>
      <c r="K1018" s="33"/>
      <c r="L1018" s="561"/>
      <c r="M1018" s="33"/>
      <c r="N1018" s="33"/>
      <c r="O1018" s="33"/>
      <c r="P1018" s="184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44"/>
      <c r="AP1018" s="37"/>
      <c r="AQ1018" s="44"/>
      <c r="AR1018" s="57"/>
      <c r="AS1018" s="56">
        <f>Tabela4[[#This Row],[Total R$]]-Tabela4[[#This Row],[Total Pago]]</f>
        <v>0</v>
      </c>
      <c r="AT1018" s="36"/>
    </row>
    <row r="1019" spans="2:46" x14ac:dyDescent="0.25">
      <c r="B1019" s="44"/>
      <c r="D1019" s="349"/>
      <c r="E1019" s="33"/>
      <c r="F1019" s="33"/>
      <c r="G1019" s="33"/>
      <c r="H1019" s="33"/>
      <c r="I1019" s="33"/>
      <c r="J1019" s="33"/>
      <c r="K1019" s="33"/>
      <c r="L1019" s="561"/>
      <c r="M1019" s="33"/>
      <c r="N1019" s="33"/>
      <c r="O1019" s="33"/>
      <c r="P1019" s="184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44"/>
      <c r="AP1019" s="37"/>
      <c r="AQ1019" s="44"/>
      <c r="AR1019" s="57"/>
      <c r="AS1019" s="56">
        <f>Tabela4[[#This Row],[Total R$]]-Tabela4[[#This Row],[Total Pago]]</f>
        <v>0</v>
      </c>
      <c r="AT1019" s="36"/>
    </row>
    <row r="1020" spans="2:46" x14ac:dyDescent="0.25">
      <c r="B1020" s="44"/>
      <c r="D1020" s="349"/>
      <c r="E1020" s="33"/>
      <c r="F1020" s="33"/>
      <c r="G1020" s="33"/>
      <c r="H1020" s="33"/>
      <c r="I1020" s="33"/>
      <c r="J1020" s="33"/>
      <c r="K1020" s="33"/>
      <c r="L1020" s="561"/>
      <c r="M1020" s="33"/>
      <c r="N1020" s="33"/>
      <c r="O1020" s="33"/>
      <c r="P1020" s="184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44"/>
      <c r="AP1020" s="37"/>
      <c r="AQ1020" s="44"/>
      <c r="AR1020" s="57"/>
      <c r="AS1020" s="56">
        <f>Tabela4[[#This Row],[Total R$]]-Tabela4[[#This Row],[Total Pago]]</f>
        <v>0</v>
      </c>
      <c r="AT1020" s="36"/>
    </row>
    <row r="1021" spans="2:46" x14ac:dyDescent="0.25">
      <c r="B1021" s="44"/>
      <c r="D1021" s="349"/>
      <c r="E1021" s="33"/>
      <c r="F1021" s="33"/>
      <c r="G1021" s="33"/>
      <c r="H1021" s="33"/>
      <c r="I1021" s="33"/>
      <c r="J1021" s="33"/>
      <c r="K1021" s="33"/>
      <c r="L1021" s="561"/>
      <c r="M1021" s="33"/>
      <c r="N1021" s="33"/>
      <c r="O1021" s="33"/>
      <c r="P1021" s="184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44"/>
      <c r="AP1021" s="37"/>
      <c r="AQ1021" s="44"/>
      <c r="AR1021" s="57"/>
      <c r="AS1021" s="56">
        <f>Tabela4[[#This Row],[Total R$]]-Tabela4[[#This Row],[Total Pago]]</f>
        <v>0</v>
      </c>
      <c r="AT1021" s="36"/>
    </row>
    <row r="1022" spans="2:46" x14ac:dyDescent="0.25">
      <c r="B1022" s="44"/>
      <c r="D1022" s="349"/>
      <c r="E1022" s="33"/>
      <c r="F1022" s="33"/>
      <c r="G1022" s="33"/>
      <c r="H1022" s="33"/>
      <c r="I1022" s="33"/>
      <c r="J1022" s="33"/>
      <c r="K1022" s="33"/>
      <c r="L1022" s="561"/>
      <c r="M1022" s="33"/>
      <c r="N1022" s="33"/>
      <c r="O1022" s="33"/>
      <c r="P1022" s="184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44"/>
      <c r="AP1022" s="37"/>
      <c r="AQ1022" s="44"/>
      <c r="AR1022" s="57"/>
      <c r="AS1022" s="56">
        <f>Tabela4[[#This Row],[Total R$]]-Tabela4[[#This Row],[Total Pago]]</f>
        <v>0</v>
      </c>
      <c r="AT1022" s="36"/>
    </row>
    <row r="1023" spans="2:46" x14ac:dyDescent="0.25">
      <c r="B1023" s="44"/>
      <c r="D1023" s="349"/>
      <c r="E1023" s="33"/>
      <c r="F1023" s="33"/>
      <c r="G1023" s="33"/>
      <c r="H1023" s="33"/>
      <c r="I1023" s="33"/>
      <c r="J1023" s="33"/>
      <c r="K1023" s="33"/>
      <c r="L1023" s="561"/>
      <c r="M1023" s="33"/>
      <c r="N1023" s="33"/>
      <c r="O1023" s="33"/>
      <c r="P1023" s="184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44"/>
      <c r="AP1023" s="37"/>
      <c r="AQ1023" s="44"/>
      <c r="AR1023" s="57"/>
      <c r="AS1023" s="56">
        <f>Tabela4[[#This Row],[Total R$]]-Tabela4[[#This Row],[Total Pago]]</f>
        <v>0</v>
      </c>
      <c r="AT1023" s="36"/>
    </row>
    <row r="1024" spans="2:46" x14ac:dyDescent="0.25">
      <c r="B1024" s="44"/>
      <c r="D1024" s="349"/>
      <c r="E1024" s="33"/>
      <c r="F1024" s="33"/>
      <c r="G1024" s="33"/>
      <c r="H1024" s="33"/>
      <c r="I1024" s="33"/>
      <c r="J1024" s="33"/>
      <c r="K1024" s="33"/>
      <c r="L1024" s="561"/>
      <c r="M1024" s="33"/>
      <c r="N1024" s="33"/>
      <c r="O1024" s="33"/>
      <c r="P1024" s="184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44"/>
      <c r="AP1024" s="37"/>
      <c r="AQ1024" s="44"/>
      <c r="AR1024" s="57"/>
      <c r="AS1024" s="56">
        <f>Tabela4[[#This Row],[Total R$]]-Tabela4[[#This Row],[Total Pago]]</f>
        <v>0</v>
      </c>
      <c r="AT1024" s="36"/>
    </row>
    <row r="1025" spans="2:46" x14ac:dyDescent="0.25">
      <c r="B1025" s="44"/>
      <c r="D1025" s="349"/>
      <c r="E1025" s="33"/>
      <c r="F1025" s="33"/>
      <c r="G1025" s="33"/>
      <c r="H1025" s="33"/>
      <c r="I1025" s="33"/>
      <c r="J1025" s="33"/>
      <c r="K1025" s="33"/>
      <c r="L1025" s="561"/>
      <c r="M1025" s="33"/>
      <c r="N1025" s="33"/>
      <c r="O1025" s="33"/>
      <c r="P1025" s="184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44"/>
      <c r="AP1025" s="37"/>
      <c r="AQ1025" s="44"/>
      <c r="AR1025" s="57"/>
      <c r="AS1025" s="56">
        <f>Tabela4[[#This Row],[Total R$]]-Tabela4[[#This Row],[Total Pago]]</f>
        <v>0</v>
      </c>
      <c r="AT1025" s="36"/>
    </row>
    <row r="1026" spans="2:46" x14ac:dyDescent="0.25">
      <c r="B1026" s="44"/>
      <c r="D1026" s="349"/>
      <c r="E1026" s="33"/>
      <c r="F1026" s="33"/>
      <c r="G1026" s="33"/>
      <c r="H1026" s="33"/>
      <c r="I1026" s="33"/>
      <c r="J1026" s="33"/>
      <c r="K1026" s="33"/>
      <c r="L1026" s="561"/>
      <c r="M1026" s="33"/>
      <c r="N1026" s="33"/>
      <c r="O1026" s="33"/>
      <c r="P1026" s="184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44"/>
      <c r="AP1026" s="37"/>
      <c r="AQ1026" s="44"/>
      <c r="AR1026" s="57"/>
      <c r="AS1026" s="56">
        <f>Tabela4[[#This Row],[Total R$]]-Tabela4[[#This Row],[Total Pago]]</f>
        <v>0</v>
      </c>
      <c r="AT1026" s="36"/>
    </row>
    <row r="1027" spans="2:46" x14ac:dyDescent="0.25">
      <c r="B1027" s="44"/>
      <c r="D1027" s="349"/>
      <c r="E1027" s="33"/>
      <c r="F1027" s="33"/>
      <c r="G1027" s="33"/>
      <c r="H1027" s="33"/>
      <c r="I1027" s="33"/>
      <c r="J1027" s="33"/>
      <c r="K1027" s="33"/>
      <c r="L1027" s="561"/>
      <c r="M1027" s="33"/>
      <c r="N1027" s="33"/>
      <c r="O1027" s="33"/>
      <c r="P1027" s="184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44"/>
      <c r="AP1027" s="37"/>
      <c r="AQ1027" s="44"/>
      <c r="AR1027" s="57"/>
      <c r="AS1027" s="56">
        <f>Tabela4[[#This Row],[Total R$]]-Tabela4[[#This Row],[Total Pago]]</f>
        <v>0</v>
      </c>
      <c r="AT1027" s="36"/>
    </row>
    <row r="1028" spans="2:46" x14ac:dyDescent="0.25">
      <c r="B1028" s="44"/>
      <c r="D1028" s="349"/>
      <c r="E1028" s="33"/>
      <c r="F1028" s="33"/>
      <c r="G1028" s="33"/>
      <c r="H1028" s="33"/>
      <c r="I1028" s="33"/>
      <c r="J1028" s="33"/>
      <c r="K1028" s="33"/>
      <c r="L1028" s="561"/>
      <c r="M1028" s="33"/>
      <c r="N1028" s="33"/>
      <c r="O1028" s="33"/>
      <c r="P1028" s="184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44"/>
      <c r="AP1028" s="37"/>
      <c r="AQ1028" s="44"/>
      <c r="AR1028" s="57"/>
      <c r="AS1028" s="56">
        <f>Tabela4[[#This Row],[Total R$]]-Tabela4[[#This Row],[Total Pago]]</f>
        <v>0</v>
      </c>
      <c r="AT1028" s="36"/>
    </row>
    <row r="1029" spans="2:46" x14ac:dyDescent="0.25">
      <c r="B1029" s="44"/>
      <c r="D1029" s="349"/>
      <c r="E1029" s="33"/>
      <c r="F1029" s="33"/>
      <c r="G1029" s="33"/>
      <c r="H1029" s="33"/>
      <c r="I1029" s="33"/>
      <c r="J1029" s="33"/>
      <c r="K1029" s="33"/>
      <c r="L1029" s="561"/>
      <c r="M1029" s="33"/>
      <c r="N1029" s="33"/>
      <c r="O1029" s="33"/>
      <c r="P1029" s="184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44"/>
      <c r="AP1029" s="37"/>
      <c r="AQ1029" s="44"/>
      <c r="AR1029" s="57"/>
      <c r="AS1029" s="56">
        <f>Tabela4[[#This Row],[Total R$]]-Tabela4[[#This Row],[Total Pago]]</f>
        <v>0</v>
      </c>
      <c r="AT1029" s="36"/>
    </row>
    <row r="1030" spans="2:46" x14ac:dyDescent="0.25">
      <c r="B1030" s="44"/>
      <c r="D1030" s="349"/>
      <c r="E1030" s="33"/>
      <c r="F1030" s="33"/>
      <c r="G1030" s="33"/>
      <c r="H1030" s="33"/>
      <c r="I1030" s="33"/>
      <c r="J1030" s="33"/>
      <c r="K1030" s="33"/>
      <c r="L1030" s="561"/>
      <c r="M1030" s="33"/>
      <c r="N1030" s="33"/>
      <c r="O1030" s="33"/>
      <c r="P1030" s="184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44"/>
      <c r="AP1030" s="37"/>
      <c r="AQ1030" s="44"/>
      <c r="AR1030" s="57"/>
      <c r="AS1030" s="56">
        <f>Tabela4[[#This Row],[Total R$]]-Tabela4[[#This Row],[Total Pago]]</f>
        <v>0</v>
      </c>
      <c r="AT1030" s="36"/>
    </row>
    <row r="1031" spans="2:46" x14ac:dyDescent="0.25">
      <c r="B1031" s="44"/>
      <c r="D1031" s="349"/>
      <c r="E1031" s="33"/>
      <c r="F1031" s="33"/>
      <c r="G1031" s="33"/>
      <c r="H1031" s="33"/>
      <c r="I1031" s="33"/>
      <c r="J1031" s="33"/>
      <c r="K1031" s="33"/>
      <c r="L1031" s="561"/>
      <c r="M1031" s="33"/>
      <c r="N1031" s="33"/>
      <c r="O1031" s="33"/>
      <c r="P1031" s="184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44"/>
      <c r="AP1031" s="37"/>
      <c r="AQ1031" s="44"/>
      <c r="AR1031" s="57"/>
      <c r="AS1031" s="56">
        <f>Tabela4[[#This Row],[Total R$]]-Tabela4[[#This Row],[Total Pago]]</f>
        <v>0</v>
      </c>
      <c r="AT1031" s="36"/>
    </row>
    <row r="1032" spans="2:46" x14ac:dyDescent="0.25">
      <c r="B1032" s="44"/>
      <c r="D1032" s="349"/>
      <c r="E1032" s="33"/>
      <c r="F1032" s="33"/>
      <c r="G1032" s="33"/>
      <c r="H1032" s="33"/>
      <c r="I1032" s="33"/>
      <c r="J1032" s="33"/>
      <c r="K1032" s="33"/>
      <c r="L1032" s="561"/>
      <c r="M1032" s="33"/>
      <c r="N1032" s="33"/>
      <c r="O1032" s="33"/>
      <c r="P1032" s="184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44"/>
      <c r="AP1032" s="37"/>
      <c r="AQ1032" s="44"/>
      <c r="AR1032" s="57"/>
      <c r="AS1032" s="56">
        <f>Tabela4[[#This Row],[Total R$]]-Tabela4[[#This Row],[Total Pago]]</f>
        <v>0</v>
      </c>
      <c r="AT1032" s="36"/>
    </row>
    <row r="1033" spans="2:46" x14ac:dyDescent="0.25">
      <c r="B1033" s="44"/>
      <c r="D1033" s="349"/>
      <c r="E1033" s="33"/>
      <c r="F1033" s="33"/>
      <c r="G1033" s="33"/>
      <c r="H1033" s="33"/>
      <c r="I1033" s="33"/>
      <c r="J1033" s="33"/>
      <c r="K1033" s="33"/>
      <c r="L1033" s="561"/>
      <c r="M1033" s="33"/>
      <c r="N1033" s="33"/>
      <c r="O1033" s="33"/>
      <c r="P1033" s="184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44"/>
      <c r="AP1033" s="37"/>
      <c r="AQ1033" s="44"/>
      <c r="AR1033" s="57"/>
      <c r="AS1033" s="56">
        <f>Tabela4[[#This Row],[Total R$]]-Tabela4[[#This Row],[Total Pago]]</f>
        <v>0</v>
      </c>
      <c r="AT1033" s="36"/>
    </row>
    <row r="1034" spans="2:46" x14ac:dyDescent="0.25">
      <c r="B1034" s="44"/>
      <c r="D1034" s="349"/>
      <c r="E1034" s="33"/>
      <c r="F1034" s="33"/>
      <c r="G1034" s="33"/>
      <c r="H1034" s="33"/>
      <c r="I1034" s="33"/>
      <c r="J1034" s="33"/>
      <c r="K1034" s="33"/>
      <c r="L1034" s="561"/>
      <c r="M1034" s="33"/>
      <c r="N1034" s="33"/>
      <c r="O1034" s="33"/>
      <c r="P1034" s="184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44"/>
      <c r="AP1034" s="37"/>
      <c r="AQ1034" s="44"/>
      <c r="AR1034" s="57"/>
      <c r="AS1034" s="56">
        <f>Tabela4[[#This Row],[Total R$]]-Tabela4[[#This Row],[Total Pago]]</f>
        <v>0</v>
      </c>
      <c r="AT1034" s="36"/>
    </row>
    <row r="1035" spans="2:46" x14ac:dyDescent="0.25">
      <c r="B1035" s="44"/>
      <c r="D1035" s="349"/>
      <c r="E1035" s="33"/>
      <c r="F1035" s="33"/>
      <c r="G1035" s="33"/>
      <c r="H1035" s="33"/>
      <c r="I1035" s="33"/>
      <c r="J1035" s="33"/>
      <c r="K1035" s="33"/>
      <c r="L1035" s="561"/>
      <c r="M1035" s="33"/>
      <c r="N1035" s="33"/>
      <c r="O1035" s="33"/>
      <c r="P1035" s="184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44"/>
      <c r="AP1035" s="37"/>
      <c r="AQ1035" s="44"/>
      <c r="AR1035" s="57"/>
      <c r="AS1035" s="56">
        <f>Tabela4[[#This Row],[Total R$]]-Tabela4[[#This Row],[Total Pago]]</f>
        <v>0</v>
      </c>
      <c r="AT1035" s="36"/>
    </row>
    <row r="1036" spans="2:46" x14ac:dyDescent="0.25">
      <c r="B1036" s="44"/>
      <c r="D1036" s="349"/>
      <c r="E1036" s="33"/>
      <c r="F1036" s="33"/>
      <c r="G1036" s="33"/>
      <c r="H1036" s="33"/>
      <c r="I1036" s="33"/>
      <c r="J1036" s="33"/>
      <c r="K1036" s="33"/>
      <c r="L1036" s="561"/>
      <c r="M1036" s="33"/>
      <c r="N1036" s="33"/>
      <c r="O1036" s="33"/>
      <c r="P1036" s="184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44"/>
      <c r="AP1036" s="37"/>
      <c r="AQ1036" s="44"/>
      <c r="AR1036" s="57"/>
      <c r="AS1036" s="56">
        <f>Tabela4[[#This Row],[Total R$]]-Tabela4[[#This Row],[Total Pago]]</f>
        <v>0</v>
      </c>
      <c r="AT1036" s="36"/>
    </row>
    <row r="1037" spans="2:46" x14ac:dyDescent="0.25">
      <c r="B1037" s="44"/>
      <c r="D1037" s="349"/>
      <c r="E1037" s="33"/>
      <c r="F1037" s="33"/>
      <c r="G1037" s="33"/>
      <c r="H1037" s="33"/>
      <c r="I1037" s="33"/>
      <c r="J1037" s="33"/>
      <c r="K1037" s="33"/>
      <c r="L1037" s="561"/>
      <c r="M1037" s="33"/>
      <c r="N1037" s="33"/>
      <c r="O1037" s="33"/>
      <c r="P1037" s="184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44"/>
      <c r="AP1037" s="37"/>
      <c r="AQ1037" s="44"/>
      <c r="AR1037" s="57"/>
      <c r="AS1037" s="56">
        <f>Tabela4[[#This Row],[Total R$]]-Tabela4[[#This Row],[Total Pago]]</f>
        <v>0</v>
      </c>
      <c r="AT1037" s="36"/>
    </row>
    <row r="1038" spans="2:46" x14ac:dyDescent="0.25">
      <c r="B1038" s="44"/>
      <c r="D1038" s="349"/>
      <c r="E1038" s="33"/>
      <c r="F1038" s="33"/>
      <c r="G1038" s="33"/>
      <c r="H1038" s="33"/>
      <c r="I1038" s="33"/>
      <c r="J1038" s="33"/>
      <c r="K1038" s="33"/>
      <c r="L1038" s="561"/>
      <c r="M1038" s="33"/>
      <c r="N1038" s="33"/>
      <c r="O1038" s="33"/>
      <c r="P1038" s="184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44"/>
      <c r="AP1038" s="37"/>
      <c r="AQ1038" s="44"/>
      <c r="AR1038" s="57"/>
      <c r="AS1038" s="56">
        <f>Tabela4[[#This Row],[Total R$]]-Tabela4[[#This Row],[Total Pago]]</f>
        <v>0</v>
      </c>
      <c r="AT1038" s="36"/>
    </row>
    <row r="1039" spans="2:46" x14ac:dyDescent="0.25">
      <c r="B1039" s="44"/>
      <c r="D1039" s="349"/>
      <c r="E1039" s="33"/>
      <c r="F1039" s="33"/>
      <c r="G1039" s="33"/>
      <c r="H1039" s="33"/>
      <c r="I1039" s="33"/>
      <c r="J1039" s="33"/>
      <c r="K1039" s="33"/>
      <c r="L1039" s="561"/>
      <c r="M1039" s="33"/>
      <c r="N1039" s="33"/>
      <c r="O1039" s="33"/>
      <c r="P1039" s="184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44"/>
      <c r="AP1039" s="37"/>
      <c r="AQ1039" s="44"/>
      <c r="AR1039" s="57"/>
      <c r="AS1039" s="56">
        <f>Tabela4[[#This Row],[Total R$]]-Tabela4[[#This Row],[Total Pago]]</f>
        <v>0</v>
      </c>
      <c r="AT1039" s="36"/>
    </row>
    <row r="1040" spans="2:46" x14ac:dyDescent="0.25">
      <c r="B1040" s="44"/>
      <c r="D1040" s="349"/>
      <c r="E1040" s="33"/>
      <c r="F1040" s="33"/>
      <c r="G1040" s="33"/>
      <c r="H1040" s="33"/>
      <c r="I1040" s="33"/>
      <c r="J1040" s="33"/>
      <c r="K1040" s="33"/>
      <c r="L1040" s="561"/>
      <c r="M1040" s="33"/>
      <c r="N1040" s="33"/>
      <c r="O1040" s="33"/>
      <c r="P1040" s="184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44"/>
      <c r="AP1040" s="37"/>
      <c r="AQ1040" s="44"/>
      <c r="AR1040" s="57"/>
      <c r="AS1040" s="56">
        <f>Tabela4[[#This Row],[Total R$]]-Tabela4[[#This Row],[Total Pago]]</f>
        <v>0</v>
      </c>
      <c r="AT1040" s="36"/>
    </row>
    <row r="1041" spans="2:46" x14ac:dyDescent="0.25">
      <c r="B1041" s="44"/>
      <c r="D1041" s="349"/>
      <c r="E1041" s="33"/>
      <c r="F1041" s="33"/>
      <c r="G1041" s="33"/>
      <c r="H1041" s="33"/>
      <c r="I1041" s="33"/>
      <c r="J1041" s="33"/>
      <c r="K1041" s="33"/>
      <c r="L1041" s="561"/>
      <c r="M1041" s="33"/>
      <c r="N1041" s="33"/>
      <c r="O1041" s="33"/>
      <c r="P1041" s="184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44"/>
      <c r="AP1041" s="37"/>
      <c r="AQ1041" s="44"/>
      <c r="AR1041" s="57"/>
      <c r="AS1041" s="56">
        <f>Tabela4[[#This Row],[Total R$]]-Tabela4[[#This Row],[Total Pago]]</f>
        <v>0</v>
      </c>
      <c r="AT1041" s="36"/>
    </row>
    <row r="1042" spans="2:46" x14ac:dyDescent="0.25">
      <c r="B1042" s="44"/>
      <c r="D1042" s="349"/>
      <c r="E1042" s="33"/>
      <c r="F1042" s="33"/>
      <c r="G1042" s="33"/>
      <c r="H1042" s="33"/>
      <c r="I1042" s="33"/>
      <c r="J1042" s="33"/>
      <c r="K1042" s="33"/>
      <c r="L1042" s="561"/>
      <c r="M1042" s="33"/>
      <c r="N1042" s="33"/>
      <c r="O1042" s="33"/>
      <c r="P1042" s="184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44"/>
      <c r="AP1042" s="37"/>
      <c r="AQ1042" s="44"/>
      <c r="AR1042" s="57"/>
      <c r="AS1042" s="56">
        <f>Tabela4[[#This Row],[Total R$]]-Tabela4[[#This Row],[Total Pago]]</f>
        <v>0</v>
      </c>
      <c r="AT1042" s="36"/>
    </row>
    <row r="1043" spans="2:46" x14ac:dyDescent="0.25">
      <c r="B1043" s="44"/>
      <c r="D1043" s="349"/>
      <c r="E1043" s="33"/>
      <c r="F1043" s="33"/>
      <c r="G1043" s="33"/>
      <c r="H1043" s="33"/>
      <c r="I1043" s="33"/>
      <c r="J1043" s="33"/>
      <c r="K1043" s="33"/>
      <c r="L1043" s="561"/>
      <c r="M1043" s="33"/>
      <c r="N1043" s="33"/>
      <c r="O1043" s="33"/>
      <c r="P1043" s="184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44"/>
      <c r="AP1043" s="37"/>
      <c r="AQ1043" s="44"/>
      <c r="AR1043" s="57"/>
      <c r="AS1043" s="56">
        <f>Tabela4[[#This Row],[Total R$]]-Tabela4[[#This Row],[Total Pago]]</f>
        <v>0</v>
      </c>
      <c r="AT1043" s="36"/>
    </row>
    <row r="1044" spans="2:46" x14ac:dyDescent="0.25">
      <c r="B1044" s="44"/>
      <c r="D1044" s="349"/>
      <c r="E1044" s="33"/>
      <c r="F1044" s="33"/>
      <c r="G1044" s="33"/>
      <c r="H1044" s="33"/>
      <c r="I1044" s="33"/>
      <c r="J1044" s="33"/>
      <c r="K1044" s="33"/>
      <c r="L1044" s="561"/>
      <c r="M1044" s="33"/>
      <c r="N1044" s="33"/>
      <c r="O1044" s="33"/>
      <c r="P1044" s="184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44"/>
      <c r="AP1044" s="37"/>
      <c r="AQ1044" s="44"/>
      <c r="AR1044" s="57"/>
      <c r="AS1044" s="56">
        <f>Tabela4[[#This Row],[Total R$]]-Tabela4[[#This Row],[Total Pago]]</f>
        <v>0</v>
      </c>
      <c r="AT1044" s="36"/>
    </row>
    <row r="1045" spans="2:46" x14ac:dyDescent="0.25">
      <c r="B1045" s="44"/>
      <c r="D1045" s="349"/>
      <c r="E1045" s="33"/>
      <c r="F1045" s="33"/>
      <c r="G1045" s="33"/>
      <c r="H1045" s="33"/>
      <c r="I1045" s="33"/>
      <c r="J1045" s="33"/>
      <c r="K1045" s="33"/>
      <c r="L1045" s="561"/>
      <c r="M1045" s="33"/>
      <c r="N1045" s="33"/>
      <c r="O1045" s="33"/>
      <c r="P1045" s="184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44"/>
      <c r="AP1045" s="37"/>
      <c r="AQ1045" s="44"/>
      <c r="AR1045" s="57"/>
      <c r="AS1045" s="56">
        <f>Tabela4[[#This Row],[Total R$]]-Tabela4[[#This Row],[Total Pago]]</f>
        <v>0</v>
      </c>
      <c r="AT1045" s="36"/>
    </row>
    <row r="1046" spans="2:46" x14ac:dyDescent="0.25">
      <c r="B1046" s="44"/>
      <c r="D1046" s="349"/>
      <c r="E1046" s="33"/>
      <c r="F1046" s="33"/>
      <c r="G1046" s="33"/>
      <c r="H1046" s="33"/>
      <c r="I1046" s="33"/>
      <c r="J1046" s="33"/>
      <c r="K1046" s="33"/>
      <c r="L1046" s="561"/>
      <c r="M1046" s="33"/>
      <c r="N1046" s="33"/>
      <c r="O1046" s="33"/>
      <c r="P1046" s="184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44"/>
      <c r="AP1046" s="37"/>
      <c r="AQ1046" s="44"/>
      <c r="AR1046" s="57"/>
      <c r="AS1046" s="56">
        <f>Tabela4[[#This Row],[Total R$]]-Tabela4[[#This Row],[Total Pago]]</f>
        <v>0</v>
      </c>
      <c r="AT1046" s="36"/>
    </row>
    <row r="1047" spans="2:46" x14ac:dyDescent="0.25">
      <c r="B1047" s="44"/>
      <c r="D1047" s="349"/>
      <c r="E1047" s="33"/>
      <c r="F1047" s="33"/>
      <c r="G1047" s="33"/>
      <c r="H1047" s="33"/>
      <c r="I1047" s="33"/>
      <c r="J1047" s="33"/>
      <c r="K1047" s="33"/>
      <c r="L1047" s="561"/>
      <c r="M1047" s="33"/>
      <c r="N1047" s="33"/>
      <c r="O1047" s="33"/>
      <c r="P1047" s="184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44"/>
      <c r="AP1047" s="37"/>
      <c r="AQ1047" s="44"/>
      <c r="AR1047" s="57"/>
      <c r="AS1047" s="56">
        <f>Tabela4[[#This Row],[Total R$]]-Tabela4[[#This Row],[Total Pago]]</f>
        <v>0</v>
      </c>
      <c r="AT1047" s="36"/>
    </row>
    <row r="1048" spans="2:46" x14ac:dyDescent="0.25">
      <c r="B1048" s="44"/>
      <c r="D1048" s="349"/>
      <c r="E1048" s="33"/>
      <c r="F1048" s="33"/>
      <c r="G1048" s="33"/>
      <c r="H1048" s="33"/>
      <c r="I1048" s="33"/>
      <c r="J1048" s="33"/>
      <c r="K1048" s="33"/>
      <c r="L1048" s="561"/>
      <c r="M1048" s="33"/>
      <c r="N1048" s="33"/>
      <c r="O1048" s="33"/>
      <c r="P1048" s="184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44"/>
      <c r="AP1048" s="37"/>
      <c r="AQ1048" s="44"/>
      <c r="AR1048" s="57"/>
      <c r="AS1048" s="56">
        <f>Tabela4[[#This Row],[Total R$]]-Tabela4[[#This Row],[Total Pago]]</f>
        <v>0</v>
      </c>
      <c r="AT1048" s="36"/>
    </row>
    <row r="1049" spans="2:46" x14ac:dyDescent="0.25">
      <c r="B1049" s="44"/>
      <c r="D1049" s="349"/>
      <c r="E1049" s="33"/>
      <c r="F1049" s="33"/>
      <c r="G1049" s="33"/>
      <c r="H1049" s="33"/>
      <c r="I1049" s="33"/>
      <c r="J1049" s="33"/>
      <c r="K1049" s="33"/>
      <c r="L1049" s="561"/>
      <c r="M1049" s="33"/>
      <c r="N1049" s="33"/>
      <c r="O1049" s="33"/>
      <c r="P1049" s="184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44"/>
      <c r="AP1049" s="37"/>
      <c r="AQ1049" s="44"/>
      <c r="AR1049" s="57"/>
      <c r="AS1049" s="56">
        <f>Tabela4[[#This Row],[Total R$]]-Tabela4[[#This Row],[Total Pago]]</f>
        <v>0</v>
      </c>
      <c r="AT1049" s="36"/>
    </row>
    <row r="1050" spans="2:46" x14ac:dyDescent="0.25">
      <c r="B1050" s="44"/>
      <c r="D1050" s="349"/>
      <c r="E1050" s="33"/>
      <c r="F1050" s="33"/>
      <c r="G1050" s="33"/>
      <c r="H1050" s="33"/>
      <c r="I1050" s="33"/>
      <c r="J1050" s="33"/>
      <c r="K1050" s="33"/>
      <c r="L1050" s="561"/>
      <c r="M1050" s="33"/>
      <c r="N1050" s="33"/>
      <c r="O1050" s="33"/>
      <c r="P1050" s="184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44"/>
      <c r="AP1050" s="37"/>
      <c r="AQ1050" s="309"/>
      <c r="AR1050" s="57"/>
      <c r="AS1050" s="56">
        <f>Tabela4[[#This Row],[Total R$]]-Tabela4[[#This Row],[Total Pago]]</f>
        <v>0</v>
      </c>
      <c r="AT1050" s="36"/>
    </row>
    <row r="1051" spans="2:46" x14ac:dyDescent="0.25">
      <c r="B1051" s="44"/>
      <c r="D1051" s="349"/>
      <c r="E1051" s="33"/>
      <c r="F1051" s="33"/>
      <c r="G1051" s="33"/>
      <c r="H1051" s="33"/>
      <c r="I1051" s="33"/>
      <c r="J1051" s="33"/>
      <c r="K1051" s="33"/>
      <c r="L1051" s="561"/>
      <c r="M1051" s="33"/>
      <c r="N1051" s="33"/>
      <c r="O1051" s="33"/>
      <c r="P1051" s="184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44"/>
      <c r="AP1051" s="37"/>
      <c r="AQ1051" s="309"/>
      <c r="AR1051" s="57"/>
      <c r="AS1051" s="56">
        <f>Tabela4[[#This Row],[Total R$]]-Tabela4[[#This Row],[Total Pago]]</f>
        <v>0</v>
      </c>
      <c r="AT1051" s="36"/>
    </row>
    <row r="1052" spans="2:46" x14ac:dyDescent="0.25">
      <c r="B1052" s="44"/>
      <c r="D1052" s="349"/>
      <c r="E1052" s="33"/>
      <c r="F1052" s="33"/>
      <c r="G1052" s="33"/>
      <c r="H1052" s="33"/>
      <c r="I1052" s="33"/>
      <c r="J1052" s="33"/>
      <c r="K1052" s="33"/>
      <c r="L1052" s="561"/>
      <c r="M1052" s="33"/>
      <c r="N1052" s="33"/>
      <c r="O1052" s="33"/>
      <c r="P1052" s="184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44"/>
      <c r="AP1052" s="37"/>
      <c r="AQ1052" s="44"/>
      <c r="AR1052" s="57"/>
      <c r="AS1052" s="56">
        <f>Tabela4[[#This Row],[Total R$]]-Tabela4[[#This Row],[Total Pago]]</f>
        <v>0</v>
      </c>
      <c r="AT1052" s="36"/>
    </row>
    <row r="1053" spans="2:46" x14ac:dyDescent="0.25">
      <c r="B1053" s="44"/>
      <c r="D1053" s="349"/>
      <c r="E1053" s="33"/>
      <c r="F1053" s="33"/>
      <c r="G1053" s="33"/>
      <c r="H1053" s="33"/>
      <c r="I1053" s="33"/>
      <c r="J1053" s="33"/>
      <c r="K1053" s="33"/>
      <c r="L1053" s="561"/>
      <c r="M1053" s="33"/>
      <c r="N1053" s="33"/>
      <c r="O1053" s="33"/>
      <c r="P1053" s="184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44"/>
      <c r="AP1053" s="37"/>
      <c r="AQ1053" s="44"/>
      <c r="AR1053" s="57"/>
      <c r="AS1053" s="56">
        <f>Tabela4[[#This Row],[Total R$]]-Tabela4[[#This Row],[Total Pago]]</f>
        <v>0</v>
      </c>
      <c r="AT1053" s="36"/>
    </row>
    <row r="1054" spans="2:46" x14ac:dyDescent="0.25">
      <c r="B1054" s="44"/>
      <c r="D1054" s="349"/>
      <c r="E1054" s="33"/>
      <c r="F1054" s="33"/>
      <c r="G1054" s="33"/>
      <c r="H1054" s="33"/>
      <c r="I1054" s="33"/>
      <c r="J1054" s="33"/>
      <c r="K1054" s="33"/>
      <c r="L1054" s="561"/>
      <c r="M1054" s="33"/>
      <c r="N1054" s="33"/>
      <c r="O1054" s="33"/>
      <c r="P1054" s="184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44"/>
      <c r="AP1054" s="37"/>
      <c r="AQ1054" s="44"/>
      <c r="AR1054" s="57"/>
      <c r="AS1054" s="56">
        <f>Tabela4[[#This Row],[Total R$]]-Tabela4[[#This Row],[Total Pago]]</f>
        <v>0</v>
      </c>
      <c r="AT1054" s="36"/>
    </row>
    <row r="1055" spans="2:46" x14ac:dyDescent="0.25">
      <c r="B1055" s="44"/>
      <c r="D1055" s="349"/>
      <c r="E1055" s="33"/>
      <c r="F1055" s="33"/>
      <c r="G1055" s="33"/>
      <c r="H1055" s="33"/>
      <c r="I1055" s="33"/>
      <c r="J1055" s="33"/>
      <c r="K1055" s="33"/>
      <c r="L1055" s="561"/>
      <c r="M1055" s="33"/>
      <c r="N1055" s="33"/>
      <c r="O1055" s="33"/>
      <c r="P1055" s="184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44"/>
      <c r="AP1055" s="37"/>
      <c r="AQ1055" s="44"/>
      <c r="AR1055" s="57"/>
      <c r="AS1055" s="56">
        <f>Tabela4[[#This Row],[Total R$]]-Tabela4[[#This Row],[Total Pago]]</f>
        <v>0</v>
      </c>
      <c r="AT1055" s="36"/>
    </row>
    <row r="1056" spans="2:46" x14ac:dyDescent="0.25">
      <c r="B1056" s="44"/>
      <c r="D1056" s="349"/>
      <c r="E1056" s="33"/>
      <c r="F1056" s="33"/>
      <c r="G1056" s="33"/>
      <c r="H1056" s="33"/>
      <c r="I1056" s="33"/>
      <c r="J1056" s="33"/>
      <c r="K1056" s="33"/>
      <c r="L1056" s="561"/>
      <c r="M1056" s="33"/>
      <c r="N1056" s="33"/>
      <c r="O1056" s="33"/>
      <c r="P1056" s="184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44"/>
      <c r="AP1056" s="37"/>
      <c r="AQ1056" s="44"/>
      <c r="AR1056" s="57"/>
      <c r="AS1056" s="56">
        <f>Tabela4[[#This Row],[Total R$]]-Tabela4[[#This Row],[Total Pago]]</f>
        <v>0</v>
      </c>
      <c r="AT1056" s="36"/>
    </row>
    <row r="1057" spans="2:46" x14ac:dyDescent="0.25">
      <c r="B1057" s="44"/>
      <c r="D1057" s="349"/>
      <c r="E1057" s="33"/>
      <c r="F1057" s="33"/>
      <c r="G1057" s="33"/>
      <c r="H1057" s="33"/>
      <c r="I1057" s="33"/>
      <c r="J1057" s="33"/>
      <c r="K1057" s="33"/>
      <c r="L1057" s="561"/>
      <c r="M1057" s="33"/>
      <c r="N1057" s="33"/>
      <c r="O1057" s="33"/>
      <c r="P1057" s="184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44"/>
      <c r="AP1057" s="37"/>
      <c r="AQ1057" s="44"/>
      <c r="AR1057" s="57"/>
      <c r="AS1057" s="56">
        <f>Tabela4[[#This Row],[Total R$]]-Tabela4[[#This Row],[Total Pago]]</f>
        <v>0</v>
      </c>
      <c r="AT1057" s="36"/>
    </row>
    <row r="1058" spans="2:46" x14ac:dyDescent="0.25">
      <c r="B1058" s="44"/>
      <c r="D1058" s="349"/>
      <c r="E1058" s="33"/>
      <c r="F1058" s="33"/>
      <c r="G1058" s="33"/>
      <c r="H1058" s="33"/>
      <c r="I1058" s="33"/>
      <c r="J1058" s="33"/>
      <c r="K1058" s="33"/>
      <c r="L1058" s="561"/>
      <c r="M1058" s="33"/>
      <c r="N1058" s="33"/>
      <c r="O1058" s="33"/>
      <c r="P1058" s="184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44"/>
      <c r="AP1058" s="37"/>
      <c r="AQ1058" s="44"/>
      <c r="AR1058" s="57"/>
      <c r="AS1058" s="56">
        <f>Tabela4[[#This Row],[Total R$]]-Tabela4[[#This Row],[Total Pago]]</f>
        <v>0</v>
      </c>
      <c r="AT1058" s="36"/>
    </row>
    <row r="1059" spans="2:46" x14ac:dyDescent="0.25">
      <c r="B1059" s="44"/>
      <c r="D1059" s="349"/>
      <c r="E1059" s="33"/>
      <c r="F1059" s="33"/>
      <c r="G1059" s="33"/>
      <c r="H1059" s="33"/>
      <c r="I1059" s="33"/>
      <c r="J1059" s="33"/>
      <c r="K1059" s="33"/>
      <c r="L1059" s="561"/>
      <c r="M1059" s="33"/>
      <c r="N1059" s="33"/>
      <c r="O1059" s="33"/>
      <c r="P1059" s="184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44"/>
      <c r="AP1059" s="37"/>
      <c r="AQ1059" s="44"/>
      <c r="AR1059" s="57"/>
      <c r="AS1059" s="56">
        <f>Tabela4[[#This Row],[Total R$]]-Tabela4[[#This Row],[Total Pago]]</f>
        <v>0</v>
      </c>
      <c r="AT1059" s="36"/>
    </row>
    <row r="1060" spans="2:46" x14ac:dyDescent="0.25">
      <c r="B1060" s="44"/>
      <c r="D1060" s="349"/>
      <c r="E1060" s="33"/>
      <c r="F1060" s="33"/>
      <c r="G1060" s="33"/>
      <c r="H1060" s="33"/>
      <c r="I1060" s="33"/>
      <c r="J1060" s="33"/>
      <c r="K1060" s="33"/>
      <c r="L1060" s="561"/>
      <c r="M1060" s="33"/>
      <c r="N1060" s="33"/>
      <c r="O1060" s="33"/>
      <c r="P1060" s="184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44"/>
      <c r="AP1060" s="37"/>
      <c r="AQ1060" s="44"/>
      <c r="AR1060" s="57"/>
      <c r="AS1060" s="56">
        <f>Tabela4[[#This Row],[Total R$]]-Tabela4[[#This Row],[Total Pago]]</f>
        <v>0</v>
      </c>
      <c r="AT1060" s="36"/>
    </row>
    <row r="1061" spans="2:46" x14ac:dyDescent="0.25">
      <c r="B1061" s="44"/>
      <c r="D1061" s="349"/>
      <c r="E1061" s="33"/>
      <c r="F1061" s="33"/>
      <c r="G1061" s="33"/>
      <c r="H1061" s="33"/>
      <c r="I1061" s="33"/>
      <c r="J1061" s="33"/>
      <c r="K1061" s="33"/>
      <c r="L1061" s="561"/>
      <c r="M1061" s="33"/>
      <c r="N1061" s="33"/>
      <c r="O1061" s="33"/>
      <c r="P1061" s="184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44"/>
      <c r="AP1061" s="37"/>
      <c r="AQ1061" s="309"/>
      <c r="AR1061" s="57"/>
      <c r="AS1061" s="56">
        <f>Tabela4[[#This Row],[Total R$]]-Tabela4[[#This Row],[Total Pago]]</f>
        <v>0</v>
      </c>
      <c r="AT1061" s="36"/>
    </row>
    <row r="1062" spans="2:46" x14ac:dyDescent="0.25">
      <c r="B1062" s="44"/>
      <c r="D1062" s="349"/>
      <c r="E1062" s="33"/>
      <c r="F1062" s="33"/>
      <c r="G1062" s="33"/>
      <c r="H1062" s="33"/>
      <c r="I1062" s="33"/>
      <c r="J1062" s="33"/>
      <c r="K1062" s="33"/>
      <c r="L1062" s="561"/>
      <c r="M1062" s="33"/>
      <c r="N1062" s="33"/>
      <c r="O1062" s="33"/>
      <c r="P1062" s="184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44"/>
      <c r="AP1062" s="37"/>
      <c r="AQ1062" s="44"/>
      <c r="AR1062" s="57"/>
      <c r="AS1062" s="56">
        <f>Tabela4[[#This Row],[Total R$]]-Tabela4[[#This Row],[Total Pago]]</f>
        <v>0</v>
      </c>
      <c r="AT1062" s="36"/>
    </row>
    <row r="1063" spans="2:46" x14ac:dyDescent="0.25">
      <c r="B1063" s="44"/>
      <c r="D1063" s="349"/>
      <c r="E1063" s="33"/>
      <c r="F1063" s="33"/>
      <c r="G1063" s="33"/>
      <c r="H1063" s="33"/>
      <c r="I1063" s="33"/>
      <c r="J1063" s="33"/>
      <c r="K1063" s="33"/>
      <c r="L1063" s="561"/>
      <c r="M1063" s="33"/>
      <c r="N1063" s="33"/>
      <c r="O1063" s="33"/>
      <c r="P1063" s="184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44"/>
      <c r="AP1063" s="37"/>
      <c r="AQ1063" s="44"/>
      <c r="AR1063" s="57"/>
      <c r="AS1063" s="56">
        <f>Tabela4[[#This Row],[Total R$]]-Tabela4[[#This Row],[Total Pago]]</f>
        <v>0</v>
      </c>
      <c r="AT1063" s="36"/>
    </row>
    <row r="1064" spans="2:46" x14ac:dyDescent="0.25">
      <c r="B1064" s="44"/>
      <c r="D1064" s="349"/>
      <c r="E1064" s="33"/>
      <c r="F1064" s="33"/>
      <c r="G1064" s="33"/>
      <c r="H1064" s="33"/>
      <c r="I1064" s="33"/>
      <c r="J1064" s="33"/>
      <c r="K1064" s="33"/>
      <c r="L1064" s="561"/>
      <c r="M1064" s="33"/>
      <c r="N1064" s="33"/>
      <c r="O1064" s="33"/>
      <c r="P1064" s="184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44"/>
      <c r="AP1064" s="37"/>
      <c r="AQ1064" s="44"/>
      <c r="AR1064" s="57"/>
      <c r="AS1064" s="56">
        <f>Tabela4[[#This Row],[Total R$]]-Tabela4[[#This Row],[Total Pago]]</f>
        <v>0</v>
      </c>
      <c r="AT1064" s="36"/>
    </row>
    <row r="1065" spans="2:46" x14ac:dyDescent="0.25">
      <c r="B1065" s="44"/>
      <c r="D1065" s="349"/>
      <c r="E1065" s="33"/>
      <c r="F1065" s="33"/>
      <c r="G1065" s="33"/>
      <c r="H1065" s="33"/>
      <c r="I1065" s="33"/>
      <c r="J1065" s="33"/>
      <c r="K1065" s="33"/>
      <c r="L1065" s="561"/>
      <c r="M1065" s="33"/>
      <c r="N1065" s="33"/>
      <c r="O1065" s="33"/>
      <c r="P1065" s="184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44"/>
      <c r="AP1065" s="37"/>
      <c r="AQ1065" s="44"/>
      <c r="AR1065" s="57"/>
      <c r="AS1065" s="56">
        <f>Tabela4[[#This Row],[Total R$]]-Tabela4[[#This Row],[Total Pago]]</f>
        <v>0</v>
      </c>
      <c r="AT1065" s="36"/>
    </row>
    <row r="1066" spans="2:46" x14ac:dyDescent="0.25">
      <c r="B1066" s="44"/>
      <c r="D1066" s="349"/>
      <c r="E1066" s="33"/>
      <c r="F1066" s="33"/>
      <c r="G1066" s="33"/>
      <c r="H1066" s="33"/>
      <c r="I1066" s="33"/>
      <c r="J1066" s="33"/>
      <c r="K1066" s="33"/>
      <c r="L1066" s="561"/>
      <c r="M1066" s="33"/>
      <c r="N1066" s="33"/>
      <c r="O1066" s="33"/>
      <c r="P1066" s="184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44"/>
      <c r="AP1066" s="37"/>
      <c r="AQ1066" s="309"/>
      <c r="AR1066" s="57"/>
      <c r="AS1066" s="56">
        <f>Tabela4[[#This Row],[Total R$]]-Tabela4[[#This Row],[Total Pago]]</f>
        <v>0</v>
      </c>
      <c r="AT1066" s="36"/>
    </row>
    <row r="1067" spans="2:46" x14ac:dyDescent="0.25">
      <c r="B1067" s="44"/>
      <c r="D1067" s="349"/>
      <c r="E1067" s="33"/>
      <c r="F1067" s="33"/>
      <c r="G1067" s="33"/>
      <c r="H1067" s="33"/>
      <c r="I1067" s="33"/>
      <c r="J1067" s="33"/>
      <c r="K1067" s="33"/>
      <c r="L1067" s="561"/>
      <c r="M1067" s="33"/>
      <c r="N1067" s="33"/>
      <c r="O1067" s="33"/>
      <c r="P1067" s="184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44"/>
      <c r="AP1067" s="37"/>
      <c r="AQ1067" s="44"/>
      <c r="AR1067" s="57"/>
      <c r="AS1067" s="56">
        <f>Tabela4[[#This Row],[Total R$]]-Tabela4[[#This Row],[Total Pago]]</f>
        <v>0</v>
      </c>
      <c r="AT1067" s="36"/>
    </row>
    <row r="1068" spans="2:46" x14ac:dyDescent="0.25">
      <c r="B1068" s="44"/>
      <c r="D1068" s="349"/>
      <c r="E1068" s="33"/>
      <c r="F1068" s="33"/>
      <c r="G1068" s="33"/>
      <c r="H1068" s="33"/>
      <c r="I1068" s="33"/>
      <c r="J1068" s="33"/>
      <c r="K1068" s="33"/>
      <c r="L1068" s="561"/>
      <c r="M1068" s="33"/>
      <c r="N1068" s="33"/>
      <c r="O1068" s="33"/>
      <c r="P1068" s="184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44"/>
      <c r="AP1068" s="37"/>
      <c r="AQ1068" s="309"/>
      <c r="AR1068" s="57"/>
      <c r="AS1068" s="56">
        <f>Tabela4[[#This Row],[Total R$]]-Tabela4[[#This Row],[Total Pago]]</f>
        <v>0</v>
      </c>
      <c r="AT1068" s="36"/>
    </row>
    <row r="1069" spans="2:46" x14ac:dyDescent="0.25">
      <c r="B1069" s="44"/>
      <c r="D1069" s="349"/>
      <c r="E1069" s="33"/>
      <c r="F1069" s="33"/>
      <c r="G1069" s="33"/>
      <c r="H1069" s="33"/>
      <c r="I1069" s="33"/>
      <c r="J1069" s="33"/>
      <c r="K1069" s="33"/>
      <c r="L1069" s="561"/>
      <c r="M1069" s="33"/>
      <c r="N1069" s="33"/>
      <c r="O1069" s="33"/>
      <c r="P1069" s="184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44"/>
      <c r="AP1069" s="37"/>
      <c r="AQ1069" s="309"/>
      <c r="AR1069" s="57"/>
      <c r="AS1069" s="56">
        <f>Tabela4[[#This Row],[Total R$]]-Tabela4[[#This Row],[Total Pago]]</f>
        <v>0</v>
      </c>
      <c r="AT1069" s="36"/>
    </row>
    <row r="1070" spans="2:46" x14ac:dyDescent="0.25">
      <c r="B1070" s="44"/>
      <c r="D1070" s="349"/>
      <c r="E1070" s="33"/>
      <c r="F1070" s="33"/>
      <c r="G1070" s="33"/>
      <c r="H1070" s="33"/>
      <c r="I1070" s="33"/>
      <c r="J1070" s="33"/>
      <c r="K1070" s="33"/>
      <c r="L1070" s="561"/>
      <c r="M1070" s="33"/>
      <c r="N1070" s="33"/>
      <c r="O1070" s="33"/>
      <c r="P1070" s="184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44"/>
      <c r="AP1070" s="37"/>
      <c r="AQ1070" s="309"/>
      <c r="AR1070" s="57"/>
      <c r="AS1070" s="56">
        <f>Tabela4[[#This Row],[Total R$]]-Tabela4[[#This Row],[Total Pago]]</f>
        <v>0</v>
      </c>
      <c r="AT1070" s="36"/>
    </row>
    <row r="1071" spans="2:46" x14ac:dyDescent="0.25">
      <c r="B1071" s="44"/>
      <c r="D1071" s="349"/>
      <c r="E1071" s="33"/>
      <c r="F1071" s="33"/>
      <c r="G1071" s="33"/>
      <c r="H1071" s="33"/>
      <c r="I1071" s="33"/>
      <c r="J1071" s="33"/>
      <c r="K1071" s="33"/>
      <c r="L1071" s="561"/>
      <c r="M1071" s="33"/>
      <c r="N1071" s="33"/>
      <c r="O1071" s="33"/>
      <c r="P1071" s="184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44"/>
      <c r="AP1071" s="37"/>
      <c r="AQ1071" s="309"/>
      <c r="AR1071" s="57"/>
      <c r="AS1071" s="56">
        <f>Tabela4[[#This Row],[Total R$]]-Tabela4[[#This Row],[Total Pago]]</f>
        <v>0</v>
      </c>
      <c r="AT1071" s="36"/>
    </row>
    <row r="1072" spans="2:46" x14ac:dyDescent="0.25">
      <c r="B1072" s="44"/>
      <c r="D1072" s="349"/>
      <c r="E1072" s="33"/>
      <c r="F1072" s="33"/>
      <c r="G1072" s="33"/>
      <c r="H1072" s="33"/>
      <c r="I1072" s="33"/>
      <c r="J1072" s="33"/>
      <c r="K1072" s="33"/>
      <c r="L1072" s="561"/>
      <c r="M1072" s="33"/>
      <c r="N1072" s="33"/>
      <c r="O1072" s="33"/>
      <c r="P1072" s="184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44"/>
      <c r="AP1072" s="37"/>
      <c r="AQ1072" s="309"/>
      <c r="AR1072" s="57"/>
      <c r="AS1072" s="56">
        <f>Tabela4[[#This Row],[Total R$]]-Tabela4[[#This Row],[Total Pago]]</f>
        <v>0</v>
      </c>
      <c r="AT1072" s="36"/>
    </row>
    <row r="1073" spans="2:46" x14ac:dyDescent="0.25">
      <c r="B1073" s="44"/>
      <c r="D1073" s="349"/>
      <c r="E1073" s="33"/>
      <c r="F1073" s="33"/>
      <c r="G1073" s="33"/>
      <c r="H1073" s="33"/>
      <c r="I1073" s="33"/>
      <c r="J1073" s="33"/>
      <c r="K1073" s="33"/>
      <c r="L1073" s="561"/>
      <c r="M1073" s="33"/>
      <c r="N1073" s="33"/>
      <c r="O1073" s="33"/>
      <c r="P1073" s="184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44"/>
      <c r="AP1073" s="37"/>
      <c r="AQ1073" s="309"/>
      <c r="AR1073" s="57"/>
      <c r="AS1073" s="56">
        <f>Tabela4[[#This Row],[Total R$]]-Tabela4[[#This Row],[Total Pago]]</f>
        <v>0</v>
      </c>
      <c r="AT1073" s="36"/>
    </row>
    <row r="1074" spans="2:46" x14ac:dyDescent="0.25">
      <c r="B1074" s="44"/>
      <c r="D1074" s="349"/>
      <c r="E1074" s="33"/>
      <c r="F1074" s="33"/>
      <c r="G1074" s="33"/>
      <c r="H1074" s="33"/>
      <c r="I1074" s="33"/>
      <c r="J1074" s="33"/>
      <c r="K1074" s="33"/>
      <c r="L1074" s="561"/>
      <c r="M1074" s="33"/>
      <c r="N1074" s="33"/>
      <c r="O1074" s="33"/>
      <c r="P1074" s="184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44"/>
      <c r="AP1074" s="37"/>
      <c r="AQ1074" s="309"/>
      <c r="AR1074" s="57"/>
      <c r="AS1074" s="56">
        <f>Tabela4[[#This Row],[Total R$]]-Tabela4[[#This Row],[Total Pago]]</f>
        <v>0</v>
      </c>
      <c r="AT1074" s="36"/>
    </row>
    <row r="1075" spans="2:46" x14ac:dyDescent="0.25">
      <c r="B1075" s="44"/>
      <c r="D1075" s="349"/>
      <c r="E1075" s="33"/>
      <c r="F1075" s="33"/>
      <c r="G1075" s="33"/>
      <c r="H1075" s="33"/>
      <c r="I1075" s="33"/>
      <c r="J1075" s="33"/>
      <c r="K1075" s="33"/>
      <c r="L1075" s="561"/>
      <c r="M1075" s="33"/>
      <c r="N1075" s="33"/>
      <c r="O1075" s="33"/>
      <c r="P1075" s="184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44"/>
      <c r="AP1075" s="37"/>
      <c r="AQ1075" s="309"/>
      <c r="AR1075" s="57"/>
      <c r="AS1075" s="56">
        <f>Tabela4[[#This Row],[Total R$]]-Tabela4[[#This Row],[Total Pago]]</f>
        <v>0</v>
      </c>
      <c r="AT1075" s="36"/>
    </row>
    <row r="1076" spans="2:46" x14ac:dyDescent="0.25">
      <c r="B1076" s="44"/>
      <c r="D1076" s="349"/>
      <c r="E1076" s="33"/>
      <c r="F1076" s="33"/>
      <c r="G1076" s="33"/>
      <c r="H1076" s="33"/>
      <c r="I1076" s="33"/>
      <c r="J1076" s="33"/>
      <c r="K1076" s="33"/>
      <c r="L1076" s="561"/>
      <c r="M1076" s="33"/>
      <c r="N1076" s="33"/>
      <c r="O1076" s="33"/>
      <c r="P1076" s="184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44"/>
      <c r="AP1076" s="37"/>
      <c r="AQ1076" s="309"/>
      <c r="AR1076" s="57"/>
      <c r="AS1076" s="56">
        <f>Tabela4[[#This Row],[Total R$]]-Tabela4[[#This Row],[Total Pago]]</f>
        <v>0</v>
      </c>
      <c r="AT1076" s="36"/>
    </row>
    <row r="1077" spans="2:46" x14ac:dyDescent="0.25">
      <c r="B1077" s="44"/>
      <c r="D1077" s="349"/>
      <c r="E1077" s="33"/>
      <c r="F1077" s="33"/>
      <c r="G1077" s="33"/>
      <c r="H1077" s="33"/>
      <c r="I1077" s="33"/>
      <c r="J1077" s="33"/>
      <c r="K1077" s="33"/>
      <c r="L1077" s="561"/>
      <c r="M1077" s="33"/>
      <c r="N1077" s="33"/>
      <c r="O1077" s="33"/>
      <c r="P1077" s="184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44"/>
      <c r="AP1077" s="37"/>
      <c r="AQ1077" s="309"/>
      <c r="AR1077" s="57"/>
      <c r="AS1077" s="56">
        <f>Tabela4[[#This Row],[Total R$]]-Tabela4[[#This Row],[Total Pago]]</f>
        <v>0</v>
      </c>
      <c r="AT1077" s="36"/>
    </row>
    <row r="1078" spans="2:46" x14ac:dyDescent="0.25">
      <c r="B1078" s="44"/>
      <c r="D1078" s="349"/>
      <c r="E1078" s="33"/>
      <c r="F1078" s="33"/>
      <c r="G1078" s="33"/>
      <c r="H1078" s="33"/>
      <c r="I1078" s="33"/>
      <c r="J1078" s="33"/>
      <c r="K1078" s="33"/>
      <c r="L1078" s="561"/>
      <c r="M1078" s="33"/>
      <c r="N1078" s="33"/>
      <c r="O1078" s="33"/>
      <c r="P1078" s="184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44"/>
      <c r="AP1078" s="37"/>
      <c r="AQ1078" s="309"/>
      <c r="AR1078" s="57"/>
      <c r="AS1078" s="56">
        <f>Tabela4[[#This Row],[Total R$]]-Tabela4[[#This Row],[Total Pago]]</f>
        <v>0</v>
      </c>
      <c r="AT1078" s="36"/>
    </row>
    <row r="1079" spans="2:46" x14ac:dyDescent="0.25">
      <c r="B1079" s="44"/>
      <c r="D1079" s="349"/>
      <c r="E1079" s="33"/>
      <c r="F1079" s="33"/>
      <c r="G1079" s="33"/>
      <c r="H1079" s="33"/>
      <c r="I1079" s="33"/>
      <c r="J1079" s="33"/>
      <c r="K1079" s="33"/>
      <c r="L1079" s="561"/>
      <c r="M1079" s="33"/>
      <c r="N1079" s="33"/>
      <c r="O1079" s="33"/>
      <c r="P1079" s="184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44"/>
      <c r="AP1079" s="37"/>
      <c r="AQ1079" s="309"/>
      <c r="AR1079" s="57"/>
      <c r="AS1079" s="56">
        <f>Tabela4[[#This Row],[Total R$]]-Tabela4[[#This Row],[Total Pago]]</f>
        <v>0</v>
      </c>
      <c r="AT1079" s="36"/>
    </row>
    <row r="1080" spans="2:46" x14ac:dyDescent="0.25">
      <c r="B1080" s="44"/>
      <c r="D1080" s="349"/>
      <c r="E1080" s="33"/>
      <c r="F1080" s="33"/>
      <c r="G1080" s="33"/>
      <c r="H1080" s="33"/>
      <c r="I1080" s="33"/>
      <c r="J1080" s="33"/>
      <c r="K1080" s="33"/>
      <c r="L1080" s="561"/>
      <c r="M1080" s="33"/>
      <c r="N1080" s="33"/>
      <c r="O1080" s="33"/>
      <c r="P1080" s="184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44"/>
      <c r="AP1080" s="37"/>
      <c r="AQ1080" s="309"/>
      <c r="AR1080" s="57"/>
      <c r="AS1080" s="56">
        <f>Tabela4[[#This Row],[Total R$]]-Tabela4[[#This Row],[Total Pago]]</f>
        <v>0</v>
      </c>
      <c r="AT1080" s="36"/>
    </row>
    <row r="1081" spans="2:46" x14ac:dyDescent="0.25">
      <c r="B1081" s="44"/>
      <c r="D1081" s="349"/>
      <c r="E1081" s="33"/>
      <c r="F1081" s="33"/>
      <c r="G1081" s="33"/>
      <c r="H1081" s="33"/>
      <c r="I1081" s="33"/>
      <c r="J1081" s="33"/>
      <c r="K1081" s="33"/>
      <c r="L1081" s="561"/>
      <c r="M1081" s="33"/>
      <c r="N1081" s="33"/>
      <c r="O1081" s="33"/>
      <c r="P1081" s="184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44"/>
      <c r="AP1081" s="37"/>
      <c r="AQ1081" s="309"/>
      <c r="AR1081" s="57"/>
      <c r="AS1081" s="56">
        <f>Tabela4[[#This Row],[Total R$]]-Tabela4[[#This Row],[Total Pago]]</f>
        <v>0</v>
      </c>
      <c r="AT1081" s="36"/>
    </row>
    <row r="1082" spans="2:46" x14ac:dyDescent="0.25">
      <c r="B1082" s="44"/>
      <c r="D1082" s="349"/>
      <c r="E1082" s="33"/>
      <c r="F1082" s="33"/>
      <c r="G1082" s="33"/>
      <c r="H1082" s="33"/>
      <c r="I1082" s="33"/>
      <c r="J1082" s="33"/>
      <c r="K1082" s="33"/>
      <c r="L1082" s="561"/>
      <c r="M1082" s="33"/>
      <c r="N1082" s="33"/>
      <c r="O1082" s="33"/>
      <c r="P1082" s="184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44"/>
      <c r="AP1082" s="37"/>
      <c r="AQ1082" s="309"/>
      <c r="AR1082" s="57"/>
      <c r="AS1082" s="56">
        <f>Tabela4[[#This Row],[Total R$]]-Tabela4[[#This Row],[Total Pago]]</f>
        <v>0</v>
      </c>
      <c r="AT1082" s="36"/>
    </row>
    <row r="1083" spans="2:46" x14ac:dyDescent="0.25">
      <c r="B1083" s="44"/>
      <c r="D1083" s="349"/>
      <c r="E1083" s="33"/>
      <c r="F1083" s="33"/>
      <c r="G1083" s="33"/>
      <c r="H1083" s="33"/>
      <c r="I1083" s="33"/>
      <c r="J1083" s="33"/>
      <c r="K1083" s="33"/>
      <c r="L1083" s="561"/>
      <c r="M1083" s="33"/>
      <c r="N1083" s="33"/>
      <c r="O1083" s="33"/>
      <c r="P1083" s="184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44"/>
      <c r="AP1083" s="37"/>
      <c r="AQ1083" s="309"/>
      <c r="AR1083" s="57"/>
      <c r="AS1083" s="56">
        <f>Tabela4[[#This Row],[Total R$]]-Tabela4[[#This Row],[Total Pago]]</f>
        <v>0</v>
      </c>
      <c r="AT1083" s="36"/>
    </row>
    <row r="1084" spans="2:46" x14ac:dyDescent="0.25">
      <c r="B1084" s="44"/>
      <c r="D1084" s="349"/>
      <c r="E1084" s="33"/>
      <c r="F1084" s="33"/>
      <c r="G1084" s="33"/>
      <c r="H1084" s="33"/>
      <c r="I1084" s="33"/>
      <c r="J1084" s="33"/>
      <c r="K1084" s="33"/>
      <c r="L1084" s="561"/>
      <c r="M1084" s="33"/>
      <c r="N1084" s="33"/>
      <c r="O1084" s="33"/>
      <c r="P1084" s="184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44"/>
      <c r="AP1084" s="37"/>
      <c r="AQ1084" s="309"/>
      <c r="AR1084" s="57"/>
      <c r="AS1084" s="56">
        <f>Tabela4[[#This Row],[Total R$]]-Tabela4[[#This Row],[Total Pago]]</f>
        <v>0</v>
      </c>
      <c r="AT1084" s="36"/>
    </row>
    <row r="1085" spans="2:46" x14ac:dyDescent="0.25">
      <c r="B1085" s="44"/>
      <c r="D1085" s="349"/>
      <c r="E1085" s="33"/>
      <c r="F1085" s="33"/>
      <c r="G1085" s="33"/>
      <c r="H1085" s="33"/>
      <c r="I1085" s="33"/>
      <c r="J1085" s="33"/>
      <c r="K1085" s="33"/>
      <c r="L1085" s="561"/>
      <c r="M1085" s="33"/>
      <c r="N1085" s="33"/>
      <c r="O1085" s="33"/>
      <c r="P1085" s="184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44"/>
      <c r="AP1085" s="37"/>
      <c r="AQ1085" s="309"/>
      <c r="AR1085" s="57"/>
      <c r="AS1085" s="56">
        <f>Tabela4[[#This Row],[Total R$]]-Tabela4[[#This Row],[Total Pago]]</f>
        <v>0</v>
      </c>
      <c r="AT1085" s="36"/>
    </row>
    <row r="1086" spans="2:46" x14ac:dyDescent="0.25">
      <c r="B1086" s="44"/>
      <c r="D1086" s="349"/>
      <c r="E1086" s="33"/>
      <c r="F1086" s="33"/>
      <c r="G1086" s="33"/>
      <c r="H1086" s="33"/>
      <c r="I1086" s="33"/>
      <c r="J1086" s="33"/>
      <c r="K1086" s="33"/>
      <c r="L1086" s="561"/>
      <c r="M1086" s="33"/>
      <c r="N1086" s="33"/>
      <c r="O1086" s="33"/>
      <c r="P1086" s="184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44"/>
      <c r="AP1086" s="37"/>
      <c r="AQ1086" s="309"/>
      <c r="AR1086" s="57"/>
      <c r="AS1086" s="56">
        <f>Tabela4[[#This Row],[Total R$]]-Tabela4[[#This Row],[Total Pago]]</f>
        <v>0</v>
      </c>
      <c r="AT1086" s="36"/>
    </row>
    <row r="1087" spans="2:46" x14ac:dyDescent="0.25">
      <c r="B1087" s="44"/>
      <c r="D1087" s="349"/>
      <c r="E1087" s="33"/>
      <c r="F1087" s="33"/>
      <c r="G1087" s="33"/>
      <c r="H1087" s="33"/>
      <c r="I1087" s="33"/>
      <c r="J1087" s="33"/>
      <c r="K1087" s="33"/>
      <c r="L1087" s="561"/>
      <c r="M1087" s="33"/>
      <c r="N1087" s="33"/>
      <c r="O1087" s="33"/>
      <c r="P1087" s="184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44"/>
      <c r="AP1087" s="37"/>
      <c r="AQ1087" s="309"/>
      <c r="AR1087" s="57"/>
      <c r="AS1087" s="56">
        <f>Tabela4[[#This Row],[Total R$]]-Tabela4[[#This Row],[Total Pago]]</f>
        <v>0</v>
      </c>
      <c r="AT1087" s="36"/>
    </row>
    <row r="1088" spans="2:46" x14ac:dyDescent="0.25">
      <c r="B1088" s="44"/>
      <c r="D1088" s="349"/>
      <c r="E1088" s="33"/>
      <c r="F1088" s="33"/>
      <c r="G1088" s="33"/>
      <c r="H1088" s="33"/>
      <c r="I1088" s="33"/>
      <c r="J1088" s="33"/>
      <c r="K1088" s="33"/>
      <c r="L1088" s="561"/>
      <c r="M1088" s="33"/>
      <c r="N1088" s="33"/>
      <c r="O1088" s="33"/>
      <c r="P1088" s="184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44"/>
      <c r="AP1088" s="37"/>
      <c r="AQ1088" s="309"/>
      <c r="AR1088" s="57"/>
      <c r="AS1088" s="56">
        <f>Tabela4[[#This Row],[Total R$]]-Tabela4[[#This Row],[Total Pago]]</f>
        <v>0</v>
      </c>
      <c r="AT1088" s="36"/>
    </row>
    <row r="1089" spans="2:46" x14ac:dyDescent="0.25">
      <c r="B1089" s="44"/>
      <c r="D1089" s="349"/>
      <c r="E1089" s="33"/>
      <c r="F1089" s="33"/>
      <c r="G1089" s="33"/>
      <c r="H1089" s="33"/>
      <c r="I1089" s="33"/>
      <c r="J1089" s="33"/>
      <c r="K1089" s="33"/>
      <c r="L1089" s="561"/>
      <c r="M1089" s="33"/>
      <c r="N1089" s="33"/>
      <c r="O1089" s="33"/>
      <c r="P1089" s="184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44"/>
      <c r="AP1089" s="37"/>
      <c r="AQ1089" s="309"/>
      <c r="AR1089" s="57"/>
      <c r="AS1089" s="56">
        <f>Tabela4[[#This Row],[Total R$]]-Tabela4[[#This Row],[Total Pago]]</f>
        <v>0</v>
      </c>
      <c r="AT1089" s="36"/>
    </row>
    <row r="1090" spans="2:46" x14ac:dyDescent="0.25">
      <c r="B1090" s="44"/>
      <c r="D1090" s="349"/>
      <c r="E1090" s="33"/>
      <c r="F1090" s="33"/>
      <c r="G1090" s="33"/>
      <c r="H1090" s="33"/>
      <c r="I1090" s="33"/>
      <c r="J1090" s="33"/>
      <c r="K1090" s="33"/>
      <c r="L1090" s="561"/>
      <c r="M1090" s="33"/>
      <c r="N1090" s="33"/>
      <c r="O1090" s="33"/>
      <c r="P1090" s="184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44"/>
      <c r="AP1090" s="37"/>
      <c r="AQ1090" s="309"/>
      <c r="AR1090" s="57"/>
      <c r="AS1090" s="56">
        <f>Tabela4[[#This Row],[Total R$]]-Tabela4[[#This Row],[Total Pago]]</f>
        <v>0</v>
      </c>
      <c r="AT1090" s="36"/>
    </row>
    <row r="1091" spans="2:46" x14ac:dyDescent="0.25">
      <c r="B1091" s="44"/>
      <c r="D1091" s="349"/>
      <c r="E1091" s="33"/>
      <c r="F1091" s="33"/>
      <c r="G1091" s="33"/>
      <c r="H1091" s="33"/>
      <c r="I1091" s="33"/>
      <c r="J1091" s="33"/>
      <c r="K1091" s="33"/>
      <c r="L1091" s="561"/>
      <c r="M1091" s="33"/>
      <c r="N1091" s="33"/>
      <c r="O1091" s="33"/>
      <c r="P1091" s="184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44"/>
      <c r="AP1091" s="37"/>
      <c r="AQ1091" s="309"/>
      <c r="AR1091" s="57"/>
      <c r="AS1091" s="56">
        <f>Tabela4[[#This Row],[Total R$]]-Tabela4[[#This Row],[Total Pago]]</f>
        <v>0</v>
      </c>
      <c r="AT1091" s="36"/>
    </row>
    <row r="1092" spans="2:46" x14ac:dyDescent="0.25">
      <c r="B1092" s="44"/>
      <c r="D1092" s="349"/>
      <c r="E1092" s="33"/>
      <c r="F1092" s="33"/>
      <c r="G1092" s="33"/>
      <c r="H1092" s="33"/>
      <c r="I1092" s="33"/>
      <c r="J1092" s="33"/>
      <c r="K1092" s="33"/>
      <c r="L1092" s="561"/>
      <c r="M1092" s="33"/>
      <c r="N1092" s="33"/>
      <c r="O1092" s="33"/>
      <c r="P1092" s="184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44"/>
      <c r="AP1092" s="37"/>
      <c r="AQ1092" s="309"/>
      <c r="AR1092" s="57"/>
      <c r="AS1092" s="56">
        <f>Tabela4[[#This Row],[Total R$]]-Tabela4[[#This Row],[Total Pago]]</f>
        <v>0</v>
      </c>
      <c r="AT1092" s="36"/>
    </row>
    <row r="1093" spans="2:46" x14ac:dyDescent="0.25">
      <c r="B1093" s="44"/>
      <c r="D1093" s="349"/>
      <c r="E1093" s="33"/>
      <c r="F1093" s="33"/>
      <c r="G1093" s="33"/>
      <c r="H1093" s="33"/>
      <c r="I1093" s="33"/>
      <c r="J1093" s="33"/>
      <c r="K1093" s="33"/>
      <c r="L1093" s="561"/>
      <c r="M1093" s="33"/>
      <c r="N1093" s="33"/>
      <c r="O1093" s="33"/>
      <c r="P1093" s="184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44"/>
      <c r="AP1093" s="37"/>
      <c r="AQ1093" s="309"/>
      <c r="AR1093" s="57"/>
      <c r="AS1093" s="56">
        <f>Tabela4[[#This Row],[Total R$]]-Tabela4[[#This Row],[Total Pago]]</f>
        <v>0</v>
      </c>
      <c r="AT1093" s="36"/>
    </row>
    <row r="1094" spans="2:46" x14ac:dyDescent="0.25">
      <c r="B1094" s="44"/>
      <c r="D1094" s="349"/>
      <c r="E1094" s="33"/>
      <c r="F1094" s="33"/>
      <c r="G1094" s="33"/>
      <c r="H1094" s="33"/>
      <c r="I1094" s="33"/>
      <c r="J1094" s="33"/>
      <c r="K1094" s="33"/>
      <c r="L1094" s="561"/>
      <c r="M1094" s="33"/>
      <c r="N1094" s="33"/>
      <c r="O1094" s="33"/>
      <c r="P1094" s="184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44"/>
      <c r="AP1094" s="37"/>
      <c r="AQ1094" s="309"/>
      <c r="AR1094" s="57"/>
      <c r="AS1094" s="56">
        <f>Tabela4[[#This Row],[Total R$]]-Tabela4[[#This Row],[Total Pago]]</f>
        <v>0</v>
      </c>
      <c r="AT1094" s="36"/>
    </row>
    <row r="1095" spans="2:46" x14ac:dyDescent="0.25">
      <c r="B1095" s="44"/>
      <c r="D1095" s="349"/>
      <c r="E1095" s="33"/>
      <c r="F1095" s="33"/>
      <c r="G1095" s="33"/>
      <c r="H1095" s="33"/>
      <c r="I1095" s="33"/>
      <c r="J1095" s="33"/>
      <c r="K1095" s="33"/>
      <c r="L1095" s="561"/>
      <c r="M1095" s="33"/>
      <c r="N1095" s="33"/>
      <c r="O1095" s="33"/>
      <c r="P1095" s="184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44"/>
      <c r="AP1095" s="37"/>
      <c r="AQ1095" s="309"/>
      <c r="AR1095" s="57"/>
      <c r="AS1095" s="56">
        <f>Tabela4[[#This Row],[Total R$]]-Tabela4[[#This Row],[Total Pago]]</f>
        <v>0</v>
      </c>
      <c r="AT1095" s="36"/>
    </row>
    <row r="1096" spans="2:46" x14ac:dyDescent="0.25">
      <c r="B1096" s="44"/>
      <c r="D1096" s="349"/>
      <c r="E1096" s="33"/>
      <c r="F1096" s="33"/>
      <c r="G1096" s="33"/>
      <c r="H1096" s="33"/>
      <c r="I1096" s="33"/>
      <c r="J1096" s="33"/>
      <c r="K1096" s="33"/>
      <c r="L1096" s="561"/>
      <c r="M1096" s="33"/>
      <c r="N1096" s="33"/>
      <c r="O1096" s="33"/>
      <c r="P1096" s="184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44"/>
      <c r="AP1096" s="37"/>
      <c r="AQ1096" s="309"/>
      <c r="AR1096" s="57"/>
      <c r="AS1096" s="56">
        <f>Tabela4[[#This Row],[Total R$]]-Tabela4[[#This Row],[Total Pago]]</f>
        <v>0</v>
      </c>
      <c r="AT1096" s="36"/>
    </row>
    <row r="1097" spans="2:46" x14ac:dyDescent="0.25">
      <c r="B1097" s="44"/>
      <c r="D1097" s="349"/>
      <c r="E1097" s="33"/>
      <c r="F1097" s="33"/>
      <c r="G1097" s="33"/>
      <c r="H1097" s="33"/>
      <c r="I1097" s="33"/>
      <c r="J1097" s="33"/>
      <c r="K1097" s="33"/>
      <c r="L1097" s="561"/>
      <c r="M1097" s="33"/>
      <c r="N1097" s="33"/>
      <c r="O1097" s="33"/>
      <c r="P1097" s="184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44"/>
      <c r="AP1097" s="37"/>
      <c r="AQ1097" s="309"/>
      <c r="AR1097" s="57"/>
      <c r="AS1097" s="56">
        <f>Tabela4[[#This Row],[Total R$]]-Tabela4[[#This Row],[Total Pago]]</f>
        <v>0</v>
      </c>
      <c r="AT1097" s="36"/>
    </row>
    <row r="1098" spans="2:46" x14ac:dyDescent="0.25">
      <c r="B1098" s="44"/>
      <c r="D1098" s="349"/>
      <c r="E1098" s="33"/>
      <c r="F1098" s="33"/>
      <c r="G1098" s="33"/>
      <c r="H1098" s="33"/>
      <c r="I1098" s="33"/>
      <c r="J1098" s="33"/>
      <c r="K1098" s="33"/>
      <c r="L1098" s="561"/>
      <c r="M1098" s="33"/>
      <c r="N1098" s="33"/>
      <c r="O1098" s="33"/>
      <c r="P1098" s="184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44"/>
      <c r="AP1098" s="37"/>
      <c r="AQ1098" s="309"/>
      <c r="AR1098" s="57"/>
      <c r="AS1098" s="56">
        <f>Tabela4[[#This Row],[Total R$]]-Tabela4[[#This Row],[Total Pago]]</f>
        <v>0</v>
      </c>
      <c r="AT1098" s="36"/>
    </row>
    <row r="1099" spans="2:46" x14ac:dyDescent="0.25">
      <c r="B1099" s="44"/>
      <c r="D1099" s="349"/>
      <c r="E1099" s="33"/>
      <c r="F1099" s="33"/>
      <c r="G1099" s="33"/>
      <c r="H1099" s="33"/>
      <c r="I1099" s="33"/>
      <c r="J1099" s="33"/>
      <c r="K1099" s="33"/>
      <c r="L1099" s="561"/>
      <c r="M1099" s="33"/>
      <c r="N1099" s="33"/>
      <c r="O1099" s="33"/>
      <c r="P1099" s="184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44"/>
      <c r="AP1099" s="37"/>
      <c r="AQ1099" s="309"/>
      <c r="AR1099" s="57"/>
      <c r="AS1099" s="56">
        <f>Tabela4[[#This Row],[Total R$]]-Tabela4[[#This Row],[Total Pago]]</f>
        <v>0</v>
      </c>
      <c r="AT1099" s="36"/>
    </row>
    <row r="1100" spans="2:46" x14ac:dyDescent="0.25">
      <c r="B1100" s="44"/>
      <c r="D1100" s="349"/>
      <c r="E1100" s="33"/>
      <c r="F1100" s="33"/>
      <c r="G1100" s="33"/>
      <c r="H1100" s="33"/>
      <c r="I1100" s="33"/>
      <c r="J1100" s="33"/>
      <c r="K1100" s="33"/>
      <c r="L1100" s="561"/>
      <c r="M1100" s="33"/>
      <c r="N1100" s="33"/>
      <c r="O1100" s="33"/>
      <c r="P1100" s="184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44"/>
      <c r="AP1100" s="37"/>
      <c r="AQ1100" s="309"/>
      <c r="AR1100" s="57"/>
      <c r="AS1100" s="56">
        <f>Tabela4[[#This Row],[Total R$]]-Tabela4[[#This Row],[Total Pago]]</f>
        <v>0</v>
      </c>
      <c r="AT1100" s="36"/>
    </row>
    <row r="1101" spans="2:46" x14ac:dyDescent="0.25">
      <c r="B1101" s="44"/>
      <c r="D1101" s="349"/>
      <c r="E1101" s="33"/>
      <c r="F1101" s="33"/>
      <c r="G1101" s="33"/>
      <c r="H1101" s="33"/>
      <c r="I1101" s="33"/>
      <c r="J1101" s="33"/>
      <c r="K1101" s="33"/>
      <c r="L1101" s="561"/>
      <c r="M1101" s="33"/>
      <c r="N1101" s="33"/>
      <c r="O1101" s="33"/>
      <c r="P1101" s="184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44"/>
      <c r="AP1101" s="37"/>
      <c r="AQ1101" s="309"/>
      <c r="AR1101" s="57"/>
      <c r="AS1101" s="56">
        <f>Tabela4[[#This Row],[Total R$]]-Tabela4[[#This Row],[Total Pago]]</f>
        <v>0</v>
      </c>
      <c r="AT1101" s="36"/>
    </row>
    <row r="1102" spans="2:46" x14ac:dyDescent="0.25">
      <c r="B1102" s="44"/>
      <c r="D1102" s="349"/>
      <c r="E1102" s="33"/>
      <c r="F1102" s="33"/>
      <c r="G1102" s="33"/>
      <c r="H1102" s="33"/>
      <c r="I1102" s="33"/>
      <c r="J1102" s="33"/>
      <c r="K1102" s="33"/>
      <c r="L1102" s="561"/>
      <c r="M1102" s="33"/>
      <c r="N1102" s="33"/>
      <c r="O1102" s="33"/>
      <c r="P1102" s="184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44"/>
      <c r="AP1102" s="37"/>
      <c r="AQ1102" s="309"/>
      <c r="AR1102" s="57"/>
      <c r="AS1102" s="56">
        <f>Tabela4[[#This Row],[Total R$]]-Tabela4[[#This Row],[Total Pago]]</f>
        <v>0</v>
      </c>
      <c r="AT1102" s="36"/>
    </row>
    <row r="1103" spans="2:46" x14ac:dyDescent="0.25">
      <c r="B1103" s="44"/>
      <c r="D1103" s="349"/>
      <c r="E1103" s="33"/>
      <c r="F1103" s="33"/>
      <c r="G1103" s="33"/>
      <c r="H1103" s="33"/>
      <c r="I1103" s="33"/>
      <c r="J1103" s="33"/>
      <c r="K1103" s="33"/>
      <c r="L1103" s="561"/>
      <c r="M1103" s="33"/>
      <c r="N1103" s="33"/>
      <c r="O1103" s="33"/>
      <c r="P1103" s="184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44"/>
      <c r="AP1103" s="37"/>
      <c r="AQ1103" s="309"/>
      <c r="AR1103" s="57"/>
      <c r="AS1103" s="56">
        <f>Tabela4[[#This Row],[Total R$]]-Tabela4[[#This Row],[Total Pago]]</f>
        <v>0</v>
      </c>
      <c r="AT1103" s="36"/>
    </row>
    <row r="1104" spans="2:46" x14ac:dyDescent="0.25">
      <c r="B1104" s="44"/>
      <c r="D1104" s="349"/>
      <c r="E1104" s="33"/>
      <c r="F1104" s="33"/>
      <c r="G1104" s="33"/>
      <c r="H1104" s="33"/>
      <c r="I1104" s="33"/>
      <c r="J1104" s="33"/>
      <c r="K1104" s="33"/>
      <c r="L1104" s="561"/>
      <c r="M1104" s="33"/>
      <c r="N1104" s="33"/>
      <c r="O1104" s="33"/>
      <c r="P1104" s="184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44"/>
      <c r="AP1104" s="37"/>
      <c r="AQ1104" s="309"/>
      <c r="AR1104" s="57"/>
      <c r="AS1104" s="56">
        <f>Tabela4[[#This Row],[Total R$]]-Tabela4[[#This Row],[Total Pago]]</f>
        <v>0</v>
      </c>
      <c r="AT1104" s="36"/>
    </row>
    <row r="1105" spans="2:46" x14ac:dyDescent="0.25">
      <c r="B1105" s="44"/>
      <c r="D1105" s="349"/>
      <c r="E1105" s="33"/>
      <c r="F1105" s="33"/>
      <c r="G1105" s="33"/>
      <c r="H1105" s="33"/>
      <c r="I1105" s="33"/>
      <c r="J1105" s="33"/>
      <c r="K1105" s="33"/>
      <c r="L1105" s="561"/>
      <c r="M1105" s="33"/>
      <c r="N1105" s="33"/>
      <c r="O1105" s="33"/>
      <c r="P1105" s="184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44"/>
      <c r="AP1105" s="37"/>
      <c r="AQ1105" s="309"/>
      <c r="AR1105" s="57"/>
      <c r="AS1105" s="56">
        <f>Tabela4[[#This Row],[Total R$]]-Tabela4[[#This Row],[Total Pago]]</f>
        <v>0</v>
      </c>
      <c r="AT1105" s="36"/>
    </row>
    <row r="1106" spans="2:46" x14ac:dyDescent="0.25">
      <c r="B1106" s="44"/>
      <c r="D1106" s="349"/>
      <c r="E1106" s="33"/>
      <c r="F1106" s="33"/>
      <c r="G1106" s="33"/>
      <c r="H1106" s="33"/>
      <c r="I1106" s="33"/>
      <c r="J1106" s="33"/>
      <c r="K1106" s="33"/>
      <c r="L1106" s="561"/>
      <c r="M1106" s="33"/>
      <c r="N1106" s="33"/>
      <c r="O1106" s="33"/>
      <c r="P1106" s="184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44"/>
      <c r="AP1106" s="37"/>
      <c r="AQ1106" s="309"/>
      <c r="AR1106" s="57"/>
      <c r="AS1106" s="56">
        <f>Tabela4[[#This Row],[Total R$]]-Tabela4[[#This Row],[Total Pago]]</f>
        <v>0</v>
      </c>
      <c r="AT1106" s="36"/>
    </row>
    <row r="1107" spans="2:46" x14ac:dyDescent="0.25">
      <c r="B1107" s="44"/>
      <c r="D1107" s="349"/>
      <c r="E1107" s="33"/>
      <c r="F1107" s="33"/>
      <c r="G1107" s="33"/>
      <c r="H1107" s="33"/>
      <c r="I1107" s="33"/>
      <c r="J1107" s="33"/>
      <c r="K1107" s="33"/>
      <c r="L1107" s="561"/>
      <c r="M1107" s="33"/>
      <c r="N1107" s="33"/>
      <c r="O1107" s="33"/>
      <c r="P1107" s="184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44"/>
      <c r="AP1107" s="37"/>
      <c r="AQ1107" s="309"/>
      <c r="AR1107" s="57"/>
      <c r="AS1107" s="56">
        <f>Tabela4[[#This Row],[Total R$]]-Tabela4[[#This Row],[Total Pago]]</f>
        <v>0</v>
      </c>
      <c r="AT1107" s="36"/>
    </row>
    <row r="1108" spans="2:46" x14ac:dyDescent="0.25">
      <c r="B1108" s="44"/>
      <c r="D1108" s="349"/>
      <c r="E1108" s="33"/>
      <c r="F1108" s="33"/>
      <c r="G1108" s="33"/>
      <c r="H1108" s="33"/>
      <c r="I1108" s="33"/>
      <c r="J1108" s="33"/>
      <c r="K1108" s="33"/>
      <c r="L1108" s="561"/>
      <c r="M1108" s="33"/>
      <c r="N1108" s="33"/>
      <c r="O1108" s="33"/>
      <c r="P1108" s="184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44"/>
      <c r="AP1108" s="37"/>
      <c r="AQ1108" s="309"/>
      <c r="AR1108" s="57"/>
      <c r="AS1108" s="56">
        <f>Tabela4[[#This Row],[Total R$]]-Tabela4[[#This Row],[Total Pago]]</f>
        <v>0</v>
      </c>
      <c r="AT1108" s="36"/>
    </row>
    <row r="1109" spans="2:46" x14ac:dyDescent="0.25">
      <c r="B1109" s="44"/>
      <c r="D1109" s="349"/>
      <c r="E1109" s="33"/>
      <c r="F1109" s="33"/>
      <c r="G1109" s="33"/>
      <c r="H1109" s="33"/>
      <c r="I1109" s="33"/>
      <c r="J1109" s="33"/>
      <c r="K1109" s="33"/>
      <c r="L1109" s="561"/>
      <c r="M1109" s="33"/>
      <c r="N1109" s="33"/>
      <c r="O1109" s="33"/>
      <c r="P1109" s="184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44"/>
      <c r="AP1109" s="37"/>
      <c r="AQ1109" s="309"/>
      <c r="AR1109" s="57"/>
      <c r="AS1109" s="56">
        <f>Tabela4[[#This Row],[Total R$]]-Tabela4[[#This Row],[Total Pago]]</f>
        <v>0</v>
      </c>
      <c r="AT1109" s="36"/>
    </row>
    <row r="1110" spans="2:46" x14ac:dyDescent="0.25">
      <c r="B1110" s="44"/>
      <c r="D1110" s="349"/>
      <c r="E1110" s="33"/>
      <c r="F1110" s="33"/>
      <c r="G1110" s="33"/>
      <c r="H1110" s="33"/>
      <c r="I1110" s="33"/>
      <c r="J1110" s="33"/>
      <c r="K1110" s="33"/>
      <c r="L1110" s="561"/>
      <c r="M1110" s="33"/>
      <c r="N1110" s="33"/>
      <c r="O1110" s="33"/>
      <c r="P1110" s="184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44"/>
      <c r="AP1110" s="37"/>
      <c r="AQ1110" s="309"/>
      <c r="AR1110" s="57"/>
      <c r="AS1110" s="56">
        <f>Tabela4[[#This Row],[Total R$]]-Tabela4[[#This Row],[Total Pago]]</f>
        <v>0</v>
      </c>
      <c r="AT1110" s="36"/>
    </row>
    <row r="1111" spans="2:46" x14ac:dyDescent="0.25">
      <c r="B1111" s="44"/>
      <c r="D1111" s="349"/>
      <c r="E1111" s="33"/>
      <c r="F1111" s="33"/>
      <c r="G1111" s="33"/>
      <c r="H1111" s="33"/>
      <c r="I1111" s="33"/>
      <c r="J1111" s="33"/>
      <c r="K1111" s="33"/>
      <c r="L1111" s="561"/>
      <c r="M1111" s="33"/>
      <c r="N1111" s="33"/>
      <c r="O1111" s="33"/>
      <c r="P1111" s="184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44"/>
      <c r="AP1111" s="37"/>
      <c r="AQ1111" s="309"/>
      <c r="AR1111" s="57"/>
      <c r="AS1111" s="56">
        <f>Tabela4[[#This Row],[Total R$]]-Tabela4[[#This Row],[Total Pago]]</f>
        <v>0</v>
      </c>
      <c r="AT1111" s="36"/>
    </row>
    <row r="1112" spans="2:46" x14ac:dyDescent="0.25">
      <c r="B1112" s="44"/>
      <c r="D1112" s="349"/>
      <c r="E1112" s="33"/>
      <c r="F1112" s="33"/>
      <c r="G1112" s="33"/>
      <c r="H1112" s="33"/>
      <c r="I1112" s="33"/>
      <c r="J1112" s="33"/>
      <c r="K1112" s="33"/>
      <c r="L1112" s="561"/>
      <c r="M1112" s="33"/>
      <c r="N1112" s="33"/>
      <c r="O1112" s="33"/>
      <c r="P1112" s="184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44"/>
      <c r="AP1112" s="37"/>
      <c r="AQ1112" s="309"/>
      <c r="AR1112" s="57"/>
      <c r="AS1112" s="56">
        <f>Tabela4[[#This Row],[Total R$]]-Tabela4[[#This Row],[Total Pago]]</f>
        <v>0</v>
      </c>
      <c r="AT1112" s="36"/>
    </row>
    <row r="1113" spans="2:46" x14ac:dyDescent="0.25">
      <c r="B1113" s="44"/>
      <c r="D1113" s="349"/>
      <c r="E1113" s="33"/>
      <c r="F1113" s="33"/>
      <c r="G1113" s="33"/>
      <c r="H1113" s="33"/>
      <c r="I1113" s="33"/>
      <c r="J1113" s="33"/>
      <c r="K1113" s="33"/>
      <c r="L1113" s="561"/>
      <c r="M1113" s="33"/>
      <c r="N1113" s="33"/>
      <c r="O1113" s="33"/>
      <c r="P1113" s="184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44"/>
      <c r="AP1113" s="37"/>
      <c r="AQ1113" s="309"/>
      <c r="AR1113" s="57"/>
      <c r="AS1113" s="56">
        <f>Tabela4[[#This Row],[Total R$]]-Tabela4[[#This Row],[Total Pago]]</f>
        <v>0</v>
      </c>
      <c r="AT1113" s="36"/>
    </row>
    <row r="1114" spans="2:46" x14ac:dyDescent="0.25">
      <c r="B1114" s="44"/>
      <c r="D1114" s="349"/>
      <c r="E1114" s="33"/>
      <c r="F1114" s="33"/>
      <c r="G1114" s="33"/>
      <c r="H1114" s="33"/>
      <c r="I1114" s="33"/>
      <c r="J1114" s="33"/>
      <c r="K1114" s="33"/>
      <c r="L1114" s="561"/>
      <c r="M1114" s="33"/>
      <c r="N1114" s="33"/>
      <c r="O1114" s="33"/>
      <c r="P1114" s="184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44"/>
      <c r="AP1114" s="37"/>
      <c r="AQ1114" s="309"/>
      <c r="AR1114" s="57"/>
      <c r="AS1114" s="56">
        <f>Tabela4[[#This Row],[Total R$]]-Tabela4[[#This Row],[Total Pago]]</f>
        <v>0</v>
      </c>
      <c r="AT1114" s="36"/>
    </row>
    <row r="1115" spans="2:46" x14ac:dyDescent="0.25">
      <c r="B1115" s="44"/>
      <c r="D1115" s="349"/>
      <c r="E1115" s="33"/>
      <c r="F1115" s="33"/>
      <c r="G1115" s="33"/>
      <c r="H1115" s="33"/>
      <c r="I1115" s="33"/>
      <c r="J1115" s="33"/>
      <c r="K1115" s="33"/>
      <c r="L1115" s="561"/>
      <c r="M1115" s="33"/>
      <c r="N1115" s="33"/>
      <c r="O1115" s="33"/>
      <c r="P1115" s="184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44"/>
      <c r="AP1115" s="37"/>
      <c r="AQ1115" s="309"/>
      <c r="AR1115" s="57"/>
      <c r="AS1115" s="56">
        <f>Tabela4[[#This Row],[Total R$]]-Tabela4[[#This Row],[Total Pago]]</f>
        <v>0</v>
      </c>
      <c r="AT1115" s="36"/>
    </row>
    <row r="1116" spans="2:46" x14ac:dyDescent="0.25">
      <c r="B1116" s="44"/>
      <c r="D1116" s="349"/>
      <c r="E1116" s="33"/>
      <c r="F1116" s="33"/>
      <c r="G1116" s="33"/>
      <c r="H1116" s="33"/>
      <c r="I1116" s="33"/>
      <c r="J1116" s="33"/>
      <c r="K1116" s="33"/>
      <c r="L1116" s="561"/>
      <c r="M1116" s="33"/>
      <c r="N1116" s="33"/>
      <c r="O1116" s="33"/>
      <c r="P1116" s="184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44"/>
      <c r="AP1116" s="37"/>
      <c r="AQ1116" s="309"/>
      <c r="AR1116" s="57"/>
      <c r="AS1116" s="56">
        <f>Tabela4[[#This Row],[Total R$]]-Tabela4[[#This Row],[Total Pago]]</f>
        <v>0</v>
      </c>
      <c r="AT1116" s="36"/>
    </row>
    <row r="1117" spans="2:46" x14ac:dyDescent="0.25">
      <c r="B1117" s="44"/>
      <c r="D1117" s="349"/>
      <c r="E1117" s="33"/>
      <c r="F1117" s="33"/>
      <c r="G1117" s="33"/>
      <c r="H1117" s="33"/>
      <c r="I1117" s="33"/>
      <c r="J1117" s="33"/>
      <c r="K1117" s="33"/>
      <c r="L1117" s="561"/>
      <c r="M1117" s="33"/>
      <c r="N1117" s="33"/>
      <c r="O1117" s="33"/>
      <c r="P1117" s="184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44"/>
      <c r="AP1117" s="37"/>
      <c r="AQ1117" s="309"/>
      <c r="AR1117" s="57"/>
      <c r="AS1117" s="56">
        <f>Tabela4[[#This Row],[Total R$]]-Tabela4[[#This Row],[Total Pago]]</f>
        <v>0</v>
      </c>
      <c r="AT1117" s="36"/>
    </row>
    <row r="1118" spans="2:46" x14ac:dyDescent="0.25">
      <c r="B1118" s="44"/>
      <c r="D1118" s="349"/>
      <c r="E1118" s="33"/>
      <c r="F1118" s="33"/>
      <c r="G1118" s="33"/>
      <c r="H1118" s="33"/>
      <c r="I1118" s="33"/>
      <c r="J1118" s="33"/>
      <c r="K1118" s="33"/>
      <c r="L1118" s="561"/>
      <c r="M1118" s="33"/>
      <c r="N1118" s="33"/>
      <c r="O1118" s="33"/>
      <c r="P1118" s="184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44"/>
      <c r="AP1118" s="37"/>
      <c r="AQ1118" s="309"/>
      <c r="AR1118" s="57"/>
      <c r="AS1118" s="56">
        <f>Tabela4[[#This Row],[Total R$]]-Tabela4[[#This Row],[Total Pago]]</f>
        <v>0</v>
      </c>
      <c r="AT1118" s="36"/>
    </row>
    <row r="1119" spans="2:46" x14ac:dyDescent="0.25">
      <c r="B1119" s="44"/>
      <c r="D1119" s="349"/>
      <c r="E1119" s="33"/>
      <c r="F1119" s="33"/>
      <c r="G1119" s="33"/>
      <c r="H1119" s="33"/>
      <c r="I1119" s="33"/>
      <c r="J1119" s="33"/>
      <c r="K1119" s="33"/>
      <c r="L1119" s="561"/>
      <c r="M1119" s="33"/>
      <c r="N1119" s="33"/>
      <c r="O1119" s="33"/>
      <c r="P1119" s="184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44"/>
      <c r="AP1119" s="37"/>
      <c r="AQ1119" s="309"/>
      <c r="AR1119" s="57"/>
      <c r="AS1119" s="56">
        <f>Tabela4[[#This Row],[Total R$]]-Tabela4[[#This Row],[Total Pago]]</f>
        <v>0</v>
      </c>
      <c r="AT1119" s="36"/>
    </row>
    <row r="1120" spans="2:46" x14ac:dyDescent="0.25">
      <c r="B1120" s="44"/>
      <c r="D1120" s="349"/>
      <c r="E1120" s="33"/>
      <c r="F1120" s="33"/>
      <c r="G1120" s="33"/>
      <c r="H1120" s="33"/>
      <c r="I1120" s="33"/>
      <c r="J1120" s="33"/>
      <c r="K1120" s="33"/>
      <c r="L1120" s="561"/>
      <c r="M1120" s="33"/>
      <c r="N1120" s="33"/>
      <c r="O1120" s="33"/>
      <c r="P1120" s="184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44"/>
      <c r="AP1120" s="37"/>
      <c r="AQ1120" s="309"/>
      <c r="AR1120" s="57"/>
      <c r="AS1120" s="56">
        <f>Tabela4[[#This Row],[Total R$]]-Tabela4[[#This Row],[Total Pago]]</f>
        <v>0</v>
      </c>
      <c r="AT1120" s="36"/>
    </row>
    <row r="1121" spans="2:46" x14ac:dyDescent="0.25">
      <c r="B1121" s="44"/>
      <c r="D1121" s="349"/>
      <c r="E1121" s="33"/>
      <c r="F1121" s="33"/>
      <c r="G1121" s="33"/>
      <c r="H1121" s="33"/>
      <c r="I1121" s="33"/>
      <c r="J1121" s="33"/>
      <c r="K1121" s="33"/>
      <c r="L1121" s="561"/>
      <c r="M1121" s="33"/>
      <c r="N1121" s="33"/>
      <c r="O1121" s="33"/>
      <c r="P1121" s="184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44"/>
      <c r="AP1121" s="37"/>
      <c r="AQ1121" s="309"/>
      <c r="AR1121" s="57"/>
      <c r="AS1121" s="56">
        <f>Tabela4[[#This Row],[Total R$]]-Tabela4[[#This Row],[Total Pago]]</f>
        <v>0</v>
      </c>
      <c r="AT1121" s="36"/>
    </row>
    <row r="1122" spans="2:46" x14ac:dyDescent="0.25">
      <c r="B1122" s="44"/>
      <c r="D1122" s="349"/>
      <c r="E1122" s="33"/>
      <c r="F1122" s="33"/>
      <c r="G1122" s="33"/>
      <c r="H1122" s="33"/>
      <c r="I1122" s="33"/>
      <c r="J1122" s="33"/>
      <c r="K1122" s="33"/>
      <c r="L1122" s="561"/>
      <c r="M1122" s="33"/>
      <c r="N1122" s="33"/>
      <c r="O1122" s="33"/>
      <c r="P1122" s="184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44"/>
      <c r="AP1122" s="37"/>
      <c r="AQ1122" s="309"/>
      <c r="AR1122" s="57"/>
      <c r="AS1122" s="56">
        <f>Tabela4[[#This Row],[Total R$]]-Tabela4[[#This Row],[Total Pago]]</f>
        <v>0</v>
      </c>
      <c r="AT1122" s="36"/>
    </row>
    <row r="1123" spans="2:46" x14ac:dyDescent="0.25">
      <c r="B1123" s="44"/>
      <c r="D1123" s="349"/>
      <c r="E1123" s="33"/>
      <c r="F1123" s="33"/>
      <c r="G1123" s="33"/>
      <c r="H1123" s="33"/>
      <c r="I1123" s="33"/>
      <c r="J1123" s="33"/>
      <c r="K1123" s="33"/>
      <c r="L1123" s="561"/>
      <c r="M1123" s="33"/>
      <c r="N1123" s="33"/>
      <c r="O1123" s="33"/>
      <c r="P1123" s="184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44"/>
      <c r="AP1123" s="37"/>
      <c r="AQ1123" s="309"/>
      <c r="AR1123" s="57"/>
      <c r="AS1123" s="56">
        <f>Tabela4[[#This Row],[Total R$]]-Tabela4[[#This Row],[Total Pago]]</f>
        <v>0</v>
      </c>
      <c r="AT1123" s="36"/>
    </row>
    <row r="1124" spans="2:46" x14ac:dyDescent="0.25">
      <c r="B1124" s="44"/>
      <c r="D1124" s="349"/>
      <c r="E1124" s="33"/>
      <c r="F1124" s="33"/>
      <c r="G1124" s="33"/>
      <c r="H1124" s="33"/>
      <c r="I1124" s="33"/>
      <c r="J1124" s="33"/>
      <c r="K1124" s="33"/>
      <c r="L1124" s="561"/>
      <c r="M1124" s="33"/>
      <c r="N1124" s="33"/>
      <c r="O1124" s="33"/>
      <c r="P1124" s="184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44"/>
      <c r="AP1124" s="37"/>
      <c r="AQ1124" s="309"/>
      <c r="AR1124" s="57"/>
      <c r="AS1124" s="56">
        <f>Tabela4[[#This Row],[Total R$]]-Tabela4[[#This Row],[Total Pago]]</f>
        <v>0</v>
      </c>
      <c r="AT1124" s="36"/>
    </row>
    <row r="1125" spans="2:46" x14ac:dyDescent="0.25">
      <c r="B1125" s="44"/>
      <c r="D1125" s="349"/>
      <c r="E1125" s="33"/>
      <c r="F1125" s="33"/>
      <c r="G1125" s="33"/>
      <c r="H1125" s="33"/>
      <c r="I1125" s="33"/>
      <c r="J1125" s="33"/>
      <c r="K1125" s="33"/>
      <c r="L1125" s="561"/>
      <c r="M1125" s="33"/>
      <c r="N1125" s="33"/>
      <c r="O1125" s="33"/>
      <c r="P1125" s="184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44"/>
      <c r="AP1125" s="37"/>
      <c r="AQ1125" s="309"/>
      <c r="AR1125" s="57"/>
      <c r="AS1125" s="56">
        <f>Tabela4[[#This Row],[Total R$]]-Tabela4[[#This Row],[Total Pago]]</f>
        <v>0</v>
      </c>
      <c r="AT1125" s="36"/>
    </row>
    <row r="1126" spans="2:46" x14ac:dyDescent="0.25">
      <c r="B1126" s="44"/>
      <c r="D1126" s="349"/>
      <c r="E1126" s="33"/>
      <c r="F1126" s="33"/>
      <c r="G1126" s="33"/>
      <c r="H1126" s="33"/>
      <c r="I1126" s="33"/>
      <c r="J1126" s="33"/>
      <c r="K1126" s="33"/>
      <c r="L1126" s="561"/>
      <c r="M1126" s="33"/>
      <c r="N1126" s="33"/>
      <c r="O1126" s="33"/>
      <c r="P1126" s="184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44"/>
      <c r="AP1126" s="37"/>
      <c r="AQ1126" s="309"/>
      <c r="AR1126" s="57"/>
      <c r="AS1126" s="56">
        <f>Tabela4[[#This Row],[Total R$]]-Tabela4[[#This Row],[Total Pago]]</f>
        <v>0</v>
      </c>
      <c r="AT1126" s="36"/>
    </row>
    <row r="1127" spans="2:46" x14ac:dyDescent="0.25">
      <c r="B1127" s="44"/>
      <c r="D1127" s="349"/>
      <c r="E1127" s="33"/>
      <c r="F1127" s="33"/>
      <c r="G1127" s="33"/>
      <c r="H1127" s="33"/>
      <c r="I1127" s="33"/>
      <c r="J1127" s="33"/>
      <c r="K1127" s="33"/>
      <c r="L1127" s="561"/>
      <c r="M1127" s="33"/>
      <c r="N1127" s="33"/>
      <c r="O1127" s="33"/>
      <c r="P1127" s="184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44"/>
      <c r="AP1127" s="37"/>
      <c r="AQ1127" s="309"/>
      <c r="AR1127" s="57"/>
      <c r="AS1127" s="56">
        <f>Tabela4[[#This Row],[Total R$]]-Tabela4[[#This Row],[Total Pago]]</f>
        <v>0</v>
      </c>
      <c r="AT1127" s="36"/>
    </row>
    <row r="1128" spans="2:46" x14ac:dyDescent="0.25">
      <c r="B1128" s="44"/>
      <c r="D1128" s="349"/>
      <c r="E1128" s="33"/>
      <c r="F1128" s="33"/>
      <c r="G1128" s="33"/>
      <c r="H1128" s="33"/>
      <c r="I1128" s="33"/>
      <c r="J1128" s="33"/>
      <c r="K1128" s="33"/>
      <c r="L1128" s="561"/>
      <c r="M1128" s="33"/>
      <c r="N1128" s="33"/>
      <c r="O1128" s="33"/>
      <c r="P1128" s="184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44"/>
      <c r="AP1128" s="37"/>
      <c r="AQ1128" s="309"/>
      <c r="AR1128" s="57"/>
      <c r="AS1128" s="56">
        <f>Tabela4[[#This Row],[Total R$]]-Tabela4[[#This Row],[Total Pago]]</f>
        <v>0</v>
      </c>
      <c r="AT1128" s="36"/>
    </row>
    <row r="1129" spans="2:46" x14ac:dyDescent="0.25">
      <c r="B1129" s="44"/>
      <c r="D1129" s="349"/>
      <c r="E1129" s="33"/>
      <c r="F1129" s="33"/>
      <c r="G1129" s="33"/>
      <c r="H1129" s="33"/>
      <c r="I1129" s="33"/>
      <c r="J1129" s="33"/>
      <c r="K1129" s="33"/>
      <c r="L1129" s="561"/>
      <c r="M1129" s="33"/>
      <c r="N1129" s="33"/>
      <c r="O1129" s="33"/>
      <c r="P1129" s="184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44"/>
      <c r="AP1129" s="37"/>
      <c r="AQ1129" s="309"/>
      <c r="AR1129" s="57"/>
      <c r="AS1129" s="56">
        <f>Tabela4[[#This Row],[Total R$]]-Tabela4[[#This Row],[Total Pago]]</f>
        <v>0</v>
      </c>
      <c r="AT1129" s="36"/>
    </row>
    <row r="1130" spans="2:46" x14ac:dyDescent="0.25">
      <c r="B1130" s="44"/>
      <c r="D1130" s="349"/>
      <c r="E1130" s="33"/>
      <c r="F1130" s="33"/>
      <c r="G1130" s="33"/>
      <c r="H1130" s="33"/>
      <c r="I1130" s="33"/>
      <c r="J1130" s="33"/>
      <c r="K1130" s="33"/>
      <c r="L1130" s="561"/>
      <c r="M1130" s="33"/>
      <c r="N1130" s="33"/>
      <c r="O1130" s="33"/>
      <c r="P1130" s="184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44"/>
      <c r="AP1130" s="37"/>
      <c r="AQ1130" s="309"/>
      <c r="AR1130" s="57"/>
      <c r="AS1130" s="56">
        <f>Tabela4[[#This Row],[Total R$]]-Tabela4[[#This Row],[Total Pago]]</f>
        <v>0</v>
      </c>
      <c r="AT1130" s="36"/>
    </row>
    <row r="1131" spans="2:46" x14ac:dyDescent="0.25">
      <c r="B1131" s="44"/>
      <c r="D1131" s="349"/>
      <c r="E1131" s="33"/>
      <c r="F1131" s="33"/>
      <c r="G1131" s="33"/>
      <c r="H1131" s="33"/>
      <c r="I1131" s="33"/>
      <c r="J1131" s="33"/>
      <c r="K1131" s="33"/>
      <c r="L1131" s="561"/>
      <c r="M1131" s="33"/>
      <c r="N1131" s="33"/>
      <c r="O1131" s="33"/>
      <c r="P1131" s="184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44"/>
      <c r="AP1131" s="37"/>
      <c r="AQ1131" s="309"/>
      <c r="AR1131" s="57"/>
      <c r="AS1131" s="56">
        <f>Tabela4[[#This Row],[Total R$]]-Tabela4[[#This Row],[Total Pago]]</f>
        <v>0</v>
      </c>
      <c r="AT1131" s="36"/>
    </row>
    <row r="1132" spans="2:46" x14ac:dyDescent="0.25">
      <c r="B1132" s="44"/>
      <c r="D1132" s="349"/>
      <c r="E1132" s="33"/>
      <c r="F1132" s="33"/>
      <c r="G1132" s="33"/>
      <c r="H1132" s="33"/>
      <c r="I1132" s="33"/>
      <c r="J1132" s="33"/>
      <c r="K1132" s="33"/>
      <c r="L1132" s="561"/>
      <c r="M1132" s="33"/>
      <c r="N1132" s="33"/>
      <c r="O1132" s="33"/>
      <c r="P1132" s="184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44"/>
      <c r="AP1132" s="37"/>
      <c r="AQ1132" s="309"/>
      <c r="AR1132" s="57"/>
      <c r="AS1132" s="56">
        <f>Tabela4[[#This Row],[Total R$]]-Tabela4[[#This Row],[Total Pago]]</f>
        <v>0</v>
      </c>
      <c r="AT1132" s="36"/>
    </row>
    <row r="1133" spans="2:46" x14ac:dyDescent="0.25">
      <c r="B1133" s="44"/>
      <c r="D1133" s="349"/>
      <c r="E1133" s="33"/>
      <c r="F1133" s="33"/>
      <c r="G1133" s="33"/>
      <c r="H1133" s="33"/>
      <c r="I1133" s="33"/>
      <c r="J1133" s="33"/>
      <c r="K1133" s="33"/>
      <c r="L1133" s="561"/>
      <c r="M1133" s="33"/>
      <c r="N1133" s="33"/>
      <c r="O1133" s="33"/>
      <c r="P1133" s="184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44"/>
      <c r="AP1133" s="37"/>
      <c r="AQ1133" s="309"/>
      <c r="AR1133" s="57"/>
      <c r="AS1133" s="56">
        <f>Tabela4[[#This Row],[Total R$]]-Tabela4[[#This Row],[Total Pago]]</f>
        <v>0</v>
      </c>
      <c r="AT1133" s="36"/>
    </row>
    <row r="1134" spans="2:46" x14ac:dyDescent="0.25">
      <c r="B1134" s="44"/>
      <c r="D1134" s="349"/>
      <c r="E1134" s="33"/>
      <c r="F1134" s="33"/>
      <c r="G1134" s="33"/>
      <c r="H1134" s="33"/>
      <c r="I1134" s="33"/>
      <c r="J1134" s="33"/>
      <c r="K1134" s="33"/>
      <c r="L1134" s="561"/>
      <c r="M1134" s="33"/>
      <c r="N1134" s="33"/>
      <c r="O1134" s="33"/>
      <c r="P1134" s="184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44"/>
      <c r="AP1134" s="37"/>
      <c r="AQ1134" s="309"/>
      <c r="AR1134" s="57"/>
      <c r="AS1134" s="56">
        <f>Tabela4[[#This Row],[Total R$]]-Tabela4[[#This Row],[Total Pago]]</f>
        <v>0</v>
      </c>
      <c r="AT1134" s="36"/>
    </row>
    <row r="1135" spans="2:46" x14ac:dyDescent="0.25">
      <c r="B1135" s="44"/>
      <c r="D1135" s="349"/>
      <c r="E1135" s="33"/>
      <c r="F1135" s="33"/>
      <c r="G1135" s="33"/>
      <c r="H1135" s="33"/>
      <c r="I1135" s="33"/>
      <c r="J1135" s="33"/>
      <c r="K1135" s="33"/>
      <c r="L1135" s="561"/>
      <c r="M1135" s="33"/>
      <c r="N1135" s="33"/>
      <c r="O1135" s="33"/>
      <c r="P1135" s="184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44"/>
      <c r="AP1135" s="37"/>
      <c r="AQ1135" s="309"/>
      <c r="AR1135" s="57"/>
      <c r="AS1135" s="56">
        <f>Tabela4[[#This Row],[Total R$]]-Tabela4[[#This Row],[Total Pago]]</f>
        <v>0</v>
      </c>
      <c r="AT1135" s="36"/>
    </row>
    <row r="1136" spans="2:46" x14ac:dyDescent="0.25">
      <c r="B1136" s="44"/>
      <c r="D1136" s="349"/>
      <c r="E1136" s="33"/>
      <c r="F1136" s="33"/>
      <c r="G1136" s="33"/>
      <c r="H1136" s="33"/>
      <c r="I1136" s="33"/>
      <c r="J1136" s="33"/>
      <c r="K1136" s="33"/>
      <c r="L1136" s="561"/>
      <c r="M1136" s="33"/>
      <c r="N1136" s="33"/>
      <c r="O1136" s="33"/>
      <c r="P1136" s="184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44"/>
      <c r="AP1136" s="37"/>
      <c r="AQ1136" s="309"/>
      <c r="AR1136" s="57"/>
      <c r="AS1136" s="56">
        <f>Tabela4[[#This Row],[Total R$]]-Tabela4[[#This Row],[Total Pago]]</f>
        <v>0</v>
      </c>
      <c r="AT1136" s="36"/>
    </row>
    <row r="1137" spans="2:46" x14ac:dyDescent="0.25">
      <c r="B1137" s="44"/>
      <c r="D1137" s="349"/>
      <c r="E1137" s="33"/>
      <c r="F1137" s="33"/>
      <c r="G1137" s="33"/>
      <c r="H1137" s="33"/>
      <c r="I1137" s="33"/>
      <c r="J1137" s="33"/>
      <c r="K1137" s="33"/>
      <c r="L1137" s="561"/>
      <c r="M1137" s="33"/>
      <c r="N1137" s="33"/>
      <c r="O1137" s="33"/>
      <c r="P1137" s="184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44"/>
      <c r="AP1137" s="37"/>
      <c r="AQ1137" s="309"/>
      <c r="AR1137" s="57"/>
      <c r="AS1137" s="56">
        <f>Tabela4[[#This Row],[Total R$]]-Tabela4[[#This Row],[Total Pago]]</f>
        <v>0</v>
      </c>
      <c r="AT1137" s="36"/>
    </row>
    <row r="1138" spans="2:46" x14ac:dyDescent="0.25">
      <c r="B1138" s="44"/>
      <c r="D1138" s="349"/>
      <c r="E1138" s="33"/>
      <c r="F1138" s="33"/>
      <c r="G1138" s="33"/>
      <c r="H1138" s="33"/>
      <c r="I1138" s="33"/>
      <c r="J1138" s="33"/>
      <c r="K1138" s="33"/>
      <c r="L1138" s="561"/>
      <c r="M1138" s="33"/>
      <c r="N1138" s="33"/>
      <c r="O1138" s="33"/>
      <c r="P1138" s="184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44"/>
      <c r="AP1138" s="37"/>
      <c r="AQ1138" s="309"/>
      <c r="AR1138" s="57"/>
      <c r="AS1138" s="56">
        <f>Tabela4[[#This Row],[Total R$]]-Tabela4[[#This Row],[Total Pago]]</f>
        <v>0</v>
      </c>
      <c r="AT1138" s="36"/>
    </row>
    <row r="1139" spans="2:46" x14ac:dyDescent="0.25">
      <c r="B1139" s="44"/>
      <c r="D1139" s="349"/>
      <c r="E1139" s="33"/>
      <c r="F1139" s="33"/>
      <c r="G1139" s="33"/>
      <c r="H1139" s="33"/>
      <c r="I1139" s="33"/>
      <c r="J1139" s="33"/>
      <c r="K1139" s="33"/>
      <c r="L1139" s="561"/>
      <c r="M1139" s="33"/>
      <c r="N1139" s="33"/>
      <c r="O1139" s="33"/>
      <c r="P1139" s="184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44"/>
      <c r="AP1139" s="37"/>
      <c r="AQ1139" s="309"/>
      <c r="AR1139" s="57"/>
      <c r="AS1139" s="56">
        <f>Tabela4[[#This Row],[Total R$]]-Tabela4[[#This Row],[Total Pago]]</f>
        <v>0</v>
      </c>
      <c r="AT1139" s="36"/>
    </row>
    <row r="1140" spans="2:46" x14ac:dyDescent="0.25">
      <c r="B1140" s="44"/>
      <c r="D1140" s="349"/>
      <c r="E1140" s="33"/>
      <c r="F1140" s="33"/>
      <c r="G1140" s="33"/>
      <c r="H1140" s="33"/>
      <c r="I1140" s="33"/>
      <c r="J1140" s="33"/>
      <c r="K1140" s="33"/>
      <c r="L1140" s="561"/>
      <c r="M1140" s="33"/>
      <c r="N1140" s="33"/>
      <c r="O1140" s="33"/>
      <c r="P1140" s="184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44"/>
      <c r="AP1140" s="37"/>
      <c r="AQ1140" s="309"/>
      <c r="AR1140" s="57"/>
      <c r="AS1140" s="56">
        <f>Tabela4[[#This Row],[Total R$]]-Tabela4[[#This Row],[Total Pago]]</f>
        <v>0</v>
      </c>
      <c r="AT1140" s="36"/>
    </row>
    <row r="1141" spans="2:46" x14ac:dyDescent="0.25">
      <c r="B1141" s="44"/>
      <c r="D1141" s="349"/>
      <c r="E1141" s="33"/>
      <c r="F1141" s="33"/>
      <c r="G1141" s="33"/>
      <c r="H1141" s="33"/>
      <c r="I1141" s="33"/>
      <c r="J1141" s="33"/>
      <c r="K1141" s="33"/>
      <c r="L1141" s="561"/>
      <c r="M1141" s="33"/>
      <c r="N1141" s="33"/>
      <c r="O1141" s="33"/>
      <c r="P1141" s="184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44"/>
      <c r="AP1141" s="37"/>
      <c r="AQ1141" s="309"/>
      <c r="AR1141" s="57"/>
      <c r="AS1141" s="56">
        <f>Tabela4[[#This Row],[Total R$]]-Tabela4[[#This Row],[Total Pago]]</f>
        <v>0</v>
      </c>
      <c r="AT1141" s="36"/>
    </row>
    <row r="1142" spans="2:46" x14ac:dyDescent="0.25">
      <c r="B1142" s="44"/>
      <c r="D1142" s="349"/>
      <c r="E1142" s="33"/>
      <c r="F1142" s="33"/>
      <c r="G1142" s="33"/>
      <c r="H1142" s="33"/>
      <c r="I1142" s="33"/>
      <c r="J1142" s="33"/>
      <c r="K1142" s="33"/>
      <c r="L1142" s="561"/>
      <c r="M1142" s="33"/>
      <c r="N1142" s="33"/>
      <c r="O1142" s="33"/>
      <c r="P1142" s="184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44"/>
      <c r="AP1142" s="37"/>
      <c r="AQ1142" s="309"/>
      <c r="AR1142" s="57"/>
      <c r="AS1142" s="56">
        <f>Tabela4[[#This Row],[Total R$]]-Tabela4[[#This Row],[Total Pago]]</f>
        <v>0</v>
      </c>
      <c r="AT1142" s="36"/>
    </row>
    <row r="1143" spans="2:46" x14ac:dyDescent="0.25">
      <c r="B1143" s="44"/>
      <c r="D1143" s="349"/>
      <c r="E1143" s="33"/>
      <c r="F1143" s="33"/>
      <c r="G1143" s="33"/>
      <c r="H1143" s="33"/>
      <c r="I1143" s="33"/>
      <c r="J1143" s="33"/>
      <c r="K1143" s="33"/>
      <c r="L1143" s="561"/>
      <c r="M1143" s="33"/>
      <c r="N1143" s="33"/>
      <c r="O1143" s="33"/>
      <c r="P1143" s="184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44"/>
      <c r="AP1143" s="37"/>
      <c r="AQ1143" s="309"/>
      <c r="AR1143" s="57"/>
      <c r="AS1143" s="56">
        <f>Tabela4[[#This Row],[Total R$]]-Tabela4[[#This Row],[Total Pago]]</f>
        <v>0</v>
      </c>
      <c r="AT1143" s="36"/>
    </row>
    <row r="1144" spans="2:46" x14ac:dyDescent="0.25">
      <c r="B1144" s="44"/>
      <c r="D1144" s="349"/>
      <c r="E1144" s="33"/>
      <c r="F1144" s="33"/>
      <c r="G1144" s="33"/>
      <c r="H1144" s="33"/>
      <c r="I1144" s="33"/>
      <c r="J1144" s="33"/>
      <c r="K1144" s="33"/>
      <c r="L1144" s="561"/>
      <c r="M1144" s="33"/>
      <c r="N1144" s="33"/>
      <c r="O1144" s="33"/>
      <c r="P1144" s="184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44"/>
      <c r="AP1144" s="37"/>
      <c r="AQ1144" s="309"/>
      <c r="AR1144" s="57"/>
      <c r="AS1144" s="56">
        <f>Tabela4[[#This Row],[Total R$]]-Tabela4[[#This Row],[Total Pago]]</f>
        <v>0</v>
      </c>
      <c r="AT1144" s="36"/>
    </row>
    <row r="1145" spans="2:46" x14ac:dyDescent="0.25">
      <c r="B1145" s="44"/>
      <c r="D1145" s="349"/>
      <c r="E1145" s="33"/>
      <c r="F1145" s="33"/>
      <c r="G1145" s="33"/>
      <c r="H1145" s="33"/>
      <c r="I1145" s="33"/>
      <c r="J1145" s="33"/>
      <c r="K1145" s="33"/>
      <c r="L1145" s="561"/>
      <c r="M1145" s="33"/>
      <c r="N1145" s="33"/>
      <c r="O1145" s="33"/>
      <c r="P1145" s="184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09"/>
      <c r="AP1145" s="37"/>
      <c r="AQ1145" s="309"/>
      <c r="AR1145" s="57"/>
      <c r="AS1145" s="56">
        <f>Tabela4[[#This Row],[Total R$]]-Tabela4[[#This Row],[Total Pago]]</f>
        <v>0</v>
      </c>
      <c r="AT1145" s="36"/>
    </row>
    <row r="1146" spans="2:46" x14ac:dyDescent="0.25">
      <c r="B1146" s="44"/>
      <c r="D1146" s="349"/>
      <c r="E1146" s="33"/>
      <c r="F1146" s="33"/>
      <c r="G1146" s="33"/>
      <c r="H1146" s="33"/>
      <c r="I1146" s="33"/>
      <c r="J1146" s="33"/>
      <c r="K1146" s="33"/>
      <c r="L1146" s="561"/>
      <c r="M1146" s="33"/>
      <c r="N1146" s="33"/>
      <c r="O1146" s="33"/>
      <c r="P1146" s="184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44"/>
      <c r="AP1146" s="37"/>
      <c r="AQ1146" s="309"/>
      <c r="AR1146" s="57"/>
      <c r="AS1146" s="56">
        <f>Tabela4[[#This Row],[Total R$]]-Tabela4[[#This Row],[Total Pago]]</f>
        <v>0</v>
      </c>
      <c r="AT1146" s="36"/>
    </row>
    <row r="1147" spans="2:46" x14ac:dyDescent="0.25">
      <c r="B1147" s="44"/>
      <c r="D1147" s="349"/>
      <c r="E1147" s="33"/>
      <c r="F1147" s="33"/>
      <c r="G1147" s="33"/>
      <c r="H1147" s="33"/>
      <c r="I1147" s="33"/>
      <c r="J1147" s="33"/>
      <c r="K1147" s="33"/>
      <c r="L1147" s="561"/>
      <c r="M1147" s="33"/>
      <c r="N1147" s="33"/>
      <c r="O1147" s="33"/>
      <c r="P1147" s="184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44"/>
      <c r="AP1147" s="37"/>
      <c r="AQ1147" s="309"/>
      <c r="AR1147" s="57"/>
      <c r="AS1147" s="56">
        <f>Tabela4[[#This Row],[Total R$]]-Tabela4[[#This Row],[Total Pago]]</f>
        <v>0</v>
      </c>
      <c r="AT1147" s="36"/>
    </row>
    <row r="1148" spans="2:46" x14ac:dyDescent="0.25">
      <c r="B1148" s="44"/>
      <c r="D1148" s="349"/>
      <c r="E1148" s="33"/>
      <c r="F1148" s="33"/>
      <c r="G1148" s="33"/>
      <c r="H1148" s="33"/>
      <c r="I1148" s="33"/>
      <c r="J1148" s="33"/>
      <c r="K1148" s="33"/>
      <c r="L1148" s="561"/>
      <c r="M1148" s="33"/>
      <c r="N1148" s="33"/>
      <c r="O1148" s="33"/>
      <c r="P1148" s="184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44"/>
      <c r="AP1148" s="37"/>
      <c r="AQ1148" s="309"/>
      <c r="AR1148" s="57"/>
      <c r="AS1148" s="56">
        <f>Tabela4[[#This Row],[Total R$]]-Tabela4[[#This Row],[Total Pago]]</f>
        <v>0</v>
      </c>
      <c r="AT1148" s="36"/>
    </row>
    <row r="1149" spans="2:46" x14ac:dyDescent="0.25">
      <c r="B1149" s="44"/>
      <c r="D1149" s="349"/>
      <c r="E1149" s="33"/>
      <c r="F1149" s="33"/>
      <c r="G1149" s="33"/>
      <c r="H1149" s="33"/>
      <c r="I1149" s="33"/>
      <c r="J1149" s="33"/>
      <c r="K1149" s="33"/>
      <c r="L1149" s="561"/>
      <c r="M1149" s="33"/>
      <c r="N1149" s="33"/>
      <c r="O1149" s="33"/>
      <c r="P1149" s="184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44"/>
      <c r="AP1149" s="37"/>
      <c r="AQ1149" s="309"/>
      <c r="AR1149" s="57"/>
      <c r="AS1149" s="56">
        <f>Tabela4[[#This Row],[Total R$]]-Tabela4[[#This Row],[Total Pago]]</f>
        <v>0</v>
      </c>
      <c r="AT1149" s="36"/>
    </row>
    <row r="1150" spans="2:46" x14ac:dyDescent="0.25">
      <c r="B1150" s="44"/>
      <c r="D1150" s="349"/>
      <c r="E1150" s="33"/>
      <c r="F1150" s="33"/>
      <c r="G1150" s="33"/>
      <c r="H1150" s="33"/>
      <c r="I1150" s="33"/>
      <c r="J1150" s="33"/>
      <c r="K1150" s="33"/>
      <c r="L1150" s="561"/>
      <c r="M1150" s="33"/>
      <c r="N1150" s="33"/>
      <c r="O1150" s="33"/>
      <c r="P1150" s="184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44"/>
      <c r="AP1150" s="37"/>
      <c r="AQ1150" s="309"/>
      <c r="AR1150" s="57"/>
      <c r="AS1150" s="56">
        <f>Tabela4[[#This Row],[Total R$]]-Tabela4[[#This Row],[Total Pago]]</f>
        <v>0</v>
      </c>
      <c r="AT1150" s="36"/>
    </row>
    <row r="1151" spans="2:46" x14ac:dyDescent="0.25">
      <c r="B1151" s="44"/>
      <c r="D1151" s="349"/>
      <c r="E1151" s="33"/>
      <c r="F1151" s="33"/>
      <c r="G1151" s="33"/>
      <c r="H1151" s="33"/>
      <c r="I1151" s="33"/>
      <c r="J1151" s="33"/>
      <c r="K1151" s="33"/>
      <c r="L1151" s="561"/>
      <c r="M1151" s="33"/>
      <c r="N1151" s="33"/>
      <c r="O1151" s="33"/>
      <c r="P1151" s="184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44"/>
      <c r="AP1151" s="37"/>
      <c r="AQ1151" s="309"/>
      <c r="AR1151" s="57"/>
      <c r="AS1151" s="56">
        <f>Tabela4[[#This Row],[Total R$]]-Tabela4[[#This Row],[Total Pago]]</f>
        <v>0</v>
      </c>
      <c r="AT1151" s="36"/>
    </row>
    <row r="1152" spans="2:46" x14ac:dyDescent="0.25">
      <c r="B1152" s="44"/>
      <c r="D1152" s="349"/>
      <c r="E1152" s="33"/>
      <c r="F1152" s="33"/>
      <c r="G1152" s="33"/>
      <c r="H1152" s="33"/>
      <c r="I1152" s="33"/>
      <c r="J1152" s="33"/>
      <c r="K1152" s="33"/>
      <c r="L1152" s="561"/>
      <c r="M1152" s="33"/>
      <c r="N1152" s="33"/>
      <c r="O1152" s="33"/>
      <c r="P1152" s="184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44"/>
      <c r="AP1152" s="37"/>
      <c r="AQ1152" s="309"/>
      <c r="AR1152" s="57"/>
      <c r="AS1152" s="56">
        <f>Tabela4[[#This Row],[Total R$]]-Tabela4[[#This Row],[Total Pago]]</f>
        <v>0</v>
      </c>
      <c r="AT1152" s="36"/>
    </row>
    <row r="1153" spans="2:46" x14ac:dyDescent="0.25">
      <c r="B1153" s="44"/>
      <c r="D1153" s="349"/>
      <c r="E1153" s="33"/>
      <c r="F1153" s="33"/>
      <c r="G1153" s="33"/>
      <c r="H1153" s="33"/>
      <c r="I1153" s="33"/>
      <c r="J1153" s="33"/>
      <c r="K1153" s="33"/>
      <c r="L1153" s="561"/>
      <c r="M1153" s="33"/>
      <c r="N1153" s="33"/>
      <c r="O1153" s="33"/>
      <c r="P1153" s="184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44"/>
      <c r="AP1153" s="37"/>
      <c r="AQ1153" s="309"/>
      <c r="AR1153" s="57"/>
      <c r="AS1153" s="56">
        <f>Tabela4[[#This Row],[Total R$]]-Tabela4[[#This Row],[Total Pago]]</f>
        <v>0</v>
      </c>
      <c r="AT1153" s="36"/>
    </row>
    <row r="1154" spans="2:46" x14ac:dyDescent="0.25">
      <c r="B1154" s="44"/>
      <c r="D1154" s="349"/>
      <c r="E1154" s="33"/>
      <c r="F1154" s="33"/>
      <c r="G1154" s="33"/>
      <c r="H1154" s="33"/>
      <c r="I1154" s="33"/>
      <c r="J1154" s="33"/>
      <c r="K1154" s="33"/>
      <c r="L1154" s="561"/>
      <c r="M1154" s="33"/>
      <c r="N1154" s="33"/>
      <c r="O1154" s="33"/>
      <c r="P1154" s="184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44"/>
      <c r="AP1154" s="37"/>
      <c r="AQ1154" s="309"/>
      <c r="AR1154" s="57"/>
      <c r="AS1154" s="56">
        <f>Tabela4[[#This Row],[Total R$]]-Tabela4[[#This Row],[Total Pago]]</f>
        <v>0</v>
      </c>
      <c r="AT1154" s="36"/>
    </row>
    <row r="1155" spans="2:46" x14ac:dyDescent="0.25">
      <c r="B1155" s="44"/>
      <c r="D1155" s="349"/>
      <c r="E1155" s="33"/>
      <c r="F1155" s="33"/>
      <c r="G1155" s="33"/>
      <c r="H1155" s="33"/>
      <c r="I1155" s="33"/>
      <c r="J1155" s="33"/>
      <c r="K1155" s="33"/>
      <c r="L1155" s="561"/>
      <c r="M1155" s="33"/>
      <c r="N1155" s="33"/>
      <c r="O1155" s="33"/>
      <c r="P1155" s="184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44"/>
      <c r="AP1155" s="37"/>
      <c r="AQ1155" s="309"/>
      <c r="AR1155" s="57"/>
      <c r="AS1155" s="56">
        <f>Tabela4[[#This Row],[Total R$]]-Tabela4[[#This Row],[Total Pago]]</f>
        <v>0</v>
      </c>
      <c r="AT1155" s="36"/>
    </row>
    <row r="1156" spans="2:46" x14ac:dyDescent="0.25">
      <c r="B1156" s="44"/>
      <c r="D1156" s="349"/>
      <c r="E1156" s="33"/>
      <c r="F1156" s="33"/>
      <c r="G1156" s="33"/>
      <c r="H1156" s="33"/>
      <c r="I1156" s="33"/>
      <c r="J1156" s="33"/>
      <c r="K1156" s="33"/>
      <c r="L1156" s="561"/>
      <c r="M1156" s="33"/>
      <c r="N1156" s="33"/>
      <c r="O1156" s="33"/>
      <c r="P1156" s="184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44"/>
      <c r="AP1156" s="37"/>
      <c r="AQ1156" s="309"/>
      <c r="AR1156" s="57"/>
      <c r="AS1156" s="56">
        <f>Tabela4[[#This Row],[Total R$]]-Tabela4[[#This Row],[Total Pago]]</f>
        <v>0</v>
      </c>
      <c r="AT1156" s="36"/>
    </row>
    <row r="1157" spans="2:46" x14ac:dyDescent="0.25">
      <c r="B1157" s="44"/>
      <c r="D1157" s="349"/>
      <c r="E1157" s="33"/>
      <c r="F1157" s="33"/>
      <c r="G1157" s="33"/>
      <c r="H1157" s="33"/>
      <c r="I1157" s="33"/>
      <c r="J1157" s="33"/>
      <c r="K1157" s="33"/>
      <c r="L1157" s="561"/>
      <c r="M1157" s="33"/>
      <c r="N1157" s="33"/>
      <c r="O1157" s="33"/>
      <c r="P1157" s="184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44"/>
      <c r="AP1157" s="37"/>
      <c r="AQ1157" s="309"/>
      <c r="AR1157" s="57"/>
      <c r="AS1157" s="56">
        <f>Tabela4[[#This Row],[Total R$]]-Tabela4[[#This Row],[Total Pago]]</f>
        <v>0</v>
      </c>
      <c r="AT1157" s="36"/>
    </row>
    <row r="1158" spans="2:46" x14ac:dyDescent="0.25">
      <c r="B1158" s="44"/>
      <c r="D1158" s="349"/>
      <c r="E1158" s="33"/>
      <c r="F1158" s="33"/>
      <c r="G1158" s="33"/>
      <c r="H1158" s="33"/>
      <c r="I1158" s="33"/>
      <c r="J1158" s="33"/>
      <c r="K1158" s="33"/>
      <c r="L1158" s="561"/>
      <c r="M1158" s="33"/>
      <c r="N1158" s="33"/>
      <c r="O1158" s="33"/>
      <c r="P1158" s="184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44"/>
      <c r="AP1158" s="37"/>
      <c r="AQ1158" s="309"/>
      <c r="AR1158" s="57"/>
      <c r="AS1158" s="56">
        <f>Tabela4[[#This Row],[Total R$]]-Tabela4[[#This Row],[Total Pago]]</f>
        <v>0</v>
      </c>
      <c r="AT1158" s="36"/>
    </row>
    <row r="1159" spans="2:46" x14ac:dyDescent="0.25">
      <c r="B1159" s="44"/>
      <c r="D1159" s="349"/>
      <c r="E1159" s="33"/>
      <c r="F1159" s="33"/>
      <c r="G1159" s="33"/>
      <c r="H1159" s="33"/>
      <c r="I1159" s="33"/>
      <c r="J1159" s="33"/>
      <c r="K1159" s="33"/>
      <c r="L1159" s="561"/>
      <c r="M1159" s="33"/>
      <c r="N1159" s="33"/>
      <c r="O1159" s="33"/>
      <c r="P1159" s="184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44"/>
      <c r="AP1159" s="37"/>
      <c r="AQ1159" s="309"/>
      <c r="AR1159" s="57"/>
      <c r="AS1159" s="56">
        <f>Tabela4[[#This Row],[Total R$]]-Tabela4[[#This Row],[Total Pago]]</f>
        <v>0</v>
      </c>
      <c r="AT1159" s="36"/>
    </row>
    <row r="1160" spans="2:46" x14ac:dyDescent="0.25">
      <c r="B1160" s="44"/>
      <c r="D1160" s="349"/>
      <c r="E1160" s="33"/>
      <c r="F1160" s="33"/>
      <c r="G1160" s="33"/>
      <c r="H1160" s="33"/>
      <c r="I1160" s="33"/>
      <c r="J1160" s="33"/>
      <c r="K1160" s="33"/>
      <c r="L1160" s="561"/>
      <c r="M1160" s="33"/>
      <c r="N1160" s="33"/>
      <c r="O1160" s="33"/>
      <c r="P1160" s="184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44"/>
      <c r="AP1160" s="37"/>
      <c r="AQ1160" s="309"/>
      <c r="AR1160" s="57"/>
      <c r="AS1160" s="56">
        <f>Tabela4[[#This Row],[Total R$]]-Tabela4[[#This Row],[Total Pago]]</f>
        <v>0</v>
      </c>
      <c r="AT1160" s="36"/>
    </row>
    <row r="1161" spans="2:46" x14ac:dyDescent="0.25">
      <c r="B1161" s="44"/>
      <c r="D1161" s="349"/>
      <c r="E1161" s="33"/>
      <c r="F1161" s="33"/>
      <c r="G1161" s="33"/>
      <c r="H1161" s="33"/>
      <c r="I1161" s="33"/>
      <c r="J1161" s="33"/>
      <c r="K1161" s="33"/>
      <c r="L1161" s="561"/>
      <c r="M1161" s="33"/>
      <c r="N1161" s="33"/>
      <c r="O1161" s="33"/>
      <c r="P1161" s="184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44"/>
      <c r="AP1161" s="37"/>
      <c r="AQ1161" s="309"/>
      <c r="AR1161" s="57"/>
      <c r="AS1161" s="56">
        <f>Tabela4[[#This Row],[Total R$]]-Tabela4[[#This Row],[Total Pago]]</f>
        <v>0</v>
      </c>
      <c r="AT1161" s="36"/>
    </row>
    <row r="1162" spans="2:46" x14ac:dyDescent="0.25">
      <c r="B1162" s="44"/>
      <c r="D1162" s="349"/>
      <c r="E1162" s="33"/>
      <c r="F1162" s="33"/>
      <c r="G1162" s="33"/>
      <c r="H1162" s="33"/>
      <c r="I1162" s="33"/>
      <c r="J1162" s="33"/>
      <c r="K1162" s="33"/>
      <c r="L1162" s="561"/>
      <c r="M1162" s="33"/>
      <c r="N1162" s="33"/>
      <c r="O1162" s="33"/>
      <c r="P1162" s="184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44"/>
      <c r="AP1162" s="37"/>
      <c r="AQ1162" s="309"/>
      <c r="AR1162" s="57"/>
      <c r="AS1162" s="56">
        <f>Tabela4[[#This Row],[Total R$]]-Tabela4[[#This Row],[Total Pago]]</f>
        <v>0</v>
      </c>
      <c r="AT1162" s="36"/>
    </row>
    <row r="1163" spans="2:46" x14ac:dyDescent="0.25">
      <c r="B1163" s="44"/>
      <c r="D1163" s="349"/>
      <c r="E1163" s="33"/>
      <c r="F1163" s="33"/>
      <c r="G1163" s="33"/>
      <c r="H1163" s="33"/>
      <c r="I1163" s="33"/>
      <c r="J1163" s="33"/>
      <c r="K1163" s="33"/>
      <c r="L1163" s="561"/>
      <c r="M1163" s="33"/>
      <c r="N1163" s="33"/>
      <c r="O1163" s="33"/>
      <c r="P1163" s="184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44"/>
      <c r="AP1163" s="37"/>
      <c r="AQ1163" s="309"/>
      <c r="AR1163" s="57"/>
      <c r="AS1163" s="56">
        <f>Tabela4[[#This Row],[Total R$]]-Tabela4[[#This Row],[Total Pago]]</f>
        <v>0</v>
      </c>
      <c r="AT1163" s="36"/>
    </row>
    <row r="1164" spans="2:46" x14ac:dyDescent="0.25">
      <c r="B1164" s="44"/>
      <c r="D1164" s="349"/>
      <c r="E1164" s="33"/>
      <c r="F1164" s="33"/>
      <c r="G1164" s="33"/>
      <c r="H1164" s="33"/>
      <c r="I1164" s="33"/>
      <c r="J1164" s="33"/>
      <c r="K1164" s="33"/>
      <c r="L1164" s="561"/>
      <c r="M1164" s="33"/>
      <c r="N1164" s="33"/>
      <c r="O1164" s="33"/>
      <c r="P1164" s="184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44"/>
      <c r="AP1164" s="37"/>
      <c r="AQ1164" s="309"/>
      <c r="AR1164" s="57"/>
      <c r="AS1164" s="56">
        <f>Tabela4[[#This Row],[Total R$]]-Tabela4[[#This Row],[Total Pago]]</f>
        <v>0</v>
      </c>
      <c r="AT1164" s="36"/>
    </row>
    <row r="1165" spans="2:46" x14ac:dyDescent="0.25">
      <c r="B1165" s="44"/>
      <c r="D1165" s="349"/>
      <c r="E1165" s="33"/>
      <c r="F1165" s="33"/>
      <c r="G1165" s="33"/>
      <c r="H1165" s="33"/>
      <c r="I1165" s="33"/>
      <c r="J1165" s="33"/>
      <c r="K1165" s="33"/>
      <c r="L1165" s="561"/>
      <c r="M1165" s="33"/>
      <c r="N1165" s="33"/>
      <c r="O1165" s="33"/>
      <c r="P1165" s="184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44"/>
      <c r="AP1165" s="37"/>
      <c r="AQ1165" s="309"/>
      <c r="AR1165" s="57"/>
      <c r="AS1165" s="56">
        <f>Tabela4[[#This Row],[Total R$]]-Tabela4[[#This Row],[Total Pago]]</f>
        <v>0</v>
      </c>
      <c r="AT1165" s="36"/>
    </row>
    <row r="1166" spans="2:46" x14ac:dyDescent="0.25">
      <c r="B1166" s="44"/>
      <c r="D1166" s="349"/>
      <c r="E1166" s="33"/>
      <c r="F1166" s="33"/>
      <c r="G1166" s="33"/>
      <c r="H1166" s="33"/>
      <c r="I1166" s="33"/>
      <c r="J1166" s="33"/>
      <c r="K1166" s="33"/>
      <c r="L1166" s="561"/>
      <c r="M1166" s="33"/>
      <c r="N1166" s="33"/>
      <c r="O1166" s="33"/>
      <c r="P1166" s="184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44"/>
      <c r="AP1166" s="37"/>
      <c r="AQ1166" s="309"/>
      <c r="AR1166" s="57"/>
      <c r="AS1166" s="56">
        <f>Tabela4[[#This Row],[Total R$]]-Tabela4[[#This Row],[Total Pago]]</f>
        <v>0</v>
      </c>
      <c r="AT1166" s="36"/>
    </row>
    <row r="1167" spans="2:46" x14ac:dyDescent="0.25">
      <c r="B1167" s="44"/>
      <c r="D1167" s="349"/>
      <c r="E1167" s="33"/>
      <c r="F1167" s="33"/>
      <c r="G1167" s="33"/>
      <c r="H1167" s="33"/>
      <c r="I1167" s="33"/>
      <c r="J1167" s="33"/>
      <c r="K1167" s="33"/>
      <c r="L1167" s="561"/>
      <c r="M1167" s="33"/>
      <c r="N1167" s="33"/>
      <c r="O1167" s="33"/>
      <c r="P1167" s="184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44"/>
      <c r="AP1167" s="37"/>
      <c r="AQ1167" s="309"/>
      <c r="AR1167" s="57"/>
      <c r="AS1167" s="56">
        <f>Tabela4[[#This Row],[Total R$]]-Tabela4[[#This Row],[Total Pago]]</f>
        <v>0</v>
      </c>
      <c r="AT1167" s="36"/>
    </row>
    <row r="1168" spans="2:46" x14ac:dyDescent="0.25">
      <c r="B1168" s="44"/>
      <c r="D1168" s="349"/>
      <c r="E1168" s="33"/>
      <c r="F1168" s="33"/>
      <c r="G1168" s="33"/>
      <c r="H1168" s="33"/>
      <c r="I1168" s="33"/>
      <c r="J1168" s="33"/>
      <c r="K1168" s="33"/>
      <c r="L1168" s="561"/>
      <c r="M1168" s="33"/>
      <c r="N1168" s="33"/>
      <c r="O1168" s="33"/>
      <c r="P1168" s="184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44"/>
      <c r="AP1168" s="37"/>
      <c r="AQ1168" s="309"/>
      <c r="AR1168" s="57"/>
      <c r="AS1168" s="56">
        <f>Tabela4[[#This Row],[Total R$]]-Tabela4[[#This Row],[Total Pago]]</f>
        <v>0</v>
      </c>
      <c r="AT1168" s="36"/>
    </row>
    <row r="1169" spans="2:46" x14ac:dyDescent="0.25">
      <c r="B1169" s="44"/>
      <c r="D1169" s="349"/>
      <c r="E1169" s="33"/>
      <c r="F1169" s="33"/>
      <c r="G1169" s="33"/>
      <c r="H1169" s="33"/>
      <c r="I1169" s="33"/>
      <c r="J1169" s="33"/>
      <c r="K1169" s="33"/>
      <c r="L1169" s="561"/>
      <c r="M1169" s="33"/>
      <c r="N1169" s="33"/>
      <c r="O1169" s="33"/>
      <c r="P1169" s="184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44"/>
      <c r="AP1169" s="37"/>
      <c r="AQ1169" s="309"/>
      <c r="AR1169" s="57"/>
      <c r="AS1169" s="56">
        <f>Tabela4[[#This Row],[Total R$]]-Tabela4[[#This Row],[Total Pago]]</f>
        <v>0</v>
      </c>
      <c r="AT1169" s="36"/>
    </row>
    <row r="1170" spans="2:46" x14ac:dyDescent="0.25">
      <c r="B1170" s="44"/>
      <c r="D1170" s="349"/>
      <c r="E1170" s="33"/>
      <c r="F1170" s="33"/>
      <c r="G1170" s="33"/>
      <c r="H1170" s="33"/>
      <c r="I1170" s="33"/>
      <c r="J1170" s="33"/>
      <c r="K1170" s="33"/>
      <c r="L1170" s="561"/>
      <c r="M1170" s="33"/>
      <c r="N1170" s="33"/>
      <c r="O1170" s="33"/>
      <c r="P1170" s="184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44"/>
      <c r="AP1170" s="37"/>
      <c r="AQ1170" s="309"/>
      <c r="AR1170" s="57"/>
      <c r="AS1170" s="56">
        <f>Tabela4[[#This Row],[Total R$]]-Tabela4[[#This Row],[Total Pago]]</f>
        <v>0</v>
      </c>
      <c r="AT1170" s="36"/>
    </row>
    <row r="1171" spans="2:46" x14ac:dyDescent="0.25">
      <c r="B1171" s="44"/>
      <c r="D1171" s="349"/>
      <c r="E1171" s="33"/>
      <c r="F1171" s="33"/>
      <c r="G1171" s="33"/>
      <c r="H1171" s="33"/>
      <c r="I1171" s="33"/>
      <c r="J1171" s="33"/>
      <c r="K1171" s="33"/>
      <c r="L1171" s="561"/>
      <c r="M1171" s="33"/>
      <c r="N1171" s="33"/>
      <c r="O1171" s="33"/>
      <c r="P1171" s="184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44"/>
      <c r="AP1171" s="37"/>
      <c r="AQ1171" s="309"/>
      <c r="AR1171" s="57"/>
      <c r="AS1171" s="56">
        <f>Tabela4[[#This Row],[Total R$]]-Tabela4[[#This Row],[Total Pago]]</f>
        <v>0</v>
      </c>
      <c r="AT1171" s="36"/>
    </row>
    <row r="1172" spans="2:46" x14ac:dyDescent="0.25">
      <c r="B1172" s="44"/>
      <c r="D1172" s="349"/>
      <c r="E1172" s="33"/>
      <c r="F1172" s="33"/>
      <c r="G1172" s="33"/>
      <c r="H1172" s="33"/>
      <c r="I1172" s="33"/>
      <c r="J1172" s="33"/>
      <c r="K1172" s="33"/>
      <c r="L1172" s="561"/>
      <c r="M1172" s="33"/>
      <c r="N1172" s="33"/>
      <c r="O1172" s="33"/>
      <c r="P1172" s="184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44"/>
      <c r="AP1172" s="37"/>
      <c r="AQ1172" s="309"/>
      <c r="AR1172" s="57"/>
      <c r="AS1172" s="56">
        <f>Tabela4[[#This Row],[Total R$]]-Tabela4[[#This Row],[Total Pago]]</f>
        <v>0</v>
      </c>
      <c r="AT1172" s="36"/>
    </row>
    <row r="1173" spans="2:46" x14ac:dyDescent="0.25">
      <c r="B1173" s="44"/>
      <c r="D1173" s="349"/>
      <c r="E1173" s="33"/>
      <c r="F1173" s="33"/>
      <c r="G1173" s="33"/>
      <c r="H1173" s="33"/>
      <c r="I1173" s="33"/>
      <c r="J1173" s="33"/>
      <c r="K1173" s="33"/>
      <c r="L1173" s="561"/>
      <c r="M1173" s="33"/>
      <c r="N1173" s="33"/>
      <c r="O1173" s="33"/>
      <c r="P1173" s="184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44"/>
      <c r="AP1173" s="37"/>
      <c r="AQ1173" s="309"/>
      <c r="AR1173" s="57"/>
      <c r="AS1173" s="56">
        <f>Tabela4[[#This Row],[Total R$]]-Tabela4[[#This Row],[Total Pago]]</f>
        <v>0</v>
      </c>
      <c r="AT1173" s="36"/>
    </row>
    <row r="1174" spans="2:46" x14ac:dyDescent="0.25">
      <c r="B1174" s="44"/>
      <c r="D1174" s="349"/>
      <c r="E1174" s="33"/>
      <c r="F1174" s="33"/>
      <c r="G1174" s="33"/>
      <c r="H1174" s="33"/>
      <c r="I1174" s="33"/>
      <c r="J1174" s="33"/>
      <c r="K1174" s="33"/>
      <c r="L1174" s="561"/>
      <c r="M1174" s="33"/>
      <c r="N1174" s="33"/>
      <c r="O1174" s="33"/>
      <c r="P1174" s="184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44"/>
      <c r="AP1174" s="37"/>
      <c r="AQ1174" s="309"/>
      <c r="AR1174" s="57"/>
      <c r="AS1174" s="56">
        <f>Tabela4[[#This Row],[Total R$]]-Tabela4[[#This Row],[Total Pago]]</f>
        <v>0</v>
      </c>
      <c r="AT1174" s="36"/>
    </row>
    <row r="1175" spans="2:46" x14ac:dyDescent="0.25">
      <c r="B1175" s="44"/>
      <c r="D1175" s="349"/>
      <c r="E1175" s="33"/>
      <c r="F1175" s="33"/>
      <c r="G1175" s="33"/>
      <c r="H1175" s="33"/>
      <c r="I1175" s="33"/>
      <c r="J1175" s="33"/>
      <c r="K1175" s="33"/>
      <c r="L1175" s="561"/>
      <c r="M1175" s="33"/>
      <c r="N1175" s="33"/>
      <c r="O1175" s="33"/>
      <c r="P1175" s="184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44"/>
      <c r="AP1175" s="37"/>
      <c r="AQ1175" s="309"/>
      <c r="AR1175" s="57"/>
      <c r="AS1175" s="56">
        <f>Tabela4[[#This Row],[Total R$]]-Tabela4[[#This Row],[Total Pago]]</f>
        <v>0</v>
      </c>
      <c r="AT1175" s="36"/>
    </row>
    <row r="1176" spans="2:46" x14ac:dyDescent="0.25">
      <c r="B1176" s="44"/>
      <c r="D1176" s="349"/>
      <c r="E1176" s="33"/>
      <c r="F1176" s="33"/>
      <c r="G1176" s="33"/>
      <c r="H1176" s="33"/>
      <c r="I1176" s="33"/>
      <c r="J1176" s="33"/>
      <c r="K1176" s="33"/>
      <c r="L1176" s="561"/>
      <c r="M1176" s="33"/>
      <c r="N1176" s="33"/>
      <c r="O1176" s="33"/>
      <c r="P1176" s="184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44"/>
      <c r="AP1176" s="37"/>
      <c r="AQ1176" s="309"/>
      <c r="AR1176" s="57"/>
      <c r="AS1176" s="56">
        <f>Tabela4[[#This Row],[Total R$]]-Tabela4[[#This Row],[Total Pago]]</f>
        <v>0</v>
      </c>
      <c r="AT1176" s="36"/>
    </row>
    <row r="1177" spans="2:46" x14ac:dyDescent="0.25">
      <c r="B1177" s="44"/>
      <c r="D1177" s="349"/>
      <c r="E1177" s="33"/>
      <c r="F1177" s="33"/>
      <c r="G1177" s="33"/>
      <c r="H1177" s="33"/>
      <c r="I1177" s="33"/>
      <c r="J1177" s="33"/>
      <c r="K1177" s="33"/>
      <c r="L1177" s="561"/>
      <c r="M1177" s="33"/>
      <c r="N1177" s="33"/>
      <c r="O1177" s="33"/>
      <c r="P1177" s="184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44"/>
      <c r="AP1177" s="37"/>
      <c r="AQ1177" s="309"/>
      <c r="AR1177" s="57"/>
      <c r="AS1177" s="56">
        <f>Tabela4[[#This Row],[Total R$]]-Tabela4[[#This Row],[Total Pago]]</f>
        <v>0</v>
      </c>
      <c r="AT1177" s="36"/>
    </row>
    <row r="1178" spans="2:46" x14ac:dyDescent="0.25">
      <c r="B1178" s="44"/>
      <c r="D1178" s="349"/>
      <c r="E1178" s="33"/>
      <c r="F1178" s="33"/>
      <c r="G1178" s="33"/>
      <c r="H1178" s="33"/>
      <c r="I1178" s="33"/>
      <c r="J1178" s="33"/>
      <c r="K1178" s="33"/>
      <c r="L1178" s="561"/>
      <c r="M1178" s="33"/>
      <c r="N1178" s="33"/>
      <c r="O1178" s="33"/>
      <c r="P1178" s="184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44"/>
      <c r="AP1178" s="37"/>
      <c r="AQ1178" s="309"/>
      <c r="AR1178" s="57"/>
      <c r="AS1178" s="56">
        <f>Tabela4[[#This Row],[Total R$]]-Tabela4[[#This Row],[Total Pago]]</f>
        <v>0</v>
      </c>
      <c r="AT1178" s="36"/>
    </row>
    <row r="1179" spans="2:46" x14ac:dyDescent="0.25">
      <c r="B1179" s="44"/>
      <c r="D1179" s="349"/>
      <c r="E1179" s="33"/>
      <c r="F1179" s="33"/>
      <c r="G1179" s="33"/>
      <c r="H1179" s="33"/>
      <c r="I1179" s="33"/>
      <c r="J1179" s="33"/>
      <c r="K1179" s="33"/>
      <c r="L1179" s="561"/>
      <c r="M1179" s="33"/>
      <c r="N1179" s="33"/>
      <c r="O1179" s="33"/>
      <c r="P1179" s="184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44"/>
      <c r="AP1179" s="37"/>
      <c r="AQ1179" s="309"/>
      <c r="AR1179" s="57"/>
      <c r="AS1179" s="56">
        <f>Tabela4[[#This Row],[Total R$]]-Tabela4[[#This Row],[Total Pago]]</f>
        <v>0</v>
      </c>
      <c r="AT1179" s="36"/>
    </row>
    <row r="1180" spans="2:46" x14ac:dyDescent="0.25">
      <c r="B1180" s="44"/>
      <c r="D1180" s="349"/>
      <c r="E1180" s="33"/>
      <c r="F1180" s="33"/>
      <c r="G1180" s="33"/>
      <c r="H1180" s="33"/>
      <c r="I1180" s="33"/>
      <c r="J1180" s="33"/>
      <c r="K1180" s="33"/>
      <c r="L1180" s="561"/>
      <c r="M1180" s="33"/>
      <c r="N1180" s="33"/>
      <c r="O1180" s="33"/>
      <c r="P1180" s="184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44"/>
      <c r="AP1180" s="37"/>
      <c r="AQ1180" s="309"/>
      <c r="AR1180" s="57"/>
      <c r="AS1180" s="56">
        <f>Tabela4[[#This Row],[Total R$]]-Tabela4[[#This Row],[Total Pago]]</f>
        <v>0</v>
      </c>
      <c r="AT1180" s="36"/>
    </row>
    <row r="1181" spans="2:46" x14ac:dyDescent="0.25">
      <c r="B1181" s="44"/>
      <c r="D1181" s="349"/>
      <c r="E1181" s="33"/>
      <c r="F1181" s="33"/>
      <c r="G1181" s="33"/>
      <c r="H1181" s="33"/>
      <c r="I1181" s="33"/>
      <c r="J1181" s="33"/>
      <c r="K1181" s="33"/>
      <c r="L1181" s="561"/>
      <c r="M1181" s="33"/>
      <c r="N1181" s="33"/>
      <c r="O1181" s="33"/>
      <c r="P1181" s="184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44"/>
      <c r="AP1181" s="37"/>
      <c r="AQ1181" s="309"/>
      <c r="AR1181" s="57"/>
      <c r="AS1181" s="56">
        <f>Tabela4[[#This Row],[Total R$]]-Tabela4[[#This Row],[Total Pago]]</f>
        <v>0</v>
      </c>
      <c r="AT1181" s="36"/>
    </row>
    <row r="1182" spans="2:46" x14ac:dyDescent="0.25">
      <c r="B1182" s="44"/>
      <c r="D1182" s="349"/>
      <c r="E1182" s="33"/>
      <c r="F1182" s="33"/>
      <c r="G1182" s="33"/>
      <c r="H1182" s="33"/>
      <c r="I1182" s="33"/>
      <c r="J1182" s="33"/>
      <c r="K1182" s="33"/>
      <c r="L1182" s="561"/>
      <c r="M1182" s="33"/>
      <c r="N1182" s="33"/>
      <c r="O1182" s="33"/>
      <c r="P1182" s="184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44"/>
      <c r="AP1182" s="37"/>
      <c r="AQ1182" s="309"/>
      <c r="AR1182" s="57"/>
      <c r="AS1182" s="56">
        <f>Tabela4[[#This Row],[Total R$]]-Tabela4[[#This Row],[Total Pago]]</f>
        <v>0</v>
      </c>
      <c r="AT1182" s="36"/>
    </row>
    <row r="1183" spans="2:46" x14ac:dyDescent="0.25">
      <c r="B1183" s="44"/>
      <c r="D1183" s="349"/>
      <c r="E1183" s="33"/>
      <c r="F1183" s="33"/>
      <c r="G1183" s="33"/>
      <c r="H1183" s="33"/>
      <c r="I1183" s="33"/>
      <c r="J1183" s="33"/>
      <c r="K1183" s="33"/>
      <c r="L1183" s="561"/>
      <c r="M1183" s="33"/>
      <c r="N1183" s="33"/>
      <c r="O1183" s="33"/>
      <c r="P1183" s="184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44"/>
      <c r="AP1183" s="37"/>
      <c r="AQ1183" s="309"/>
      <c r="AR1183" s="57"/>
      <c r="AS1183" s="56">
        <f>Tabela4[[#This Row],[Total R$]]-Tabela4[[#This Row],[Total Pago]]</f>
        <v>0</v>
      </c>
      <c r="AT1183" s="36"/>
    </row>
    <row r="1184" spans="2:46" x14ac:dyDescent="0.25">
      <c r="B1184" s="44"/>
      <c r="D1184" s="349"/>
      <c r="E1184" s="33"/>
      <c r="F1184" s="33"/>
      <c r="G1184" s="33"/>
      <c r="H1184" s="33"/>
      <c r="I1184" s="33"/>
      <c r="J1184" s="33"/>
      <c r="K1184" s="33"/>
      <c r="L1184" s="561"/>
      <c r="M1184" s="33"/>
      <c r="N1184" s="33"/>
      <c r="O1184" s="33"/>
      <c r="P1184" s="184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44"/>
      <c r="AP1184" s="37"/>
      <c r="AQ1184" s="309"/>
      <c r="AR1184" s="57"/>
      <c r="AS1184" s="56">
        <f>Tabela4[[#This Row],[Total R$]]-Tabela4[[#This Row],[Total Pago]]</f>
        <v>0</v>
      </c>
      <c r="AT1184" s="36"/>
    </row>
    <row r="1185" spans="2:46" x14ac:dyDescent="0.25">
      <c r="B1185" s="44"/>
      <c r="D1185" s="349"/>
      <c r="E1185" s="33"/>
      <c r="F1185" s="33"/>
      <c r="G1185" s="33"/>
      <c r="H1185" s="33"/>
      <c r="I1185" s="33"/>
      <c r="J1185" s="33"/>
      <c r="K1185" s="33"/>
      <c r="L1185" s="561"/>
      <c r="M1185" s="33"/>
      <c r="N1185" s="33"/>
      <c r="O1185" s="33"/>
      <c r="P1185" s="184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44"/>
      <c r="AP1185" s="37"/>
      <c r="AQ1185" s="309"/>
      <c r="AR1185" s="57"/>
      <c r="AS1185" s="56">
        <f>Tabela4[[#This Row],[Total R$]]-Tabela4[[#This Row],[Total Pago]]</f>
        <v>0</v>
      </c>
      <c r="AT1185" s="36"/>
    </row>
    <row r="1186" spans="2:46" x14ac:dyDescent="0.25">
      <c r="B1186" s="44"/>
      <c r="D1186" s="349"/>
      <c r="E1186" s="33"/>
      <c r="F1186" s="33"/>
      <c r="G1186" s="33"/>
      <c r="H1186" s="33"/>
      <c r="I1186" s="33"/>
      <c r="J1186" s="33"/>
      <c r="K1186" s="33"/>
      <c r="L1186" s="561"/>
      <c r="M1186" s="33"/>
      <c r="N1186" s="33"/>
      <c r="O1186" s="33"/>
      <c r="P1186" s="184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44"/>
      <c r="AP1186" s="37"/>
      <c r="AQ1186" s="309"/>
      <c r="AR1186" s="57"/>
      <c r="AS1186" s="56">
        <f>Tabela4[[#This Row],[Total R$]]-Tabela4[[#This Row],[Total Pago]]</f>
        <v>0</v>
      </c>
      <c r="AT1186" s="36"/>
    </row>
    <row r="1187" spans="2:46" x14ac:dyDescent="0.25">
      <c r="B1187" s="44"/>
      <c r="D1187" s="349"/>
      <c r="E1187" s="33"/>
      <c r="F1187" s="33"/>
      <c r="G1187" s="33"/>
      <c r="H1187" s="33"/>
      <c r="I1187" s="33"/>
      <c r="J1187" s="33"/>
      <c r="K1187" s="33"/>
      <c r="L1187" s="561"/>
      <c r="M1187" s="33"/>
      <c r="N1187" s="33"/>
      <c r="O1187" s="33"/>
      <c r="P1187" s="184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44"/>
      <c r="AP1187" s="37"/>
      <c r="AQ1187" s="309"/>
      <c r="AR1187" s="57"/>
      <c r="AS1187" s="56">
        <f>Tabela4[[#This Row],[Total R$]]-Tabela4[[#This Row],[Total Pago]]</f>
        <v>0</v>
      </c>
      <c r="AT1187" s="36"/>
    </row>
    <row r="1188" spans="2:46" x14ac:dyDescent="0.25">
      <c r="B1188" s="44"/>
      <c r="D1188" s="349"/>
      <c r="E1188" s="33"/>
      <c r="F1188" s="33"/>
      <c r="G1188" s="33"/>
      <c r="H1188" s="33"/>
      <c r="I1188" s="33"/>
      <c r="J1188" s="33"/>
      <c r="K1188" s="33"/>
      <c r="L1188" s="561"/>
      <c r="M1188" s="33"/>
      <c r="N1188" s="33"/>
      <c r="O1188" s="33"/>
      <c r="P1188" s="184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44"/>
      <c r="AP1188" s="37"/>
      <c r="AQ1188" s="309"/>
      <c r="AR1188" s="57"/>
      <c r="AS1188" s="56">
        <f>Tabela4[[#This Row],[Total R$]]-Tabela4[[#This Row],[Total Pago]]</f>
        <v>0</v>
      </c>
      <c r="AT1188" s="36"/>
    </row>
    <row r="1189" spans="2:46" x14ac:dyDescent="0.25">
      <c r="B1189" s="44"/>
      <c r="D1189" s="349"/>
      <c r="E1189" s="33"/>
      <c r="F1189" s="33"/>
      <c r="G1189" s="33"/>
      <c r="H1189" s="33"/>
      <c r="I1189" s="33"/>
      <c r="J1189" s="33"/>
      <c r="K1189" s="33"/>
      <c r="L1189" s="561"/>
      <c r="M1189" s="33"/>
      <c r="N1189" s="33"/>
      <c r="O1189" s="33"/>
      <c r="P1189" s="184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44"/>
      <c r="AP1189" s="37"/>
      <c r="AQ1189" s="309"/>
      <c r="AR1189" s="57"/>
      <c r="AS1189" s="56">
        <f>Tabela4[[#This Row],[Total R$]]-Tabela4[[#This Row],[Total Pago]]</f>
        <v>0</v>
      </c>
      <c r="AT1189" s="36"/>
    </row>
    <row r="1190" spans="2:46" x14ac:dyDescent="0.25">
      <c r="B1190" s="44"/>
      <c r="D1190" s="349"/>
      <c r="E1190" s="33"/>
      <c r="F1190" s="33"/>
      <c r="G1190" s="33"/>
      <c r="H1190" s="33"/>
      <c r="I1190" s="33"/>
      <c r="J1190" s="33"/>
      <c r="K1190" s="33"/>
      <c r="L1190" s="561"/>
      <c r="M1190" s="33"/>
      <c r="N1190" s="33"/>
      <c r="O1190" s="33"/>
      <c r="P1190" s="184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44"/>
      <c r="AP1190" s="37"/>
      <c r="AQ1190" s="309"/>
      <c r="AR1190" s="57"/>
      <c r="AS1190" s="56">
        <f>Tabela4[[#This Row],[Total R$]]-Tabela4[[#This Row],[Total Pago]]</f>
        <v>0</v>
      </c>
      <c r="AT1190" s="36"/>
    </row>
    <row r="1191" spans="2:46" x14ac:dyDescent="0.25">
      <c r="B1191" s="44"/>
      <c r="D1191" s="349"/>
      <c r="E1191" s="33"/>
      <c r="F1191" s="33"/>
      <c r="G1191" s="33"/>
      <c r="H1191" s="33"/>
      <c r="I1191" s="33"/>
      <c r="J1191" s="33"/>
      <c r="K1191" s="33"/>
      <c r="L1191" s="561"/>
      <c r="M1191" s="33"/>
      <c r="N1191" s="33"/>
      <c r="O1191" s="33"/>
      <c r="P1191" s="184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44"/>
      <c r="AP1191" s="37"/>
      <c r="AQ1191" s="309"/>
      <c r="AR1191" s="57"/>
      <c r="AS1191" s="56">
        <f>Tabela4[[#This Row],[Total R$]]-Tabela4[[#This Row],[Total Pago]]</f>
        <v>0</v>
      </c>
      <c r="AT1191" s="36"/>
    </row>
    <row r="1192" spans="2:46" x14ac:dyDescent="0.25">
      <c r="B1192" s="44"/>
      <c r="D1192" s="349"/>
      <c r="E1192" s="33"/>
      <c r="F1192" s="33"/>
      <c r="G1192" s="33"/>
      <c r="H1192" s="33"/>
      <c r="I1192" s="33"/>
      <c r="J1192" s="33"/>
      <c r="K1192" s="33"/>
      <c r="L1192" s="561"/>
      <c r="M1192" s="33"/>
      <c r="N1192" s="33"/>
      <c r="O1192" s="33"/>
      <c r="P1192" s="184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44"/>
      <c r="AP1192" s="37"/>
      <c r="AQ1192" s="309"/>
      <c r="AR1192" s="57"/>
      <c r="AS1192" s="56">
        <f>Tabela4[[#This Row],[Total R$]]-Tabela4[[#This Row],[Total Pago]]</f>
        <v>0</v>
      </c>
      <c r="AT1192" s="36"/>
    </row>
    <row r="1193" spans="2:46" x14ac:dyDescent="0.25">
      <c r="B1193" s="44"/>
      <c r="D1193" s="349"/>
      <c r="E1193" s="33"/>
      <c r="F1193" s="33"/>
      <c r="G1193" s="33"/>
      <c r="H1193" s="33"/>
      <c r="I1193" s="33"/>
      <c r="J1193" s="33"/>
      <c r="K1193" s="33"/>
      <c r="L1193" s="561"/>
      <c r="M1193" s="33"/>
      <c r="N1193" s="33"/>
      <c r="O1193" s="33"/>
      <c r="P1193" s="184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44"/>
      <c r="AP1193" s="37"/>
      <c r="AQ1193" s="309"/>
      <c r="AR1193" s="57"/>
      <c r="AS1193" s="56">
        <f>Tabela4[[#This Row],[Total R$]]-Tabela4[[#This Row],[Total Pago]]</f>
        <v>0</v>
      </c>
      <c r="AT1193" s="36"/>
    </row>
    <row r="1194" spans="2:46" x14ac:dyDescent="0.25">
      <c r="B1194" s="44"/>
      <c r="D1194" s="349"/>
      <c r="E1194" s="33"/>
      <c r="F1194" s="33"/>
      <c r="G1194" s="33"/>
      <c r="H1194" s="33"/>
      <c r="I1194" s="33"/>
      <c r="J1194" s="33"/>
      <c r="K1194" s="33"/>
      <c r="L1194" s="561"/>
      <c r="M1194" s="33"/>
      <c r="N1194" s="33"/>
      <c r="O1194" s="33"/>
      <c r="P1194" s="184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44"/>
      <c r="AP1194" s="37"/>
      <c r="AQ1194" s="309"/>
      <c r="AR1194" s="57"/>
      <c r="AS1194" s="56">
        <f>Tabela4[[#This Row],[Total R$]]-Tabela4[[#This Row],[Total Pago]]</f>
        <v>0</v>
      </c>
      <c r="AT1194" s="36"/>
    </row>
    <row r="1195" spans="2:46" x14ac:dyDescent="0.25">
      <c r="B1195" s="44"/>
      <c r="D1195" s="349"/>
      <c r="E1195" s="33"/>
      <c r="F1195" s="33"/>
      <c r="G1195" s="33"/>
      <c r="H1195" s="33"/>
      <c r="I1195" s="33"/>
      <c r="J1195" s="33"/>
      <c r="K1195" s="33"/>
      <c r="L1195" s="561"/>
      <c r="M1195" s="33"/>
      <c r="N1195" s="33"/>
      <c r="O1195" s="33"/>
      <c r="P1195" s="184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44"/>
      <c r="AP1195" s="37"/>
      <c r="AQ1195" s="309"/>
      <c r="AR1195" s="57"/>
      <c r="AS1195" s="56">
        <f>Tabela4[[#This Row],[Total R$]]-Tabela4[[#This Row],[Total Pago]]</f>
        <v>0</v>
      </c>
      <c r="AT1195" s="36"/>
    </row>
    <row r="1196" spans="2:46" x14ac:dyDescent="0.25">
      <c r="B1196" s="44"/>
      <c r="D1196" s="349"/>
      <c r="E1196" s="33"/>
      <c r="F1196" s="33"/>
      <c r="G1196" s="33"/>
      <c r="H1196" s="33"/>
      <c r="I1196" s="33"/>
      <c r="J1196" s="33"/>
      <c r="K1196" s="33"/>
      <c r="L1196" s="561"/>
      <c r="M1196" s="33"/>
      <c r="N1196" s="33"/>
      <c r="O1196" s="33"/>
      <c r="P1196" s="184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44"/>
      <c r="AP1196" s="37"/>
      <c r="AQ1196" s="309"/>
      <c r="AR1196" s="57"/>
      <c r="AS1196" s="56">
        <f>Tabela4[[#This Row],[Total R$]]-Tabela4[[#This Row],[Total Pago]]</f>
        <v>0</v>
      </c>
      <c r="AT1196" s="36"/>
    </row>
    <row r="1197" spans="2:46" x14ac:dyDescent="0.25">
      <c r="B1197" s="44"/>
      <c r="D1197" s="349"/>
      <c r="E1197" s="33"/>
      <c r="F1197" s="33"/>
      <c r="G1197" s="33"/>
      <c r="H1197" s="33"/>
      <c r="I1197" s="33"/>
      <c r="J1197" s="33"/>
      <c r="K1197" s="33"/>
      <c r="L1197" s="561"/>
      <c r="M1197" s="33"/>
      <c r="N1197" s="33"/>
      <c r="O1197" s="33"/>
      <c r="P1197" s="184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44"/>
      <c r="AP1197" s="37"/>
      <c r="AQ1197" s="309"/>
      <c r="AR1197" s="57"/>
      <c r="AS1197" s="56">
        <f>Tabela4[[#This Row],[Total R$]]-Tabela4[[#This Row],[Total Pago]]</f>
        <v>0</v>
      </c>
      <c r="AT1197" s="36"/>
    </row>
    <row r="1198" spans="2:46" x14ac:dyDescent="0.25">
      <c r="B1198" s="44"/>
      <c r="D1198" s="349"/>
      <c r="E1198" s="33"/>
      <c r="F1198" s="33"/>
      <c r="G1198" s="33"/>
      <c r="H1198" s="33"/>
      <c r="I1198" s="33"/>
      <c r="J1198" s="33"/>
      <c r="K1198" s="33"/>
      <c r="L1198" s="561"/>
      <c r="M1198" s="33"/>
      <c r="N1198" s="33"/>
      <c r="O1198" s="33"/>
      <c r="P1198" s="184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44"/>
      <c r="AP1198" s="37"/>
      <c r="AQ1198" s="309"/>
      <c r="AR1198" s="57"/>
      <c r="AS1198" s="56">
        <f>Tabela4[[#This Row],[Total R$]]-Tabela4[[#This Row],[Total Pago]]</f>
        <v>0</v>
      </c>
      <c r="AT1198" s="36"/>
    </row>
    <row r="1199" spans="2:46" x14ac:dyDescent="0.25">
      <c r="B1199" s="44"/>
      <c r="D1199" s="349"/>
      <c r="E1199" s="33"/>
      <c r="F1199" s="33"/>
      <c r="G1199" s="33"/>
      <c r="H1199" s="33"/>
      <c r="I1199" s="33"/>
      <c r="J1199" s="33"/>
      <c r="K1199" s="33"/>
      <c r="L1199" s="561"/>
      <c r="M1199" s="33"/>
      <c r="N1199" s="33"/>
      <c r="O1199" s="33"/>
      <c r="P1199" s="184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44"/>
      <c r="AP1199" s="37"/>
      <c r="AQ1199" s="309"/>
      <c r="AR1199" s="57"/>
      <c r="AS1199" s="56">
        <f>Tabela4[[#This Row],[Total R$]]-Tabela4[[#This Row],[Total Pago]]</f>
        <v>0</v>
      </c>
      <c r="AT1199" s="36"/>
    </row>
    <row r="1200" spans="2:46" x14ac:dyDescent="0.25">
      <c r="B1200" s="44"/>
      <c r="D1200" s="349"/>
      <c r="E1200" s="33"/>
      <c r="F1200" s="33"/>
      <c r="G1200" s="33"/>
      <c r="H1200" s="33"/>
      <c r="I1200" s="33"/>
      <c r="J1200" s="33"/>
      <c r="K1200" s="33"/>
      <c r="L1200" s="561"/>
      <c r="M1200" s="33"/>
      <c r="N1200" s="33"/>
      <c r="O1200" s="33"/>
      <c r="P1200" s="184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44"/>
      <c r="AP1200" s="37"/>
      <c r="AQ1200" s="309"/>
      <c r="AR1200" s="57"/>
      <c r="AS1200" s="56">
        <f>Tabela4[[#This Row],[Total R$]]-Tabela4[[#This Row],[Total Pago]]</f>
        <v>0</v>
      </c>
      <c r="AT1200" s="36"/>
    </row>
    <row r="1201" spans="2:46" x14ac:dyDescent="0.25">
      <c r="B1201" s="44"/>
      <c r="D1201" s="349"/>
      <c r="E1201" s="33"/>
      <c r="F1201" s="33"/>
      <c r="G1201" s="33"/>
      <c r="H1201" s="33"/>
      <c r="I1201" s="33"/>
      <c r="J1201" s="33"/>
      <c r="K1201" s="33"/>
      <c r="L1201" s="561"/>
      <c r="M1201" s="33"/>
      <c r="N1201" s="33"/>
      <c r="O1201" s="33"/>
      <c r="P1201" s="184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44"/>
      <c r="AP1201" s="37"/>
      <c r="AQ1201" s="309"/>
      <c r="AR1201" s="57"/>
      <c r="AS1201" s="56">
        <f>Tabela4[[#This Row],[Total R$]]-Tabela4[[#This Row],[Total Pago]]</f>
        <v>0</v>
      </c>
      <c r="AT1201" s="36"/>
    </row>
    <row r="1202" spans="2:46" x14ac:dyDescent="0.25">
      <c r="B1202" s="44"/>
      <c r="D1202" s="349"/>
      <c r="E1202" s="33"/>
      <c r="F1202" s="33"/>
      <c r="G1202" s="33"/>
      <c r="H1202" s="33"/>
      <c r="I1202" s="33"/>
      <c r="J1202" s="33"/>
      <c r="K1202" s="33"/>
      <c r="L1202" s="561"/>
      <c r="M1202" s="33"/>
      <c r="N1202" s="33"/>
      <c r="O1202" s="33"/>
      <c r="P1202" s="184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44"/>
      <c r="AP1202" s="37"/>
      <c r="AQ1202" s="309"/>
      <c r="AR1202" s="57"/>
      <c r="AS1202" s="56">
        <f>Tabela4[[#This Row],[Total R$]]-Tabela4[[#This Row],[Total Pago]]</f>
        <v>0</v>
      </c>
      <c r="AT1202" s="36"/>
    </row>
    <row r="1203" spans="2:46" x14ac:dyDescent="0.25">
      <c r="B1203" s="44"/>
      <c r="D1203" s="349"/>
      <c r="E1203" s="33"/>
      <c r="F1203" s="33"/>
      <c r="G1203" s="33"/>
      <c r="H1203" s="33"/>
      <c r="I1203" s="33"/>
      <c r="J1203" s="33"/>
      <c r="K1203" s="33"/>
      <c r="L1203" s="561"/>
      <c r="M1203" s="33"/>
      <c r="N1203" s="33"/>
      <c r="O1203" s="33"/>
      <c r="P1203" s="184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44"/>
      <c r="AP1203" s="37"/>
      <c r="AQ1203" s="309"/>
      <c r="AR1203" s="57"/>
      <c r="AS1203" s="56">
        <f>Tabela4[[#This Row],[Total R$]]-Tabela4[[#This Row],[Total Pago]]</f>
        <v>0</v>
      </c>
      <c r="AT1203" s="36"/>
    </row>
    <row r="1204" spans="2:46" x14ac:dyDescent="0.25">
      <c r="B1204" s="44"/>
      <c r="D1204" s="349"/>
      <c r="E1204" s="33"/>
      <c r="F1204" s="33"/>
      <c r="G1204" s="33"/>
      <c r="H1204" s="33"/>
      <c r="I1204" s="33"/>
      <c r="J1204" s="33"/>
      <c r="K1204" s="33"/>
      <c r="L1204" s="561"/>
      <c r="M1204" s="33"/>
      <c r="N1204" s="33"/>
      <c r="O1204" s="33"/>
      <c r="P1204" s="184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44"/>
      <c r="AP1204" s="37"/>
      <c r="AQ1204" s="309"/>
      <c r="AR1204" s="57"/>
      <c r="AS1204" s="56">
        <f>Tabela4[[#This Row],[Total R$]]-Tabela4[[#This Row],[Total Pago]]</f>
        <v>0</v>
      </c>
      <c r="AT1204" s="36"/>
    </row>
    <row r="1205" spans="2:46" x14ac:dyDescent="0.25">
      <c r="B1205" s="44"/>
      <c r="D1205" s="349"/>
      <c r="E1205" s="33"/>
      <c r="F1205" s="33"/>
      <c r="G1205" s="33"/>
      <c r="H1205" s="33"/>
      <c r="I1205" s="33"/>
      <c r="J1205" s="33"/>
      <c r="K1205" s="33"/>
      <c r="L1205" s="561"/>
      <c r="M1205" s="33"/>
      <c r="N1205" s="33"/>
      <c r="O1205" s="33"/>
      <c r="P1205" s="184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44"/>
      <c r="AP1205" s="37"/>
      <c r="AQ1205" s="309"/>
      <c r="AR1205" s="57"/>
      <c r="AS1205" s="56">
        <f>Tabela4[[#This Row],[Total R$]]-Tabela4[[#This Row],[Total Pago]]</f>
        <v>0</v>
      </c>
      <c r="AT1205" s="36"/>
    </row>
    <row r="1206" spans="2:46" x14ac:dyDescent="0.25">
      <c r="B1206" s="44"/>
      <c r="D1206" s="349"/>
      <c r="E1206" s="33"/>
      <c r="F1206" s="33"/>
      <c r="G1206" s="33"/>
      <c r="H1206" s="33"/>
      <c r="I1206" s="33"/>
      <c r="J1206" s="33"/>
      <c r="K1206" s="33"/>
      <c r="L1206" s="561"/>
      <c r="M1206" s="33"/>
      <c r="N1206" s="33"/>
      <c r="O1206" s="33"/>
      <c r="P1206" s="184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44"/>
      <c r="AP1206" s="37"/>
      <c r="AQ1206" s="309"/>
      <c r="AR1206" s="57"/>
      <c r="AS1206" s="56">
        <f>Tabela4[[#This Row],[Total R$]]-Tabela4[[#This Row],[Total Pago]]</f>
        <v>0</v>
      </c>
      <c r="AT1206" s="36"/>
    </row>
    <row r="1207" spans="2:46" x14ac:dyDescent="0.25">
      <c r="B1207" s="44"/>
      <c r="D1207" s="349"/>
      <c r="E1207" s="33"/>
      <c r="F1207" s="33"/>
      <c r="G1207" s="33"/>
      <c r="H1207" s="33"/>
      <c r="I1207" s="33"/>
      <c r="J1207" s="33"/>
      <c r="K1207" s="33"/>
      <c r="L1207" s="561"/>
      <c r="M1207" s="33"/>
      <c r="N1207" s="33"/>
      <c r="O1207" s="33"/>
      <c r="P1207" s="184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44"/>
      <c r="AP1207" s="37"/>
      <c r="AQ1207" s="309"/>
      <c r="AR1207" s="57"/>
      <c r="AS1207" s="56">
        <f>Tabela4[[#This Row],[Total R$]]-Tabela4[[#This Row],[Total Pago]]</f>
        <v>0</v>
      </c>
      <c r="AT1207" s="36"/>
    </row>
    <row r="1208" spans="2:46" x14ac:dyDescent="0.25">
      <c r="B1208" s="44"/>
      <c r="D1208" s="349"/>
      <c r="E1208" s="33"/>
      <c r="F1208" s="33"/>
      <c r="G1208" s="33"/>
      <c r="H1208" s="33"/>
      <c r="I1208" s="33"/>
      <c r="J1208" s="33"/>
      <c r="K1208" s="33"/>
      <c r="L1208" s="561"/>
      <c r="M1208" s="33"/>
      <c r="N1208" s="33"/>
      <c r="O1208" s="33"/>
      <c r="P1208" s="184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44"/>
      <c r="AP1208" s="37"/>
      <c r="AQ1208" s="309"/>
      <c r="AR1208" s="57"/>
      <c r="AS1208" s="56">
        <f>Tabela4[[#This Row],[Total R$]]-Tabela4[[#This Row],[Total Pago]]</f>
        <v>0</v>
      </c>
      <c r="AT1208" s="36"/>
    </row>
    <row r="1209" spans="2:46" x14ac:dyDescent="0.25">
      <c r="B1209" s="44"/>
      <c r="D1209" s="349"/>
      <c r="E1209" s="33"/>
      <c r="F1209" s="33"/>
      <c r="G1209" s="33"/>
      <c r="H1209" s="33"/>
      <c r="I1209" s="33"/>
      <c r="J1209" s="33"/>
      <c r="K1209" s="33"/>
      <c r="L1209" s="561"/>
      <c r="M1209" s="33"/>
      <c r="N1209" s="33"/>
      <c r="O1209" s="33"/>
      <c r="P1209" s="184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44"/>
      <c r="AP1209" s="37"/>
      <c r="AQ1209" s="309"/>
      <c r="AR1209" s="57"/>
      <c r="AS1209" s="56">
        <f>Tabela4[[#This Row],[Total R$]]-Tabela4[[#This Row],[Total Pago]]</f>
        <v>0</v>
      </c>
      <c r="AT1209" s="36"/>
    </row>
    <row r="1210" spans="2:46" x14ac:dyDescent="0.25">
      <c r="B1210" s="44"/>
      <c r="D1210" s="349"/>
      <c r="E1210" s="33"/>
      <c r="F1210" s="33"/>
      <c r="G1210" s="33"/>
      <c r="H1210" s="33"/>
      <c r="I1210" s="33"/>
      <c r="J1210" s="33"/>
      <c r="K1210" s="33"/>
      <c r="L1210" s="561"/>
      <c r="M1210" s="33"/>
      <c r="N1210" s="33"/>
      <c r="O1210" s="33"/>
      <c r="P1210" s="184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44"/>
      <c r="AP1210" s="37"/>
      <c r="AQ1210" s="309"/>
      <c r="AR1210" s="57"/>
      <c r="AS1210" s="56">
        <f>Tabela4[[#This Row],[Total R$]]-Tabela4[[#This Row],[Total Pago]]</f>
        <v>0</v>
      </c>
      <c r="AT1210" s="36"/>
    </row>
    <row r="1211" spans="2:46" x14ac:dyDescent="0.25">
      <c r="B1211" s="44"/>
      <c r="D1211" s="349"/>
      <c r="E1211" s="33"/>
      <c r="F1211" s="33"/>
      <c r="G1211" s="33"/>
      <c r="H1211" s="33"/>
      <c r="I1211" s="33"/>
      <c r="J1211" s="33"/>
      <c r="K1211" s="33"/>
      <c r="L1211" s="561"/>
      <c r="M1211" s="33"/>
      <c r="N1211" s="33"/>
      <c r="O1211" s="33"/>
      <c r="P1211" s="184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44"/>
      <c r="AP1211" s="37"/>
      <c r="AQ1211" s="309"/>
      <c r="AR1211" s="57"/>
      <c r="AS1211" s="56">
        <f>Tabela4[[#This Row],[Total R$]]-Tabela4[[#This Row],[Total Pago]]</f>
        <v>0</v>
      </c>
      <c r="AT1211" s="36"/>
    </row>
    <row r="1212" spans="2:46" x14ac:dyDescent="0.25">
      <c r="B1212" s="44"/>
      <c r="D1212" s="349"/>
      <c r="E1212" s="33"/>
      <c r="F1212" s="33"/>
      <c r="G1212" s="33"/>
      <c r="H1212" s="33"/>
      <c r="I1212" s="33"/>
      <c r="J1212" s="33"/>
      <c r="K1212" s="33"/>
      <c r="L1212" s="561"/>
      <c r="M1212" s="33"/>
      <c r="N1212" s="33"/>
      <c r="O1212" s="33"/>
      <c r="P1212" s="184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44"/>
      <c r="AP1212" s="37"/>
      <c r="AQ1212" s="309"/>
      <c r="AR1212" s="57"/>
      <c r="AS1212" s="56">
        <f>Tabela4[[#This Row],[Total R$]]-Tabela4[[#This Row],[Total Pago]]</f>
        <v>0</v>
      </c>
      <c r="AT1212" s="36"/>
    </row>
    <row r="1213" spans="2:46" x14ac:dyDescent="0.25">
      <c r="B1213" s="44"/>
      <c r="D1213" s="349"/>
      <c r="E1213" s="33"/>
      <c r="F1213" s="33"/>
      <c r="G1213" s="33"/>
      <c r="H1213" s="33"/>
      <c r="I1213" s="33"/>
      <c r="J1213" s="33"/>
      <c r="K1213" s="33"/>
      <c r="L1213" s="561"/>
      <c r="M1213" s="33"/>
      <c r="N1213" s="33"/>
      <c r="O1213" s="33"/>
      <c r="P1213" s="184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44"/>
      <c r="AP1213" s="37"/>
      <c r="AQ1213" s="309"/>
      <c r="AR1213" s="57"/>
      <c r="AS1213" s="56">
        <f>Tabela4[[#This Row],[Total R$]]-Tabela4[[#This Row],[Total Pago]]</f>
        <v>0</v>
      </c>
      <c r="AT1213" s="36"/>
    </row>
    <row r="1214" spans="2:46" x14ac:dyDescent="0.25">
      <c r="B1214" s="44"/>
      <c r="D1214" s="349"/>
      <c r="E1214" s="33"/>
      <c r="F1214" s="33"/>
      <c r="G1214" s="33"/>
      <c r="H1214" s="33"/>
      <c r="I1214" s="33"/>
      <c r="J1214" s="33"/>
      <c r="K1214" s="33"/>
      <c r="L1214" s="561"/>
      <c r="M1214" s="33"/>
      <c r="N1214" s="33"/>
      <c r="O1214" s="33"/>
      <c r="P1214" s="184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44"/>
      <c r="AP1214" s="37"/>
      <c r="AQ1214" s="309"/>
      <c r="AR1214" s="57"/>
      <c r="AS1214" s="56">
        <f>Tabela4[[#This Row],[Total R$]]-Tabela4[[#This Row],[Total Pago]]</f>
        <v>0</v>
      </c>
      <c r="AT1214" s="36"/>
    </row>
    <row r="1215" spans="2:46" x14ac:dyDescent="0.25">
      <c r="B1215" s="44"/>
      <c r="D1215" s="349"/>
      <c r="E1215" s="33"/>
      <c r="F1215" s="33"/>
      <c r="G1215" s="33"/>
      <c r="H1215" s="33"/>
      <c r="I1215" s="33"/>
      <c r="J1215" s="33"/>
      <c r="K1215" s="33"/>
      <c r="L1215" s="561"/>
      <c r="M1215" s="33"/>
      <c r="N1215" s="33"/>
      <c r="O1215" s="33"/>
      <c r="P1215" s="184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44"/>
      <c r="AP1215" s="37"/>
      <c r="AQ1215" s="309"/>
      <c r="AR1215" s="57"/>
      <c r="AS1215" s="56">
        <f>Tabela4[[#This Row],[Total R$]]-Tabela4[[#This Row],[Total Pago]]</f>
        <v>0</v>
      </c>
      <c r="AT1215" s="36"/>
    </row>
    <row r="1216" spans="2:46" x14ac:dyDescent="0.25">
      <c r="B1216" s="44"/>
      <c r="D1216" s="349"/>
      <c r="E1216" s="33"/>
      <c r="F1216" s="33"/>
      <c r="G1216" s="33"/>
      <c r="H1216" s="33"/>
      <c r="I1216" s="33"/>
      <c r="J1216" s="33"/>
      <c r="K1216" s="33"/>
      <c r="L1216" s="561"/>
      <c r="M1216" s="33"/>
      <c r="N1216" s="33"/>
      <c r="O1216" s="33"/>
      <c r="P1216" s="184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44"/>
      <c r="AP1216" s="37"/>
      <c r="AQ1216" s="309"/>
      <c r="AR1216" s="57"/>
      <c r="AS1216" s="56">
        <f>Tabela4[[#This Row],[Total R$]]-Tabela4[[#This Row],[Total Pago]]</f>
        <v>0</v>
      </c>
      <c r="AT1216" s="36"/>
    </row>
    <row r="1217" spans="2:46" x14ac:dyDescent="0.25">
      <c r="B1217" s="44"/>
      <c r="D1217" s="349"/>
      <c r="E1217" s="33"/>
      <c r="F1217" s="33"/>
      <c r="G1217" s="33"/>
      <c r="H1217" s="33"/>
      <c r="I1217" s="33"/>
      <c r="J1217" s="33"/>
      <c r="K1217" s="33"/>
      <c r="L1217" s="561"/>
      <c r="M1217" s="33"/>
      <c r="N1217" s="33"/>
      <c r="O1217" s="33"/>
      <c r="P1217" s="184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44"/>
      <c r="AP1217" s="37"/>
      <c r="AQ1217" s="309"/>
      <c r="AR1217" s="57"/>
      <c r="AS1217" s="56">
        <f>Tabela4[[#This Row],[Total R$]]-Tabela4[[#This Row],[Total Pago]]</f>
        <v>0</v>
      </c>
      <c r="AT1217" s="36"/>
    </row>
    <row r="1218" spans="2:46" x14ac:dyDescent="0.25">
      <c r="B1218" s="44"/>
      <c r="D1218" s="349"/>
      <c r="E1218" s="33"/>
      <c r="F1218" s="33"/>
      <c r="G1218" s="33"/>
      <c r="H1218" s="33"/>
      <c r="I1218" s="33"/>
      <c r="J1218" s="33"/>
      <c r="K1218" s="33"/>
      <c r="L1218" s="561"/>
      <c r="M1218" s="33"/>
      <c r="N1218" s="33"/>
      <c r="O1218" s="33"/>
      <c r="P1218" s="184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44"/>
      <c r="AP1218" s="37"/>
      <c r="AQ1218" s="309"/>
      <c r="AR1218" s="57"/>
      <c r="AS1218" s="56">
        <f>Tabela4[[#This Row],[Total R$]]-Tabela4[[#This Row],[Total Pago]]</f>
        <v>0</v>
      </c>
      <c r="AT1218" s="36"/>
    </row>
    <row r="1219" spans="2:46" x14ac:dyDescent="0.25">
      <c r="B1219" s="44"/>
      <c r="D1219" s="349"/>
      <c r="E1219" s="33"/>
      <c r="F1219" s="33"/>
      <c r="G1219" s="33"/>
      <c r="H1219" s="33"/>
      <c r="I1219" s="33"/>
      <c r="J1219" s="33"/>
      <c r="K1219" s="33"/>
      <c r="L1219" s="561"/>
      <c r="M1219" s="33"/>
      <c r="N1219" s="33"/>
      <c r="O1219" s="33"/>
      <c r="P1219" s="184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44"/>
      <c r="AP1219" s="37"/>
      <c r="AQ1219" s="309"/>
      <c r="AR1219" s="57"/>
      <c r="AS1219" s="56">
        <f>Tabela4[[#This Row],[Total R$]]-Tabela4[[#This Row],[Total Pago]]</f>
        <v>0</v>
      </c>
      <c r="AT1219" s="36"/>
    </row>
    <row r="1220" spans="2:46" x14ac:dyDescent="0.25">
      <c r="B1220" s="44"/>
      <c r="D1220" s="349"/>
      <c r="E1220" s="33"/>
      <c r="F1220" s="33"/>
      <c r="G1220" s="33"/>
      <c r="H1220" s="33"/>
      <c r="I1220" s="33"/>
      <c r="J1220" s="33"/>
      <c r="K1220" s="33"/>
      <c r="L1220" s="561"/>
      <c r="M1220" s="33"/>
      <c r="N1220" s="33"/>
      <c r="O1220" s="33"/>
      <c r="P1220" s="184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44"/>
      <c r="AP1220" s="37"/>
      <c r="AQ1220" s="309"/>
      <c r="AR1220" s="57"/>
      <c r="AS1220" s="56">
        <f>Tabela4[[#This Row],[Total R$]]-Tabela4[[#This Row],[Total Pago]]</f>
        <v>0</v>
      </c>
      <c r="AT1220" s="36"/>
    </row>
    <row r="1221" spans="2:46" x14ac:dyDescent="0.25">
      <c r="B1221" s="44"/>
      <c r="D1221" s="349"/>
      <c r="E1221" s="33"/>
      <c r="F1221" s="33"/>
      <c r="G1221" s="33"/>
      <c r="H1221" s="33"/>
      <c r="I1221" s="33"/>
      <c r="J1221" s="33"/>
      <c r="K1221" s="33"/>
      <c r="L1221" s="561"/>
      <c r="M1221" s="33"/>
      <c r="N1221" s="33"/>
      <c r="O1221" s="33"/>
      <c r="P1221" s="184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44"/>
      <c r="AP1221" s="37"/>
      <c r="AQ1221" s="309"/>
      <c r="AR1221" s="57"/>
      <c r="AS1221" s="56">
        <f>Tabela4[[#This Row],[Total R$]]-Tabela4[[#This Row],[Total Pago]]</f>
        <v>0</v>
      </c>
      <c r="AT1221" s="36"/>
    </row>
    <row r="1222" spans="2:46" x14ac:dyDescent="0.25">
      <c r="B1222" s="44"/>
      <c r="D1222" s="349"/>
      <c r="E1222" s="33"/>
      <c r="F1222" s="33"/>
      <c r="G1222" s="33"/>
      <c r="H1222" s="33"/>
      <c r="I1222" s="33"/>
      <c r="J1222" s="33"/>
      <c r="K1222" s="33"/>
      <c r="L1222" s="561"/>
      <c r="M1222" s="33"/>
      <c r="N1222" s="33"/>
      <c r="O1222" s="33"/>
      <c r="P1222" s="184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44"/>
      <c r="AP1222" s="37"/>
      <c r="AQ1222" s="309"/>
      <c r="AR1222" s="57"/>
      <c r="AS1222" s="56">
        <f>Tabela4[[#This Row],[Total R$]]-Tabela4[[#This Row],[Total Pago]]</f>
        <v>0</v>
      </c>
      <c r="AT1222" s="36"/>
    </row>
    <row r="1223" spans="2:46" x14ac:dyDescent="0.25">
      <c r="B1223" s="44"/>
      <c r="D1223" s="349"/>
      <c r="E1223" s="33"/>
      <c r="F1223" s="33"/>
      <c r="G1223" s="33"/>
      <c r="H1223" s="33"/>
      <c r="I1223" s="33"/>
      <c r="J1223" s="33"/>
      <c r="K1223" s="33"/>
      <c r="L1223" s="561"/>
      <c r="M1223" s="33"/>
      <c r="N1223" s="33"/>
      <c r="O1223" s="33"/>
      <c r="P1223" s="184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44"/>
      <c r="AP1223" s="37"/>
      <c r="AQ1223" s="309"/>
      <c r="AR1223" s="57"/>
      <c r="AS1223" s="56">
        <f>Tabela4[[#This Row],[Total R$]]-Tabela4[[#This Row],[Total Pago]]</f>
        <v>0</v>
      </c>
      <c r="AT1223" s="36"/>
    </row>
    <row r="1224" spans="2:46" x14ac:dyDescent="0.25">
      <c r="B1224" s="44"/>
      <c r="D1224" s="349"/>
      <c r="E1224" s="33"/>
      <c r="F1224" s="33"/>
      <c r="G1224" s="33"/>
      <c r="H1224" s="33"/>
      <c r="I1224" s="33"/>
      <c r="J1224" s="33"/>
      <c r="K1224" s="33"/>
      <c r="L1224" s="561"/>
      <c r="M1224" s="33"/>
      <c r="N1224" s="33"/>
      <c r="O1224" s="33"/>
      <c r="P1224" s="184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44"/>
      <c r="AP1224" s="37"/>
      <c r="AQ1224" s="309"/>
      <c r="AR1224" s="57"/>
      <c r="AS1224" s="56">
        <f>Tabela4[[#This Row],[Total R$]]-Tabela4[[#This Row],[Total Pago]]</f>
        <v>0</v>
      </c>
      <c r="AT1224" s="36"/>
    </row>
    <row r="1225" spans="2:46" x14ac:dyDescent="0.25">
      <c r="B1225" s="44"/>
      <c r="D1225" s="349"/>
      <c r="E1225" s="33"/>
      <c r="F1225" s="33"/>
      <c r="G1225" s="33"/>
      <c r="H1225" s="33"/>
      <c r="I1225" s="33"/>
      <c r="J1225" s="33"/>
      <c r="K1225" s="33"/>
      <c r="L1225" s="561"/>
      <c r="M1225" s="33"/>
      <c r="N1225" s="33"/>
      <c r="O1225" s="33"/>
      <c r="P1225" s="184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44"/>
      <c r="AP1225" s="37"/>
      <c r="AQ1225" s="309"/>
      <c r="AR1225" s="57"/>
      <c r="AS1225" s="56">
        <f>Tabela4[[#This Row],[Total R$]]-Tabela4[[#This Row],[Total Pago]]</f>
        <v>0</v>
      </c>
      <c r="AT1225" s="36"/>
    </row>
    <row r="1226" spans="2:46" x14ac:dyDescent="0.25">
      <c r="B1226" s="44"/>
      <c r="D1226" s="349"/>
      <c r="E1226" s="33"/>
      <c r="F1226" s="33"/>
      <c r="G1226" s="33"/>
      <c r="H1226" s="33"/>
      <c r="I1226" s="33"/>
      <c r="J1226" s="33"/>
      <c r="K1226" s="33"/>
      <c r="L1226" s="561"/>
      <c r="M1226" s="33"/>
      <c r="N1226" s="33"/>
      <c r="O1226" s="33"/>
      <c r="P1226" s="184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44"/>
      <c r="AP1226" s="37"/>
      <c r="AQ1226" s="309"/>
      <c r="AR1226" s="57"/>
      <c r="AS1226" s="56">
        <f>Tabela4[[#This Row],[Total R$]]-Tabela4[[#This Row],[Total Pago]]</f>
        <v>0</v>
      </c>
      <c r="AT1226" s="36"/>
    </row>
    <row r="1227" spans="2:46" x14ac:dyDescent="0.25">
      <c r="B1227" s="44"/>
      <c r="D1227" s="349"/>
      <c r="E1227" s="33"/>
      <c r="F1227" s="33"/>
      <c r="G1227" s="33"/>
      <c r="H1227" s="33"/>
      <c r="I1227" s="33"/>
      <c r="J1227" s="33"/>
      <c r="K1227" s="33"/>
      <c r="L1227" s="561"/>
      <c r="M1227" s="33"/>
      <c r="N1227" s="33"/>
      <c r="O1227" s="33"/>
      <c r="P1227" s="184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44"/>
      <c r="AP1227" s="37"/>
      <c r="AQ1227" s="309"/>
      <c r="AR1227" s="57"/>
      <c r="AS1227" s="56">
        <f>Tabela4[[#This Row],[Total R$]]-Tabela4[[#This Row],[Total Pago]]</f>
        <v>0</v>
      </c>
      <c r="AT1227" s="36"/>
    </row>
    <row r="1228" spans="2:46" x14ac:dyDescent="0.25">
      <c r="B1228" s="44"/>
      <c r="D1228" s="349"/>
      <c r="E1228" s="33"/>
      <c r="F1228" s="33"/>
      <c r="G1228" s="33"/>
      <c r="H1228" s="33"/>
      <c r="I1228" s="33"/>
      <c r="J1228" s="33"/>
      <c r="K1228" s="33"/>
      <c r="L1228" s="561"/>
      <c r="M1228" s="33"/>
      <c r="N1228" s="33"/>
      <c r="O1228" s="33"/>
      <c r="P1228" s="184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44"/>
      <c r="AP1228" s="37"/>
      <c r="AQ1228" s="309"/>
      <c r="AR1228" s="57"/>
      <c r="AS1228" s="56">
        <f>Tabela4[[#This Row],[Total R$]]-Tabela4[[#This Row],[Total Pago]]</f>
        <v>0</v>
      </c>
      <c r="AT1228" s="36"/>
    </row>
    <row r="1229" spans="2:46" x14ac:dyDescent="0.25">
      <c r="B1229" s="44"/>
      <c r="D1229" s="349"/>
      <c r="E1229" s="33"/>
      <c r="F1229" s="33"/>
      <c r="G1229" s="33"/>
      <c r="H1229" s="33"/>
      <c r="I1229" s="33"/>
      <c r="J1229" s="33"/>
      <c r="K1229" s="33"/>
      <c r="L1229" s="561"/>
      <c r="M1229" s="33"/>
      <c r="N1229" s="33"/>
      <c r="O1229" s="33"/>
      <c r="P1229" s="184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44"/>
      <c r="AP1229" s="37"/>
      <c r="AQ1229" s="309"/>
      <c r="AR1229" s="57"/>
      <c r="AS1229" s="56">
        <f>Tabela4[[#This Row],[Total R$]]-Tabela4[[#This Row],[Total Pago]]</f>
        <v>0</v>
      </c>
      <c r="AT1229" s="36"/>
    </row>
    <row r="1230" spans="2:46" x14ac:dyDescent="0.25">
      <c r="B1230" s="44"/>
      <c r="D1230" s="349"/>
      <c r="E1230" s="33"/>
      <c r="F1230" s="33"/>
      <c r="G1230" s="33"/>
      <c r="H1230" s="33"/>
      <c r="I1230" s="33"/>
      <c r="J1230" s="33"/>
      <c r="K1230" s="33"/>
      <c r="L1230" s="561"/>
      <c r="M1230" s="33"/>
      <c r="N1230" s="33"/>
      <c r="O1230" s="33"/>
      <c r="P1230" s="184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44"/>
      <c r="AP1230" s="37"/>
      <c r="AQ1230" s="309"/>
      <c r="AR1230" s="57"/>
      <c r="AS1230" s="56">
        <f>Tabela4[[#This Row],[Total R$]]-Tabela4[[#This Row],[Total Pago]]</f>
        <v>0</v>
      </c>
      <c r="AT1230" s="36"/>
    </row>
    <row r="1231" spans="2:46" x14ac:dyDescent="0.25">
      <c r="B1231" s="44"/>
      <c r="D1231" s="349"/>
      <c r="E1231" s="33"/>
      <c r="F1231" s="33"/>
      <c r="G1231" s="33"/>
      <c r="H1231" s="33"/>
      <c r="I1231" s="33"/>
      <c r="J1231" s="33"/>
      <c r="K1231" s="33"/>
      <c r="L1231" s="561"/>
      <c r="M1231" s="33"/>
      <c r="N1231" s="33"/>
      <c r="O1231" s="33"/>
      <c r="P1231" s="184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44"/>
      <c r="AP1231" s="37"/>
      <c r="AQ1231" s="309"/>
      <c r="AR1231" s="57"/>
      <c r="AS1231" s="56">
        <f>Tabela4[[#This Row],[Total R$]]-Tabela4[[#This Row],[Total Pago]]</f>
        <v>0</v>
      </c>
      <c r="AT1231" s="36"/>
    </row>
    <row r="1232" spans="2:46" x14ac:dyDescent="0.25">
      <c r="B1232" s="44"/>
      <c r="D1232" s="349"/>
      <c r="E1232" s="33"/>
      <c r="F1232" s="33"/>
      <c r="G1232" s="33"/>
      <c r="H1232" s="33"/>
      <c r="I1232" s="33"/>
      <c r="J1232" s="33"/>
      <c r="K1232" s="33"/>
      <c r="L1232" s="561"/>
      <c r="M1232" s="33"/>
      <c r="N1232" s="33"/>
      <c r="O1232" s="33"/>
      <c r="P1232" s="184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44"/>
      <c r="AP1232" s="37"/>
      <c r="AQ1232" s="309"/>
      <c r="AR1232" s="57"/>
      <c r="AS1232" s="56">
        <f>Tabela4[[#This Row],[Total R$]]-Tabela4[[#This Row],[Total Pago]]</f>
        <v>0</v>
      </c>
      <c r="AT1232" s="36"/>
    </row>
    <row r="1233" spans="2:46" x14ac:dyDescent="0.25">
      <c r="B1233" s="44"/>
      <c r="D1233" s="349"/>
      <c r="E1233" s="33"/>
      <c r="F1233" s="33"/>
      <c r="G1233" s="33"/>
      <c r="H1233" s="33"/>
      <c r="I1233" s="33"/>
      <c r="J1233" s="33"/>
      <c r="K1233" s="33"/>
      <c r="L1233" s="561"/>
      <c r="M1233" s="33"/>
      <c r="N1233" s="33"/>
      <c r="O1233" s="33"/>
      <c r="P1233" s="184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44"/>
      <c r="AP1233" s="37"/>
      <c r="AQ1233" s="309"/>
      <c r="AR1233" s="57"/>
      <c r="AS1233" s="56">
        <f>Tabela4[[#This Row],[Total R$]]-Tabela4[[#This Row],[Total Pago]]</f>
        <v>0</v>
      </c>
      <c r="AT1233" s="36"/>
    </row>
    <row r="1234" spans="2:46" x14ac:dyDescent="0.25">
      <c r="B1234" s="44"/>
      <c r="D1234" s="349"/>
      <c r="E1234" s="33"/>
      <c r="F1234" s="33"/>
      <c r="G1234" s="33"/>
      <c r="H1234" s="33"/>
      <c r="I1234" s="33"/>
      <c r="J1234" s="33"/>
      <c r="K1234" s="33"/>
      <c r="L1234" s="561"/>
      <c r="M1234" s="33"/>
      <c r="N1234" s="33"/>
      <c r="O1234" s="33"/>
      <c r="P1234" s="184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44"/>
      <c r="AP1234" s="37"/>
      <c r="AQ1234" s="309"/>
      <c r="AR1234" s="57"/>
      <c r="AS1234" s="56">
        <f>Tabela4[[#This Row],[Total R$]]-Tabela4[[#This Row],[Total Pago]]</f>
        <v>0</v>
      </c>
      <c r="AT1234" s="36"/>
    </row>
    <row r="1235" spans="2:46" x14ac:dyDescent="0.25">
      <c r="B1235" s="44"/>
      <c r="D1235" s="349"/>
      <c r="E1235" s="33"/>
      <c r="F1235" s="33"/>
      <c r="G1235" s="33"/>
      <c r="H1235" s="33"/>
      <c r="I1235" s="33"/>
      <c r="J1235" s="33"/>
      <c r="K1235" s="33"/>
      <c r="L1235" s="561"/>
      <c r="M1235" s="33"/>
      <c r="N1235" s="33"/>
      <c r="O1235" s="33"/>
      <c r="P1235" s="184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44"/>
      <c r="AP1235" s="37"/>
      <c r="AQ1235" s="309"/>
      <c r="AR1235" s="57"/>
      <c r="AS1235" s="56">
        <f>Tabela4[[#This Row],[Total R$]]-Tabela4[[#This Row],[Total Pago]]</f>
        <v>0</v>
      </c>
      <c r="AT1235" s="36"/>
    </row>
    <row r="1236" spans="2:46" x14ac:dyDescent="0.25">
      <c r="B1236" s="44"/>
      <c r="D1236" s="349"/>
      <c r="E1236" s="33"/>
      <c r="F1236" s="33"/>
      <c r="G1236" s="33"/>
      <c r="H1236" s="33"/>
      <c r="I1236" s="33"/>
      <c r="J1236" s="33"/>
      <c r="K1236" s="33"/>
      <c r="L1236" s="561"/>
      <c r="M1236" s="33"/>
      <c r="N1236" s="33"/>
      <c r="O1236" s="33"/>
      <c r="P1236" s="184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44"/>
      <c r="AP1236" s="37"/>
      <c r="AQ1236" s="309"/>
      <c r="AR1236" s="57"/>
      <c r="AS1236" s="56">
        <f>Tabela4[[#This Row],[Total R$]]-Tabela4[[#This Row],[Total Pago]]</f>
        <v>0</v>
      </c>
      <c r="AT1236" s="36"/>
    </row>
    <row r="1237" spans="2:46" x14ac:dyDescent="0.25">
      <c r="B1237" s="44"/>
      <c r="D1237" s="349"/>
      <c r="E1237" s="33"/>
      <c r="F1237" s="33"/>
      <c r="G1237" s="33"/>
      <c r="H1237" s="33"/>
      <c r="I1237" s="33"/>
      <c r="J1237" s="33"/>
      <c r="K1237" s="33"/>
      <c r="L1237" s="561"/>
      <c r="M1237" s="33"/>
      <c r="N1237" s="33"/>
      <c r="O1237" s="33"/>
      <c r="P1237" s="184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44"/>
      <c r="AP1237" s="37"/>
      <c r="AQ1237" s="309"/>
      <c r="AR1237" s="57"/>
      <c r="AS1237" s="56">
        <f>Tabela4[[#This Row],[Total R$]]-Tabela4[[#This Row],[Total Pago]]</f>
        <v>0</v>
      </c>
      <c r="AT1237" s="36"/>
    </row>
    <row r="1238" spans="2:46" x14ac:dyDescent="0.25">
      <c r="B1238" s="44"/>
      <c r="D1238" s="349"/>
      <c r="E1238" s="33"/>
      <c r="F1238" s="33"/>
      <c r="G1238" s="33"/>
      <c r="H1238" s="33"/>
      <c r="I1238" s="33"/>
      <c r="J1238" s="33"/>
      <c r="K1238" s="33"/>
      <c r="L1238" s="561"/>
      <c r="M1238" s="33"/>
      <c r="N1238" s="33"/>
      <c r="O1238" s="33"/>
      <c r="P1238" s="184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44"/>
      <c r="AP1238" s="37"/>
      <c r="AQ1238" s="309"/>
      <c r="AR1238" s="57"/>
      <c r="AS1238" s="56">
        <f>Tabela4[[#This Row],[Total R$]]-Tabela4[[#This Row],[Total Pago]]</f>
        <v>0</v>
      </c>
      <c r="AT1238" s="36"/>
    </row>
    <row r="1239" spans="2:46" x14ac:dyDescent="0.25">
      <c r="B1239" s="44"/>
      <c r="D1239" s="349"/>
      <c r="E1239" s="33"/>
      <c r="F1239" s="33"/>
      <c r="G1239" s="33"/>
      <c r="H1239" s="33"/>
      <c r="I1239" s="33"/>
      <c r="J1239" s="33"/>
      <c r="K1239" s="33"/>
      <c r="L1239" s="561"/>
      <c r="M1239" s="33"/>
      <c r="N1239" s="33"/>
      <c r="O1239" s="33"/>
      <c r="P1239" s="184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44"/>
      <c r="AP1239" s="37"/>
      <c r="AQ1239" s="309"/>
      <c r="AR1239" s="57"/>
      <c r="AS1239" s="56">
        <f>Tabela4[[#This Row],[Total R$]]-Tabela4[[#This Row],[Total Pago]]</f>
        <v>0</v>
      </c>
      <c r="AT1239" s="36"/>
    </row>
    <row r="1240" spans="2:46" x14ac:dyDescent="0.25">
      <c r="B1240" s="44"/>
      <c r="D1240" s="349"/>
      <c r="E1240" s="33"/>
      <c r="F1240" s="33"/>
      <c r="G1240" s="33"/>
      <c r="H1240" s="33"/>
      <c r="I1240" s="33"/>
      <c r="J1240" s="33"/>
      <c r="K1240" s="33"/>
      <c r="L1240" s="561"/>
      <c r="M1240" s="33"/>
      <c r="N1240" s="33"/>
      <c r="O1240" s="33"/>
      <c r="P1240" s="184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44"/>
      <c r="AP1240" s="37"/>
      <c r="AQ1240" s="309"/>
      <c r="AR1240" s="57"/>
      <c r="AS1240" s="56">
        <f>Tabela4[[#This Row],[Total R$]]-Tabela4[[#This Row],[Total Pago]]</f>
        <v>0</v>
      </c>
      <c r="AT1240" s="36"/>
    </row>
    <row r="1241" spans="2:46" x14ac:dyDescent="0.25">
      <c r="B1241" s="44"/>
      <c r="D1241" s="349"/>
      <c r="E1241" s="33"/>
      <c r="F1241" s="33"/>
      <c r="G1241" s="33"/>
      <c r="H1241" s="33"/>
      <c r="I1241" s="33"/>
      <c r="J1241" s="33"/>
      <c r="K1241" s="33"/>
      <c r="L1241" s="561"/>
      <c r="M1241" s="33"/>
      <c r="N1241" s="33"/>
      <c r="O1241" s="33"/>
      <c r="P1241" s="184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44"/>
      <c r="AP1241" s="37"/>
      <c r="AQ1241" s="309"/>
      <c r="AR1241" s="57"/>
      <c r="AS1241" s="56">
        <f>Tabela4[[#This Row],[Total R$]]-Tabela4[[#This Row],[Total Pago]]</f>
        <v>0</v>
      </c>
      <c r="AT1241" s="36"/>
    </row>
    <row r="1242" spans="2:46" x14ac:dyDescent="0.25">
      <c r="B1242" s="44"/>
      <c r="D1242" s="349"/>
      <c r="E1242" s="33"/>
      <c r="F1242" s="33"/>
      <c r="G1242" s="33"/>
      <c r="H1242" s="33"/>
      <c r="I1242" s="33"/>
      <c r="J1242" s="33"/>
      <c r="K1242" s="33"/>
      <c r="L1242" s="561"/>
      <c r="M1242" s="33"/>
      <c r="N1242" s="33"/>
      <c r="O1242" s="33"/>
      <c r="P1242" s="184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44"/>
      <c r="AP1242" s="37"/>
      <c r="AQ1242" s="309"/>
      <c r="AR1242" s="57"/>
      <c r="AS1242" s="56">
        <f>Tabela4[[#This Row],[Total R$]]-Tabela4[[#This Row],[Total Pago]]</f>
        <v>0</v>
      </c>
      <c r="AT1242" s="36"/>
    </row>
    <row r="1243" spans="2:46" x14ac:dyDescent="0.25">
      <c r="B1243" s="44"/>
      <c r="D1243" s="349"/>
      <c r="E1243" s="33"/>
      <c r="F1243" s="33"/>
      <c r="G1243" s="33"/>
      <c r="H1243" s="33"/>
      <c r="I1243" s="33"/>
      <c r="J1243" s="33"/>
      <c r="K1243" s="33"/>
      <c r="L1243" s="561"/>
      <c r="M1243" s="33"/>
      <c r="N1243" s="33"/>
      <c r="O1243" s="33"/>
      <c r="P1243" s="184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44"/>
      <c r="AP1243" s="37"/>
      <c r="AQ1243" s="309"/>
      <c r="AR1243" s="57"/>
      <c r="AS1243" s="56">
        <f>Tabela4[[#This Row],[Total R$]]-Tabela4[[#This Row],[Total Pago]]</f>
        <v>0</v>
      </c>
      <c r="AT1243" s="36"/>
    </row>
    <row r="1244" spans="2:46" x14ac:dyDescent="0.25">
      <c r="B1244" s="44"/>
      <c r="D1244" s="349"/>
      <c r="E1244" s="33"/>
      <c r="F1244" s="33"/>
      <c r="G1244" s="33"/>
      <c r="H1244" s="33"/>
      <c r="I1244" s="33"/>
      <c r="J1244" s="33"/>
      <c r="K1244" s="33"/>
      <c r="L1244" s="561"/>
      <c r="M1244" s="33"/>
      <c r="N1244" s="33"/>
      <c r="O1244" s="33"/>
      <c r="P1244" s="184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44"/>
      <c r="AP1244" s="37"/>
      <c r="AQ1244" s="309"/>
      <c r="AR1244" s="57"/>
      <c r="AS1244" s="56">
        <f>Tabela4[[#This Row],[Total R$]]-Tabela4[[#This Row],[Total Pago]]</f>
        <v>0</v>
      </c>
      <c r="AT1244" s="36"/>
    </row>
    <row r="1245" spans="2:46" x14ac:dyDescent="0.25">
      <c r="B1245" s="44"/>
      <c r="D1245" s="349"/>
      <c r="E1245" s="33"/>
      <c r="F1245" s="33"/>
      <c r="G1245" s="33"/>
      <c r="H1245" s="33"/>
      <c r="I1245" s="33"/>
      <c r="J1245" s="33"/>
      <c r="K1245" s="33"/>
      <c r="L1245" s="561"/>
      <c r="M1245" s="33"/>
      <c r="N1245" s="33"/>
      <c r="O1245" s="33"/>
      <c r="P1245" s="184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44"/>
      <c r="AP1245" s="37"/>
      <c r="AQ1245" s="309"/>
      <c r="AR1245" s="57"/>
      <c r="AS1245" s="56">
        <f>Tabela4[[#This Row],[Total R$]]-Tabela4[[#This Row],[Total Pago]]</f>
        <v>0</v>
      </c>
      <c r="AT1245" s="36"/>
    </row>
    <row r="1246" spans="2:46" x14ac:dyDescent="0.25">
      <c r="B1246" s="44"/>
      <c r="D1246" s="349"/>
      <c r="E1246" s="33"/>
      <c r="F1246" s="33"/>
      <c r="G1246" s="33"/>
      <c r="H1246" s="33"/>
      <c r="I1246" s="33"/>
      <c r="J1246" s="33"/>
      <c r="K1246" s="33"/>
      <c r="L1246" s="561"/>
      <c r="M1246" s="33"/>
      <c r="N1246" s="33"/>
      <c r="O1246" s="33"/>
      <c r="P1246" s="184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44"/>
      <c r="AP1246" s="37"/>
      <c r="AQ1246" s="309"/>
      <c r="AR1246" s="57"/>
      <c r="AS1246" s="56">
        <f>Tabela4[[#This Row],[Total R$]]-Tabela4[[#This Row],[Total Pago]]</f>
        <v>0</v>
      </c>
      <c r="AT1246" s="36"/>
    </row>
    <row r="1247" spans="2:46" x14ac:dyDescent="0.25">
      <c r="B1247" s="44"/>
      <c r="D1247" s="349"/>
      <c r="E1247" s="33"/>
      <c r="F1247" s="33"/>
      <c r="G1247" s="33"/>
      <c r="H1247" s="33"/>
      <c r="I1247" s="33"/>
      <c r="J1247" s="33"/>
      <c r="K1247" s="33"/>
      <c r="L1247" s="561"/>
      <c r="M1247" s="33"/>
      <c r="N1247" s="33"/>
      <c r="O1247" s="33"/>
      <c r="P1247" s="184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44"/>
      <c r="AP1247" s="37"/>
      <c r="AQ1247" s="309"/>
      <c r="AR1247" s="57"/>
      <c r="AS1247" s="56">
        <f>Tabela4[[#This Row],[Total R$]]-Tabela4[[#This Row],[Total Pago]]</f>
        <v>0</v>
      </c>
      <c r="AT1247" s="36"/>
    </row>
    <row r="1248" spans="2:46" x14ac:dyDescent="0.25">
      <c r="B1248" s="44"/>
      <c r="D1248" s="349"/>
      <c r="E1248" s="33"/>
      <c r="F1248" s="33"/>
      <c r="G1248" s="33"/>
      <c r="H1248" s="33"/>
      <c r="I1248" s="33"/>
      <c r="J1248" s="33"/>
      <c r="K1248" s="33"/>
      <c r="L1248" s="561"/>
      <c r="M1248" s="33"/>
      <c r="N1248" s="33"/>
      <c r="O1248" s="33"/>
      <c r="P1248" s="184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44"/>
      <c r="AP1248" s="37"/>
      <c r="AQ1248" s="309"/>
      <c r="AR1248" s="57"/>
      <c r="AS1248" s="56">
        <f>Tabela4[[#This Row],[Total R$]]-Tabela4[[#This Row],[Total Pago]]</f>
        <v>0</v>
      </c>
      <c r="AT1248" s="36"/>
    </row>
    <row r="1249" spans="2:46" x14ac:dyDescent="0.25">
      <c r="B1249" s="44"/>
      <c r="D1249" s="349"/>
      <c r="E1249" s="33"/>
      <c r="F1249" s="33"/>
      <c r="G1249" s="33"/>
      <c r="H1249" s="33"/>
      <c r="I1249" s="33"/>
      <c r="J1249" s="33"/>
      <c r="K1249" s="33"/>
      <c r="L1249" s="561"/>
      <c r="M1249" s="33"/>
      <c r="N1249" s="33"/>
      <c r="O1249" s="33"/>
      <c r="P1249" s="184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44"/>
      <c r="AP1249" s="37"/>
      <c r="AQ1249" s="309"/>
      <c r="AR1249" s="57"/>
      <c r="AS1249" s="56">
        <f>Tabela4[[#This Row],[Total R$]]-Tabela4[[#This Row],[Total Pago]]</f>
        <v>0</v>
      </c>
      <c r="AT1249" s="36"/>
    </row>
    <row r="1250" spans="2:46" x14ac:dyDescent="0.25">
      <c r="B1250" s="44"/>
      <c r="D1250" s="349"/>
      <c r="E1250" s="33"/>
      <c r="F1250" s="33"/>
      <c r="G1250" s="33"/>
      <c r="H1250" s="33"/>
      <c r="I1250" s="33"/>
      <c r="J1250" s="33"/>
      <c r="K1250" s="33"/>
      <c r="L1250" s="561"/>
      <c r="M1250" s="33"/>
      <c r="N1250" s="33"/>
      <c r="O1250" s="33"/>
      <c r="P1250" s="184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44"/>
      <c r="AP1250" s="37"/>
      <c r="AQ1250" s="309"/>
      <c r="AR1250" s="57"/>
      <c r="AS1250" s="56">
        <f>Tabela4[[#This Row],[Total R$]]-Tabela4[[#This Row],[Total Pago]]</f>
        <v>0</v>
      </c>
      <c r="AT1250" s="36"/>
    </row>
    <row r="1251" spans="2:46" x14ac:dyDescent="0.25">
      <c r="B1251" s="44"/>
      <c r="D1251" s="349"/>
      <c r="E1251" s="33"/>
      <c r="F1251" s="33"/>
      <c r="G1251" s="33"/>
      <c r="H1251" s="33"/>
      <c r="I1251" s="33"/>
      <c r="J1251" s="33"/>
      <c r="K1251" s="33"/>
      <c r="L1251" s="561"/>
      <c r="M1251" s="33"/>
      <c r="N1251" s="33"/>
      <c r="O1251" s="33"/>
      <c r="P1251" s="184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44"/>
      <c r="AP1251" s="37"/>
      <c r="AQ1251" s="309"/>
      <c r="AR1251" s="57"/>
      <c r="AS1251" s="56">
        <f>Tabela4[[#This Row],[Total R$]]-Tabela4[[#This Row],[Total Pago]]</f>
        <v>0</v>
      </c>
      <c r="AT1251" s="36"/>
    </row>
    <row r="1252" spans="2:46" x14ac:dyDescent="0.25">
      <c r="B1252" s="44"/>
      <c r="D1252" s="349"/>
      <c r="E1252" s="33"/>
      <c r="F1252" s="33"/>
      <c r="G1252" s="33"/>
      <c r="H1252" s="33"/>
      <c r="I1252" s="33"/>
      <c r="J1252" s="33"/>
      <c r="K1252" s="33"/>
      <c r="L1252" s="561"/>
      <c r="M1252" s="33"/>
      <c r="N1252" s="33"/>
      <c r="O1252" s="33"/>
      <c r="P1252" s="184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44"/>
      <c r="AP1252" s="37"/>
      <c r="AQ1252" s="309"/>
      <c r="AR1252" s="57"/>
      <c r="AS1252" s="56">
        <f>Tabela4[[#This Row],[Total R$]]-Tabela4[[#This Row],[Total Pago]]</f>
        <v>0</v>
      </c>
      <c r="AT1252" s="36"/>
    </row>
    <row r="1253" spans="2:46" x14ac:dyDescent="0.25">
      <c r="B1253" s="44"/>
      <c r="D1253" s="349"/>
      <c r="E1253" s="33"/>
      <c r="F1253" s="33"/>
      <c r="G1253" s="33"/>
      <c r="H1253" s="33"/>
      <c r="I1253" s="33"/>
      <c r="J1253" s="33"/>
      <c r="K1253" s="33"/>
      <c r="L1253" s="561"/>
      <c r="M1253" s="33"/>
      <c r="N1253" s="33"/>
      <c r="O1253" s="33"/>
      <c r="P1253" s="184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44"/>
      <c r="AP1253" s="37"/>
      <c r="AQ1253" s="309"/>
      <c r="AR1253" s="57"/>
      <c r="AS1253" s="56">
        <f>Tabela4[[#This Row],[Total R$]]-Tabela4[[#This Row],[Total Pago]]</f>
        <v>0</v>
      </c>
      <c r="AT1253" s="36"/>
    </row>
    <row r="1254" spans="2:46" x14ac:dyDescent="0.25">
      <c r="B1254" s="44"/>
      <c r="D1254" s="349"/>
      <c r="E1254" s="33"/>
      <c r="F1254" s="33"/>
      <c r="G1254" s="33"/>
      <c r="H1254" s="33"/>
      <c r="I1254" s="33"/>
      <c r="J1254" s="33"/>
      <c r="K1254" s="33"/>
      <c r="L1254" s="561"/>
      <c r="M1254" s="33"/>
      <c r="N1254" s="33"/>
      <c r="O1254" s="33"/>
      <c r="P1254" s="184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44"/>
      <c r="AP1254" s="37"/>
      <c r="AQ1254" s="309"/>
      <c r="AR1254" s="57"/>
      <c r="AS1254" s="56">
        <f>Tabela4[[#This Row],[Total R$]]-Tabela4[[#This Row],[Total Pago]]</f>
        <v>0</v>
      </c>
      <c r="AT1254" s="36"/>
    </row>
    <row r="1255" spans="2:46" x14ac:dyDescent="0.25">
      <c r="B1255" s="44"/>
      <c r="D1255" s="349"/>
      <c r="E1255" s="33"/>
      <c r="F1255" s="33"/>
      <c r="G1255" s="33"/>
      <c r="H1255" s="33"/>
      <c r="I1255" s="33"/>
      <c r="J1255" s="33"/>
      <c r="K1255" s="33"/>
      <c r="L1255" s="561"/>
      <c r="M1255" s="33"/>
      <c r="N1255" s="33"/>
      <c r="O1255" s="33"/>
      <c r="P1255" s="184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44"/>
      <c r="AP1255" s="37"/>
      <c r="AQ1255" s="309"/>
      <c r="AR1255" s="57"/>
      <c r="AS1255" s="56">
        <f>Tabela4[[#This Row],[Total R$]]-Tabela4[[#This Row],[Total Pago]]</f>
        <v>0</v>
      </c>
      <c r="AT1255" s="36"/>
    </row>
    <row r="1256" spans="2:46" x14ac:dyDescent="0.25">
      <c r="B1256" s="44"/>
      <c r="D1256" s="349"/>
      <c r="E1256" s="33"/>
      <c r="F1256" s="33"/>
      <c r="G1256" s="33"/>
      <c r="H1256" s="33"/>
      <c r="I1256" s="33"/>
      <c r="J1256" s="33"/>
      <c r="K1256" s="33"/>
      <c r="L1256" s="561"/>
      <c r="M1256" s="33"/>
      <c r="N1256" s="33"/>
      <c r="O1256" s="33"/>
      <c r="P1256" s="184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44"/>
      <c r="AP1256" s="37"/>
      <c r="AQ1256" s="309"/>
      <c r="AR1256" s="57"/>
      <c r="AS1256" s="56">
        <f>Tabela4[[#This Row],[Total R$]]-Tabela4[[#This Row],[Total Pago]]</f>
        <v>0</v>
      </c>
      <c r="AT1256" s="36"/>
    </row>
    <row r="1257" spans="2:46" x14ac:dyDescent="0.25">
      <c r="B1257" s="44"/>
      <c r="D1257" s="349"/>
      <c r="E1257" s="33"/>
      <c r="F1257" s="33"/>
      <c r="G1257" s="33"/>
      <c r="H1257" s="33"/>
      <c r="I1257" s="33"/>
      <c r="J1257" s="33"/>
      <c r="K1257" s="33"/>
      <c r="L1257" s="561"/>
      <c r="M1257" s="33"/>
      <c r="N1257" s="33"/>
      <c r="O1257" s="33"/>
      <c r="P1257" s="184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44"/>
      <c r="AP1257" s="37"/>
      <c r="AQ1257" s="309"/>
      <c r="AR1257" s="57"/>
      <c r="AS1257" s="56">
        <f>Tabela4[[#This Row],[Total R$]]-Tabela4[[#This Row],[Total Pago]]</f>
        <v>0</v>
      </c>
      <c r="AT1257" s="36"/>
    </row>
    <row r="1258" spans="2:46" x14ac:dyDescent="0.25">
      <c r="B1258" s="44"/>
      <c r="D1258" s="349"/>
      <c r="E1258" s="33"/>
      <c r="F1258" s="33"/>
      <c r="G1258" s="33"/>
      <c r="H1258" s="33"/>
      <c r="I1258" s="33"/>
      <c r="J1258" s="33"/>
      <c r="K1258" s="33"/>
      <c r="L1258" s="561"/>
      <c r="M1258" s="33"/>
      <c r="N1258" s="33"/>
      <c r="O1258" s="33"/>
      <c r="P1258" s="184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44"/>
      <c r="AP1258" s="37"/>
      <c r="AQ1258" s="309"/>
      <c r="AR1258" s="57"/>
      <c r="AS1258" s="56">
        <f>Tabela4[[#This Row],[Total R$]]-Tabela4[[#This Row],[Total Pago]]</f>
        <v>0</v>
      </c>
      <c r="AT1258" s="36"/>
    </row>
    <row r="1259" spans="2:46" x14ac:dyDescent="0.25">
      <c r="B1259" s="44"/>
      <c r="D1259" s="349"/>
      <c r="E1259" s="33"/>
      <c r="F1259" s="33"/>
      <c r="G1259" s="33"/>
      <c r="H1259" s="33"/>
      <c r="I1259" s="33"/>
      <c r="J1259" s="33"/>
      <c r="K1259" s="33"/>
      <c r="L1259" s="561"/>
      <c r="M1259" s="33"/>
      <c r="N1259" s="33"/>
      <c r="O1259" s="33"/>
      <c r="P1259" s="184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44"/>
      <c r="AP1259" s="37"/>
      <c r="AQ1259" s="309"/>
      <c r="AR1259" s="57"/>
      <c r="AS1259" s="56">
        <f>Tabela4[[#This Row],[Total R$]]-Tabela4[[#This Row],[Total Pago]]</f>
        <v>0</v>
      </c>
      <c r="AT1259" s="36"/>
    </row>
    <row r="1260" spans="2:46" x14ac:dyDescent="0.25">
      <c r="B1260" s="44"/>
      <c r="D1260" s="349"/>
      <c r="E1260" s="33"/>
      <c r="F1260" s="33"/>
      <c r="G1260" s="33"/>
      <c r="H1260" s="33"/>
      <c r="I1260" s="33"/>
      <c r="J1260" s="33"/>
      <c r="K1260" s="33"/>
      <c r="L1260" s="561"/>
      <c r="M1260" s="33"/>
      <c r="N1260" s="33"/>
      <c r="O1260" s="33"/>
      <c r="P1260" s="184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44"/>
      <c r="AP1260" s="37"/>
      <c r="AQ1260" s="309"/>
      <c r="AR1260" s="57"/>
      <c r="AS1260" s="56">
        <f>Tabela4[[#This Row],[Total R$]]-Tabela4[[#This Row],[Total Pago]]</f>
        <v>0</v>
      </c>
      <c r="AT1260" s="36"/>
    </row>
    <row r="1261" spans="2:46" x14ac:dyDescent="0.25">
      <c r="B1261" s="44"/>
      <c r="D1261" s="349"/>
      <c r="E1261" s="33"/>
      <c r="F1261" s="33"/>
      <c r="G1261" s="33"/>
      <c r="H1261" s="33"/>
      <c r="I1261" s="33"/>
      <c r="J1261" s="33"/>
      <c r="K1261" s="33"/>
      <c r="L1261" s="561"/>
      <c r="M1261" s="33"/>
      <c r="N1261" s="33"/>
      <c r="O1261" s="33"/>
      <c r="P1261" s="184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44"/>
      <c r="AP1261" s="37"/>
      <c r="AQ1261" s="309"/>
      <c r="AR1261" s="57"/>
      <c r="AS1261" s="56">
        <f>Tabela4[[#This Row],[Total R$]]-Tabela4[[#This Row],[Total Pago]]</f>
        <v>0</v>
      </c>
      <c r="AT1261" s="36"/>
    </row>
    <row r="1262" spans="2:46" x14ac:dyDescent="0.25">
      <c r="B1262" s="44"/>
      <c r="D1262" s="349"/>
      <c r="E1262" s="33"/>
      <c r="F1262" s="33"/>
      <c r="G1262" s="33"/>
      <c r="H1262" s="33"/>
      <c r="I1262" s="33"/>
      <c r="J1262" s="33"/>
      <c r="K1262" s="33"/>
      <c r="L1262" s="561"/>
      <c r="M1262" s="33"/>
      <c r="N1262" s="33"/>
      <c r="O1262" s="33"/>
      <c r="P1262" s="184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44"/>
      <c r="AP1262" s="37"/>
      <c r="AQ1262" s="309"/>
      <c r="AR1262" s="57"/>
      <c r="AS1262" s="56">
        <f>Tabela4[[#This Row],[Total R$]]-Tabela4[[#This Row],[Total Pago]]</f>
        <v>0</v>
      </c>
      <c r="AT1262" s="36"/>
    </row>
    <row r="1263" spans="2:46" x14ac:dyDescent="0.25">
      <c r="B1263" s="44"/>
      <c r="D1263" s="349"/>
      <c r="E1263" s="33"/>
      <c r="F1263" s="33"/>
      <c r="G1263" s="33"/>
      <c r="H1263" s="33"/>
      <c r="I1263" s="33"/>
      <c r="J1263" s="33"/>
      <c r="K1263" s="33"/>
      <c r="L1263" s="561"/>
      <c r="M1263" s="33"/>
      <c r="N1263" s="33"/>
      <c r="O1263" s="33"/>
      <c r="P1263" s="184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44"/>
      <c r="AP1263" s="37"/>
      <c r="AQ1263" s="309"/>
      <c r="AR1263" s="57"/>
      <c r="AS1263" s="56">
        <f>Tabela4[[#This Row],[Total R$]]-Tabela4[[#This Row],[Total Pago]]</f>
        <v>0</v>
      </c>
      <c r="AT1263" s="36"/>
    </row>
    <row r="1264" spans="2:46" x14ac:dyDescent="0.25">
      <c r="B1264" s="44"/>
      <c r="D1264" s="349"/>
      <c r="E1264" s="33"/>
      <c r="F1264" s="33"/>
      <c r="G1264" s="33"/>
      <c r="H1264" s="33"/>
      <c r="I1264" s="33"/>
      <c r="J1264" s="33"/>
      <c r="K1264" s="33"/>
      <c r="L1264" s="561"/>
      <c r="M1264" s="33"/>
      <c r="N1264" s="33"/>
      <c r="O1264" s="33"/>
      <c r="P1264" s="184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44"/>
      <c r="AP1264" s="37"/>
      <c r="AQ1264" s="309"/>
      <c r="AR1264" s="57"/>
      <c r="AS1264" s="56">
        <f>Tabela4[[#This Row],[Total R$]]-Tabela4[[#This Row],[Total Pago]]</f>
        <v>0</v>
      </c>
      <c r="AT1264" s="36"/>
    </row>
    <row r="1265" spans="2:46" x14ac:dyDescent="0.25">
      <c r="B1265" s="44"/>
      <c r="D1265" s="349"/>
      <c r="E1265" s="33"/>
      <c r="F1265" s="33"/>
      <c r="G1265" s="33"/>
      <c r="H1265" s="33"/>
      <c r="I1265" s="33"/>
      <c r="J1265" s="33"/>
      <c r="K1265" s="33"/>
      <c r="L1265" s="561"/>
      <c r="M1265" s="33"/>
      <c r="N1265" s="33"/>
      <c r="O1265" s="33"/>
      <c r="P1265" s="184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44"/>
      <c r="AP1265" s="37"/>
      <c r="AQ1265" s="309"/>
      <c r="AR1265" s="57"/>
      <c r="AS1265" s="56">
        <f>Tabela4[[#This Row],[Total R$]]-Tabela4[[#This Row],[Total Pago]]</f>
        <v>0</v>
      </c>
      <c r="AT1265" s="36"/>
    </row>
    <row r="1266" spans="2:46" x14ac:dyDescent="0.25">
      <c r="B1266" s="44"/>
      <c r="D1266" s="349"/>
      <c r="E1266" s="33"/>
      <c r="F1266" s="33"/>
      <c r="G1266" s="33"/>
      <c r="H1266" s="33"/>
      <c r="I1266" s="33"/>
      <c r="J1266" s="33"/>
      <c r="K1266" s="33"/>
      <c r="L1266" s="561"/>
      <c r="M1266" s="33"/>
      <c r="N1266" s="33"/>
      <c r="O1266" s="33"/>
      <c r="P1266" s="184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44"/>
      <c r="AP1266" s="37"/>
      <c r="AQ1266" s="309"/>
      <c r="AR1266" s="57"/>
      <c r="AS1266" s="56">
        <f>Tabela4[[#This Row],[Total R$]]-Tabela4[[#This Row],[Total Pago]]</f>
        <v>0</v>
      </c>
      <c r="AT1266" s="36"/>
    </row>
    <row r="1267" spans="2:46" x14ac:dyDescent="0.25">
      <c r="B1267" s="44"/>
      <c r="D1267" s="349"/>
      <c r="E1267" s="33"/>
      <c r="F1267" s="33"/>
      <c r="G1267" s="33"/>
      <c r="H1267" s="33"/>
      <c r="I1267" s="33"/>
      <c r="J1267" s="33"/>
      <c r="K1267" s="33"/>
      <c r="L1267" s="561"/>
      <c r="M1267" s="33"/>
      <c r="N1267" s="33"/>
      <c r="O1267" s="33"/>
      <c r="P1267" s="184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44"/>
      <c r="AP1267" s="37"/>
      <c r="AQ1267" s="309"/>
      <c r="AR1267" s="57"/>
      <c r="AS1267" s="56">
        <f>Tabela4[[#This Row],[Total R$]]-Tabela4[[#This Row],[Total Pago]]</f>
        <v>0</v>
      </c>
      <c r="AT1267" s="36"/>
    </row>
    <row r="1268" spans="2:46" x14ac:dyDescent="0.25">
      <c r="B1268" s="44"/>
      <c r="D1268" s="349"/>
      <c r="E1268" s="33"/>
      <c r="F1268" s="33"/>
      <c r="G1268" s="33"/>
      <c r="H1268" s="33"/>
      <c r="I1268" s="33"/>
      <c r="J1268" s="33"/>
      <c r="K1268" s="33"/>
      <c r="L1268" s="561"/>
      <c r="M1268" s="33"/>
      <c r="N1268" s="33"/>
      <c r="O1268" s="33"/>
      <c r="P1268" s="184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44"/>
      <c r="AP1268" s="37"/>
      <c r="AQ1268" s="309"/>
      <c r="AR1268" s="57"/>
      <c r="AS1268" s="56">
        <f>Tabela4[[#This Row],[Total R$]]-Tabela4[[#This Row],[Total Pago]]</f>
        <v>0</v>
      </c>
      <c r="AT1268" s="36"/>
    </row>
    <row r="1269" spans="2:46" x14ac:dyDescent="0.25">
      <c r="B1269" s="44"/>
      <c r="D1269" s="349"/>
      <c r="E1269" s="33"/>
      <c r="F1269" s="33"/>
      <c r="G1269" s="33"/>
      <c r="H1269" s="33"/>
      <c r="I1269" s="33"/>
      <c r="J1269" s="33"/>
      <c r="K1269" s="33"/>
      <c r="L1269" s="561"/>
      <c r="M1269" s="33"/>
      <c r="N1269" s="33"/>
      <c r="O1269" s="33"/>
      <c r="P1269" s="184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44"/>
      <c r="AP1269" s="37"/>
      <c r="AQ1269" s="309"/>
      <c r="AR1269" s="57"/>
      <c r="AS1269" s="56">
        <f>Tabela4[[#This Row],[Total R$]]-Tabela4[[#This Row],[Total Pago]]</f>
        <v>0</v>
      </c>
      <c r="AT1269" s="36"/>
    </row>
    <row r="1270" spans="2:46" x14ac:dyDescent="0.25">
      <c r="B1270" s="44"/>
      <c r="D1270" s="349"/>
      <c r="E1270" s="33"/>
      <c r="F1270" s="33"/>
      <c r="G1270" s="33"/>
      <c r="H1270" s="33"/>
      <c r="I1270" s="33"/>
      <c r="J1270" s="33"/>
      <c r="K1270" s="33"/>
      <c r="L1270" s="561"/>
      <c r="M1270" s="33"/>
      <c r="N1270" s="33"/>
      <c r="O1270" s="33"/>
      <c r="P1270" s="184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44"/>
      <c r="AP1270" s="37"/>
      <c r="AQ1270" s="309"/>
      <c r="AR1270" s="57"/>
      <c r="AS1270" s="56">
        <f>Tabela4[[#This Row],[Total R$]]-Tabela4[[#This Row],[Total Pago]]</f>
        <v>0</v>
      </c>
      <c r="AT1270" s="36"/>
    </row>
    <row r="1271" spans="2:46" x14ac:dyDescent="0.25">
      <c r="B1271" s="44"/>
      <c r="D1271" s="349"/>
      <c r="E1271" s="33"/>
      <c r="F1271" s="33"/>
      <c r="G1271" s="33"/>
      <c r="H1271" s="33"/>
      <c r="I1271" s="33"/>
      <c r="J1271" s="33"/>
      <c r="K1271" s="33"/>
      <c r="L1271" s="561"/>
      <c r="M1271" s="33"/>
      <c r="N1271" s="33"/>
      <c r="O1271" s="33"/>
      <c r="P1271" s="184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44"/>
      <c r="AP1271" s="37"/>
      <c r="AQ1271" s="309"/>
      <c r="AR1271" s="57"/>
      <c r="AS1271" s="56">
        <f>Tabela4[[#This Row],[Total R$]]-Tabela4[[#This Row],[Total Pago]]</f>
        <v>0</v>
      </c>
      <c r="AT1271" s="36"/>
    </row>
    <row r="1272" spans="2:46" x14ac:dyDescent="0.25">
      <c r="B1272" s="44"/>
      <c r="D1272" s="349"/>
      <c r="E1272" s="33"/>
      <c r="F1272" s="33"/>
      <c r="G1272" s="33"/>
      <c r="H1272" s="33"/>
      <c r="I1272" s="33"/>
      <c r="J1272" s="33"/>
      <c r="K1272" s="33"/>
      <c r="L1272" s="561"/>
      <c r="M1272" s="33"/>
      <c r="N1272" s="33"/>
      <c r="O1272" s="33"/>
      <c r="P1272" s="184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44"/>
      <c r="AP1272" s="37"/>
      <c r="AQ1272" s="309"/>
      <c r="AR1272" s="57"/>
      <c r="AS1272" s="56">
        <f>Tabela4[[#This Row],[Total R$]]-Tabela4[[#This Row],[Total Pago]]</f>
        <v>0</v>
      </c>
      <c r="AT1272" s="36"/>
    </row>
    <row r="1273" spans="2:46" x14ac:dyDescent="0.25">
      <c r="B1273" s="44"/>
      <c r="D1273" s="349"/>
      <c r="E1273" s="33"/>
      <c r="F1273" s="33"/>
      <c r="G1273" s="33"/>
      <c r="H1273" s="33"/>
      <c r="I1273" s="33"/>
      <c r="J1273" s="33"/>
      <c r="K1273" s="33"/>
      <c r="L1273" s="561"/>
      <c r="M1273" s="33"/>
      <c r="N1273" s="33"/>
      <c r="O1273" s="33"/>
      <c r="P1273" s="184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44"/>
      <c r="AP1273" s="37"/>
      <c r="AQ1273" s="309"/>
      <c r="AR1273" s="57"/>
      <c r="AS1273" s="56">
        <f>Tabela4[[#This Row],[Total R$]]-Tabela4[[#This Row],[Total Pago]]</f>
        <v>0</v>
      </c>
      <c r="AT1273" s="36"/>
    </row>
    <row r="1274" spans="2:46" x14ac:dyDescent="0.25">
      <c r="B1274" s="44"/>
      <c r="D1274" s="349"/>
      <c r="E1274" s="33"/>
      <c r="F1274" s="33"/>
      <c r="G1274" s="33"/>
      <c r="H1274" s="33"/>
      <c r="I1274" s="33"/>
      <c r="J1274" s="33"/>
      <c r="K1274" s="33"/>
      <c r="L1274" s="561"/>
      <c r="M1274" s="33"/>
      <c r="N1274" s="33"/>
      <c r="O1274" s="33"/>
      <c r="P1274" s="184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44"/>
      <c r="AP1274" s="37"/>
      <c r="AQ1274" s="309"/>
      <c r="AR1274" s="57"/>
      <c r="AS1274" s="56">
        <f>Tabela4[[#This Row],[Total R$]]-Tabela4[[#This Row],[Total Pago]]</f>
        <v>0</v>
      </c>
      <c r="AT1274" s="36"/>
    </row>
    <row r="1275" spans="2:46" x14ac:dyDescent="0.25">
      <c r="B1275" s="44"/>
      <c r="D1275" s="349"/>
      <c r="E1275" s="33"/>
      <c r="F1275" s="33"/>
      <c r="G1275" s="33"/>
      <c r="H1275" s="33"/>
      <c r="I1275" s="33"/>
      <c r="J1275" s="33"/>
      <c r="K1275" s="33"/>
      <c r="L1275" s="561"/>
      <c r="M1275" s="33"/>
      <c r="N1275" s="33"/>
      <c r="O1275" s="33"/>
      <c r="P1275" s="184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44"/>
      <c r="AP1275" s="37"/>
      <c r="AQ1275" s="309"/>
      <c r="AR1275" s="57"/>
      <c r="AS1275" s="56">
        <f>Tabela4[[#This Row],[Total R$]]-Tabela4[[#This Row],[Total Pago]]</f>
        <v>0</v>
      </c>
      <c r="AT1275" s="36"/>
    </row>
    <row r="1276" spans="2:46" x14ac:dyDescent="0.25">
      <c r="B1276" s="44"/>
      <c r="D1276" s="349"/>
      <c r="E1276" s="33"/>
      <c r="F1276" s="33"/>
      <c r="G1276" s="33"/>
      <c r="H1276" s="33"/>
      <c r="I1276" s="33"/>
      <c r="J1276" s="33"/>
      <c r="K1276" s="33"/>
      <c r="L1276" s="561"/>
      <c r="M1276" s="33"/>
      <c r="N1276" s="33"/>
      <c r="O1276" s="33"/>
      <c r="P1276" s="184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44"/>
      <c r="AP1276" s="37"/>
      <c r="AQ1276" s="309"/>
      <c r="AR1276" s="57"/>
      <c r="AS1276" s="56">
        <f>Tabela4[[#This Row],[Total R$]]-Tabela4[[#This Row],[Total Pago]]</f>
        <v>0</v>
      </c>
      <c r="AT1276" s="36"/>
    </row>
    <row r="1277" spans="2:46" x14ac:dyDescent="0.25">
      <c r="B1277" s="44"/>
      <c r="D1277" s="349"/>
      <c r="E1277" s="33"/>
      <c r="F1277" s="33"/>
      <c r="G1277" s="33"/>
      <c r="H1277" s="33"/>
      <c r="I1277" s="33"/>
      <c r="J1277" s="33"/>
      <c r="K1277" s="33"/>
      <c r="L1277" s="561"/>
      <c r="M1277" s="33"/>
      <c r="N1277" s="33"/>
      <c r="O1277" s="33"/>
      <c r="P1277" s="184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44"/>
      <c r="AP1277" s="37"/>
      <c r="AQ1277" s="309"/>
      <c r="AR1277" s="57"/>
      <c r="AS1277" s="56">
        <f>Tabela4[[#This Row],[Total R$]]-Tabela4[[#This Row],[Total Pago]]</f>
        <v>0</v>
      </c>
      <c r="AT1277" s="36"/>
    </row>
    <row r="1278" spans="2:46" x14ac:dyDescent="0.25">
      <c r="B1278" s="44"/>
      <c r="D1278" s="349"/>
      <c r="E1278" s="33"/>
      <c r="F1278" s="33"/>
      <c r="G1278" s="33"/>
      <c r="H1278" s="33"/>
      <c r="I1278" s="33"/>
      <c r="J1278" s="33"/>
      <c r="K1278" s="33"/>
      <c r="L1278" s="561"/>
      <c r="M1278" s="33"/>
      <c r="N1278" s="33"/>
      <c r="O1278" s="33"/>
      <c r="P1278" s="184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44"/>
      <c r="AP1278" s="37"/>
      <c r="AQ1278" s="309"/>
      <c r="AR1278" s="57"/>
      <c r="AS1278" s="56">
        <f>Tabela4[[#This Row],[Total R$]]-Tabela4[[#This Row],[Total Pago]]</f>
        <v>0</v>
      </c>
      <c r="AT1278" s="36"/>
    </row>
    <row r="1279" spans="2:46" x14ac:dyDescent="0.25">
      <c r="B1279" s="44"/>
      <c r="D1279" s="349"/>
      <c r="E1279" s="33"/>
      <c r="F1279" s="33"/>
      <c r="G1279" s="33"/>
      <c r="H1279" s="33"/>
      <c r="I1279" s="33"/>
      <c r="J1279" s="33"/>
      <c r="K1279" s="33"/>
      <c r="L1279" s="561"/>
      <c r="M1279" s="33"/>
      <c r="N1279" s="33"/>
      <c r="O1279" s="33"/>
      <c r="P1279" s="184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44"/>
      <c r="AP1279" s="37"/>
      <c r="AQ1279" s="309"/>
      <c r="AR1279" s="57"/>
      <c r="AS1279" s="56">
        <f>Tabela4[[#This Row],[Total R$]]-Tabela4[[#This Row],[Total Pago]]</f>
        <v>0</v>
      </c>
      <c r="AT1279" s="36"/>
    </row>
    <row r="1280" spans="2:46" x14ac:dyDescent="0.25">
      <c r="B1280" s="44"/>
      <c r="D1280" s="349"/>
      <c r="E1280" s="33"/>
      <c r="F1280" s="33"/>
      <c r="G1280" s="33"/>
      <c r="H1280" s="33"/>
      <c r="I1280" s="33"/>
      <c r="J1280" s="33"/>
      <c r="K1280" s="33"/>
      <c r="L1280" s="561"/>
      <c r="M1280" s="33"/>
      <c r="N1280" s="33"/>
      <c r="O1280" s="33"/>
      <c r="P1280" s="184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44"/>
      <c r="AP1280" s="37"/>
      <c r="AQ1280" s="309"/>
      <c r="AR1280" s="57"/>
      <c r="AS1280" s="56">
        <f>Tabela4[[#This Row],[Total R$]]-Tabela4[[#This Row],[Total Pago]]</f>
        <v>0</v>
      </c>
      <c r="AT1280" s="36"/>
    </row>
    <row r="1281" spans="2:46" x14ac:dyDescent="0.25">
      <c r="B1281" s="44"/>
      <c r="D1281" s="349"/>
      <c r="E1281" s="33"/>
      <c r="F1281" s="33"/>
      <c r="G1281" s="33"/>
      <c r="H1281" s="33"/>
      <c r="I1281" s="33"/>
      <c r="J1281" s="33"/>
      <c r="K1281" s="33"/>
      <c r="L1281" s="561"/>
      <c r="M1281" s="33"/>
      <c r="N1281" s="33"/>
      <c r="O1281" s="33"/>
      <c r="P1281" s="184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44"/>
      <c r="AP1281" s="37"/>
      <c r="AQ1281" s="309"/>
      <c r="AR1281" s="57"/>
      <c r="AS1281" s="56">
        <f>Tabela4[[#This Row],[Total R$]]-Tabela4[[#This Row],[Total Pago]]</f>
        <v>0</v>
      </c>
      <c r="AT1281" s="36"/>
    </row>
    <row r="1282" spans="2:46" x14ac:dyDescent="0.25">
      <c r="B1282" s="44"/>
      <c r="D1282" s="349"/>
      <c r="E1282" s="33"/>
      <c r="F1282" s="33"/>
      <c r="G1282" s="33"/>
      <c r="H1282" s="33"/>
      <c r="I1282" s="33"/>
      <c r="J1282" s="33"/>
      <c r="K1282" s="33"/>
      <c r="L1282" s="561"/>
      <c r="M1282" s="33"/>
      <c r="N1282" s="33"/>
      <c r="O1282" s="33"/>
      <c r="P1282" s="184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44"/>
      <c r="AP1282" s="37"/>
      <c r="AQ1282" s="309"/>
      <c r="AR1282" s="57"/>
      <c r="AS1282" s="56">
        <f>Tabela4[[#This Row],[Total R$]]-Tabela4[[#This Row],[Total Pago]]</f>
        <v>0</v>
      </c>
      <c r="AT1282" s="36"/>
    </row>
    <row r="1283" spans="2:46" x14ac:dyDescent="0.25">
      <c r="B1283" s="44"/>
      <c r="D1283" s="349"/>
      <c r="E1283" s="33"/>
      <c r="F1283" s="33"/>
      <c r="G1283" s="33"/>
      <c r="H1283" s="33"/>
      <c r="I1283" s="33"/>
      <c r="J1283" s="33"/>
      <c r="K1283" s="33"/>
      <c r="L1283" s="561"/>
      <c r="M1283" s="33"/>
      <c r="N1283" s="33"/>
      <c r="O1283" s="33"/>
      <c r="P1283" s="184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44"/>
      <c r="AP1283" s="37"/>
      <c r="AQ1283" s="309"/>
      <c r="AR1283" s="57"/>
      <c r="AS1283" s="56">
        <f>Tabela4[[#This Row],[Total R$]]-Tabela4[[#This Row],[Total Pago]]</f>
        <v>0</v>
      </c>
      <c r="AT1283" s="36"/>
    </row>
    <row r="1284" spans="2:46" x14ac:dyDescent="0.25">
      <c r="B1284" s="44"/>
      <c r="D1284" s="349"/>
      <c r="E1284" s="33"/>
      <c r="F1284" s="33"/>
      <c r="G1284" s="33"/>
      <c r="H1284" s="33"/>
      <c r="I1284" s="33"/>
      <c r="J1284" s="33"/>
      <c r="K1284" s="33"/>
      <c r="L1284" s="561"/>
      <c r="M1284" s="33"/>
      <c r="N1284" s="33"/>
      <c r="O1284" s="33"/>
      <c r="P1284" s="184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44"/>
      <c r="AP1284" s="37"/>
      <c r="AQ1284" s="309"/>
      <c r="AR1284" s="57"/>
      <c r="AS1284" s="56">
        <f>Tabela4[[#This Row],[Total R$]]-Tabela4[[#This Row],[Total Pago]]</f>
        <v>0</v>
      </c>
      <c r="AT1284" s="36"/>
    </row>
    <row r="1285" spans="2:46" x14ac:dyDescent="0.25">
      <c r="B1285" s="44"/>
      <c r="D1285" s="349"/>
      <c r="E1285" s="33"/>
      <c r="F1285" s="33"/>
      <c r="G1285" s="33"/>
      <c r="H1285" s="33"/>
      <c r="I1285" s="33"/>
      <c r="J1285" s="33"/>
      <c r="K1285" s="33"/>
      <c r="L1285" s="561"/>
      <c r="M1285" s="33"/>
      <c r="N1285" s="33"/>
      <c r="O1285" s="33"/>
      <c r="P1285" s="184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44"/>
      <c r="AP1285" s="37"/>
      <c r="AQ1285" s="309"/>
      <c r="AR1285" s="57"/>
      <c r="AS1285" s="56">
        <f>Tabela4[[#This Row],[Total R$]]-Tabela4[[#This Row],[Total Pago]]</f>
        <v>0</v>
      </c>
      <c r="AT1285" s="36"/>
    </row>
    <row r="1286" spans="2:46" x14ac:dyDescent="0.25">
      <c r="B1286" s="44"/>
      <c r="D1286" s="349"/>
      <c r="E1286" s="33"/>
      <c r="F1286" s="33"/>
      <c r="G1286" s="33"/>
      <c r="H1286" s="33"/>
      <c r="I1286" s="33"/>
      <c r="J1286" s="33"/>
      <c r="K1286" s="33"/>
      <c r="L1286" s="561"/>
      <c r="M1286" s="33"/>
      <c r="N1286" s="33"/>
      <c r="O1286" s="33"/>
      <c r="P1286" s="184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44"/>
      <c r="AP1286" s="37"/>
      <c r="AQ1286" s="309"/>
      <c r="AR1286" s="57"/>
      <c r="AS1286" s="56">
        <f>Tabela4[[#This Row],[Total R$]]-Tabela4[[#This Row],[Total Pago]]</f>
        <v>0</v>
      </c>
      <c r="AT1286" s="36"/>
    </row>
    <row r="1287" spans="2:46" x14ac:dyDescent="0.25">
      <c r="B1287" s="44"/>
      <c r="D1287" s="349"/>
      <c r="E1287" s="33"/>
      <c r="F1287" s="33"/>
      <c r="G1287" s="33"/>
      <c r="H1287" s="33"/>
      <c r="I1287" s="33"/>
      <c r="J1287" s="33"/>
      <c r="K1287" s="33"/>
      <c r="L1287" s="561"/>
      <c r="M1287" s="33"/>
      <c r="N1287" s="33"/>
      <c r="O1287" s="33"/>
      <c r="P1287" s="184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44"/>
      <c r="AP1287" s="37"/>
      <c r="AQ1287" s="309"/>
      <c r="AR1287" s="57"/>
      <c r="AS1287" s="56">
        <f>Tabela4[[#This Row],[Total R$]]-Tabela4[[#This Row],[Total Pago]]</f>
        <v>0</v>
      </c>
      <c r="AT1287" s="36"/>
    </row>
    <row r="1288" spans="2:46" x14ac:dyDescent="0.25">
      <c r="B1288" s="44"/>
      <c r="D1288" s="349"/>
      <c r="E1288" s="33"/>
      <c r="F1288" s="33"/>
      <c r="G1288" s="33"/>
      <c r="H1288" s="33"/>
      <c r="I1288" s="33"/>
      <c r="J1288" s="33"/>
      <c r="K1288" s="33"/>
      <c r="L1288" s="561"/>
      <c r="M1288" s="33"/>
      <c r="N1288" s="33"/>
      <c r="O1288" s="33"/>
      <c r="P1288" s="184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44"/>
      <c r="AP1288" s="37"/>
      <c r="AQ1288" s="309"/>
      <c r="AR1288" s="57"/>
      <c r="AS1288" s="56">
        <f>Tabela4[[#This Row],[Total R$]]-Tabela4[[#This Row],[Total Pago]]</f>
        <v>0</v>
      </c>
      <c r="AT1288" s="36"/>
    </row>
    <row r="1289" spans="2:46" x14ac:dyDescent="0.25">
      <c r="B1289" s="44"/>
      <c r="D1289" s="349"/>
      <c r="E1289" s="33"/>
      <c r="F1289" s="33"/>
      <c r="G1289" s="33"/>
      <c r="H1289" s="33"/>
      <c r="I1289" s="33"/>
      <c r="J1289" s="33"/>
      <c r="K1289" s="33"/>
      <c r="L1289" s="561"/>
      <c r="M1289" s="33"/>
      <c r="N1289" s="33"/>
      <c r="O1289" s="33"/>
      <c r="P1289" s="184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44"/>
      <c r="AP1289" s="37"/>
      <c r="AQ1289" s="309"/>
      <c r="AR1289" s="57"/>
      <c r="AS1289" s="56">
        <f>Tabela4[[#This Row],[Total R$]]-Tabela4[[#This Row],[Total Pago]]</f>
        <v>0</v>
      </c>
      <c r="AT1289" s="36"/>
    </row>
    <row r="1290" spans="2:46" x14ac:dyDescent="0.25">
      <c r="B1290" s="44"/>
      <c r="D1290" s="349"/>
      <c r="E1290" s="33"/>
      <c r="F1290" s="33"/>
      <c r="G1290" s="33"/>
      <c r="H1290" s="33"/>
      <c r="I1290" s="33"/>
      <c r="J1290" s="33"/>
      <c r="K1290" s="33"/>
      <c r="L1290" s="561"/>
      <c r="M1290" s="33"/>
      <c r="N1290" s="33"/>
      <c r="O1290" s="33"/>
      <c r="P1290" s="184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44"/>
      <c r="AP1290" s="37"/>
      <c r="AQ1290" s="309"/>
      <c r="AR1290" s="57"/>
      <c r="AS1290" s="56">
        <f>Tabela4[[#This Row],[Total R$]]-Tabela4[[#This Row],[Total Pago]]</f>
        <v>0</v>
      </c>
      <c r="AT1290" s="36"/>
    </row>
    <row r="1291" spans="2:46" x14ac:dyDescent="0.25">
      <c r="B1291" s="44"/>
      <c r="D1291" s="349"/>
      <c r="E1291" s="33"/>
      <c r="F1291" s="33"/>
      <c r="G1291" s="33"/>
      <c r="H1291" s="33"/>
      <c r="I1291" s="33"/>
      <c r="J1291" s="33"/>
      <c r="K1291" s="33"/>
      <c r="L1291" s="561"/>
      <c r="M1291" s="33"/>
      <c r="N1291" s="33"/>
      <c r="O1291" s="33"/>
      <c r="P1291" s="184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44"/>
      <c r="AP1291" s="37"/>
      <c r="AQ1291" s="309"/>
      <c r="AR1291" s="57"/>
      <c r="AS1291" s="56">
        <f>Tabela4[[#This Row],[Total R$]]-Tabela4[[#This Row],[Total Pago]]</f>
        <v>0</v>
      </c>
      <c r="AT1291" s="36"/>
    </row>
    <row r="1292" spans="2:46" x14ac:dyDescent="0.25">
      <c r="B1292" s="44"/>
      <c r="D1292" s="349"/>
      <c r="E1292" s="33"/>
      <c r="F1292" s="33"/>
      <c r="G1292" s="33"/>
      <c r="H1292" s="33"/>
      <c r="I1292" s="33"/>
      <c r="J1292" s="33"/>
      <c r="K1292" s="33"/>
      <c r="L1292" s="561"/>
      <c r="M1292" s="33"/>
      <c r="N1292" s="33"/>
      <c r="O1292" s="33"/>
      <c r="P1292" s="184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44"/>
      <c r="AP1292" s="37"/>
      <c r="AQ1292" s="309"/>
      <c r="AR1292" s="57"/>
      <c r="AS1292" s="56">
        <f>Tabela4[[#This Row],[Total R$]]-Tabela4[[#This Row],[Total Pago]]</f>
        <v>0</v>
      </c>
      <c r="AT1292" s="36"/>
    </row>
    <row r="1293" spans="2:46" x14ac:dyDescent="0.25">
      <c r="B1293" s="44"/>
      <c r="D1293" s="349"/>
      <c r="E1293" s="33"/>
      <c r="F1293" s="33"/>
      <c r="G1293" s="33"/>
      <c r="H1293" s="33"/>
      <c r="I1293" s="33"/>
      <c r="J1293" s="33"/>
      <c r="K1293" s="33"/>
      <c r="L1293" s="561"/>
      <c r="M1293" s="33"/>
      <c r="N1293" s="33"/>
      <c r="O1293" s="33"/>
      <c r="P1293" s="184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44"/>
      <c r="AP1293" s="37"/>
      <c r="AQ1293" s="309"/>
      <c r="AR1293" s="57"/>
      <c r="AS1293" s="56">
        <f>Tabela4[[#This Row],[Total R$]]-Tabela4[[#This Row],[Total Pago]]</f>
        <v>0</v>
      </c>
      <c r="AT1293" s="36"/>
    </row>
    <row r="1294" spans="2:46" x14ac:dyDescent="0.25">
      <c r="B1294" s="44"/>
      <c r="D1294" s="349"/>
      <c r="E1294" s="33"/>
      <c r="F1294" s="33"/>
      <c r="G1294" s="33"/>
      <c r="H1294" s="33"/>
      <c r="I1294" s="33"/>
      <c r="J1294" s="33"/>
      <c r="K1294" s="33"/>
      <c r="L1294" s="561"/>
      <c r="M1294" s="33"/>
      <c r="N1294" s="33"/>
      <c r="O1294" s="33"/>
      <c r="P1294" s="184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44"/>
      <c r="AP1294" s="37"/>
      <c r="AQ1294" s="309"/>
      <c r="AR1294" s="57"/>
      <c r="AS1294" s="56">
        <f>Tabela4[[#This Row],[Total R$]]-Tabela4[[#This Row],[Total Pago]]</f>
        <v>0</v>
      </c>
      <c r="AT1294" s="36"/>
    </row>
    <row r="1295" spans="2:46" x14ac:dyDescent="0.25">
      <c r="B1295" s="44"/>
      <c r="D1295" s="349"/>
      <c r="E1295" s="33"/>
      <c r="F1295" s="33"/>
      <c r="G1295" s="33"/>
      <c r="H1295" s="33"/>
      <c r="I1295" s="33"/>
      <c r="J1295" s="33"/>
      <c r="K1295" s="33"/>
      <c r="L1295" s="561"/>
      <c r="M1295" s="33"/>
      <c r="N1295" s="33"/>
      <c r="O1295" s="33"/>
      <c r="P1295" s="184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44"/>
      <c r="AP1295" s="37"/>
      <c r="AQ1295" s="309"/>
      <c r="AR1295" s="57"/>
      <c r="AS1295" s="56">
        <f>Tabela4[[#This Row],[Total R$]]-Tabela4[[#This Row],[Total Pago]]</f>
        <v>0</v>
      </c>
      <c r="AT1295" s="36"/>
    </row>
    <row r="1296" spans="2:46" x14ac:dyDescent="0.25">
      <c r="B1296" s="44"/>
      <c r="D1296" s="349"/>
      <c r="E1296" s="33"/>
      <c r="F1296" s="33"/>
      <c r="G1296" s="33"/>
      <c r="H1296" s="33"/>
      <c r="I1296" s="33"/>
      <c r="J1296" s="33"/>
      <c r="K1296" s="33"/>
      <c r="L1296" s="561"/>
      <c r="M1296" s="33"/>
      <c r="N1296" s="33"/>
      <c r="O1296" s="33"/>
      <c r="P1296" s="184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44"/>
      <c r="AP1296" s="37"/>
      <c r="AQ1296" s="309"/>
      <c r="AR1296" s="57"/>
      <c r="AS1296" s="56">
        <f>Tabela4[[#This Row],[Total R$]]-Tabela4[[#This Row],[Total Pago]]</f>
        <v>0</v>
      </c>
      <c r="AT1296" s="36"/>
    </row>
    <row r="1297" spans="2:46" x14ac:dyDescent="0.25">
      <c r="B1297" s="44"/>
      <c r="D1297" s="349"/>
      <c r="E1297" s="33"/>
      <c r="F1297" s="33"/>
      <c r="G1297" s="33"/>
      <c r="H1297" s="33"/>
      <c r="I1297" s="33"/>
      <c r="J1297" s="33"/>
      <c r="K1297" s="33"/>
      <c r="L1297" s="561"/>
      <c r="M1297" s="33"/>
      <c r="N1297" s="33"/>
      <c r="O1297" s="33"/>
      <c r="P1297" s="184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44"/>
      <c r="AP1297" s="37"/>
      <c r="AQ1297" s="309"/>
      <c r="AR1297" s="57"/>
      <c r="AS1297" s="56">
        <f>Tabela4[[#This Row],[Total R$]]-Tabela4[[#This Row],[Total Pago]]</f>
        <v>0</v>
      </c>
      <c r="AT1297" s="36"/>
    </row>
    <row r="1298" spans="2:46" x14ac:dyDescent="0.25">
      <c r="B1298" s="44"/>
      <c r="D1298" s="349"/>
      <c r="E1298" s="33"/>
      <c r="F1298" s="33"/>
      <c r="G1298" s="33"/>
      <c r="H1298" s="33"/>
      <c r="I1298" s="33"/>
      <c r="J1298" s="33"/>
      <c r="K1298" s="33"/>
      <c r="L1298" s="561"/>
      <c r="M1298" s="33"/>
      <c r="N1298" s="33"/>
      <c r="O1298" s="33"/>
      <c r="P1298" s="184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44"/>
      <c r="AP1298" s="37"/>
      <c r="AQ1298" s="309"/>
      <c r="AR1298" s="57"/>
      <c r="AS1298" s="56">
        <f>Tabela4[[#This Row],[Total R$]]-Tabela4[[#This Row],[Total Pago]]</f>
        <v>0</v>
      </c>
      <c r="AT1298" s="36"/>
    </row>
    <row r="1299" spans="2:46" x14ac:dyDescent="0.25">
      <c r="B1299" s="44"/>
      <c r="D1299" s="349"/>
      <c r="E1299" s="33"/>
      <c r="F1299" s="33"/>
      <c r="G1299" s="33"/>
      <c r="H1299" s="33"/>
      <c r="I1299" s="33"/>
      <c r="J1299" s="33"/>
      <c r="K1299" s="33"/>
      <c r="L1299" s="561"/>
      <c r="M1299" s="33"/>
      <c r="N1299" s="33"/>
      <c r="O1299" s="33"/>
      <c r="P1299" s="184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44"/>
      <c r="AP1299" s="37"/>
      <c r="AQ1299" s="309"/>
      <c r="AR1299" s="57"/>
      <c r="AS1299" s="56">
        <f>Tabela4[[#This Row],[Total R$]]-Tabela4[[#This Row],[Total Pago]]</f>
        <v>0</v>
      </c>
      <c r="AT1299" s="36"/>
    </row>
    <row r="1300" spans="2:46" x14ac:dyDescent="0.25">
      <c r="B1300" s="44"/>
      <c r="D1300" s="349"/>
      <c r="E1300" s="33"/>
      <c r="F1300" s="33"/>
      <c r="G1300" s="33"/>
      <c r="H1300" s="33"/>
      <c r="I1300" s="33"/>
      <c r="J1300" s="33"/>
      <c r="K1300" s="33"/>
      <c r="L1300" s="561"/>
      <c r="M1300" s="33"/>
      <c r="N1300" s="33"/>
      <c r="O1300" s="33"/>
      <c r="P1300" s="184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44"/>
      <c r="AP1300" s="37"/>
      <c r="AQ1300" s="309"/>
      <c r="AR1300" s="57"/>
      <c r="AS1300" s="56">
        <f>Tabela4[[#This Row],[Total R$]]-Tabela4[[#This Row],[Total Pago]]</f>
        <v>0</v>
      </c>
      <c r="AT1300" s="36"/>
    </row>
    <row r="1301" spans="2:46" x14ac:dyDescent="0.25">
      <c r="B1301" s="44"/>
      <c r="D1301" s="349"/>
      <c r="E1301" s="33"/>
      <c r="F1301" s="33"/>
      <c r="G1301" s="33"/>
      <c r="H1301" s="33"/>
      <c r="I1301" s="33"/>
      <c r="J1301" s="33"/>
      <c r="K1301" s="33"/>
      <c r="L1301" s="561"/>
      <c r="M1301" s="33"/>
      <c r="N1301" s="33"/>
      <c r="O1301" s="33"/>
      <c r="P1301" s="184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44"/>
      <c r="AP1301" s="37"/>
      <c r="AQ1301" s="309"/>
      <c r="AR1301" s="57"/>
      <c r="AS1301" s="56">
        <f>Tabela4[[#This Row],[Total R$]]-Tabela4[[#This Row],[Total Pago]]</f>
        <v>0</v>
      </c>
      <c r="AT1301" s="36"/>
    </row>
    <row r="1302" spans="2:46" x14ac:dyDescent="0.25">
      <c r="B1302" s="44"/>
      <c r="D1302" s="349"/>
      <c r="E1302" s="33"/>
      <c r="F1302" s="33"/>
      <c r="G1302" s="33"/>
      <c r="H1302" s="33"/>
      <c r="I1302" s="33"/>
      <c r="J1302" s="33"/>
      <c r="K1302" s="33"/>
      <c r="L1302" s="561"/>
      <c r="M1302" s="33"/>
      <c r="N1302" s="33"/>
      <c r="O1302" s="33"/>
      <c r="P1302" s="184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44"/>
      <c r="AP1302" s="37"/>
      <c r="AQ1302" s="309"/>
      <c r="AR1302" s="57"/>
      <c r="AS1302" s="56">
        <f>Tabela4[[#This Row],[Total R$]]-Tabela4[[#This Row],[Total Pago]]</f>
        <v>0</v>
      </c>
      <c r="AT1302" s="36"/>
    </row>
    <row r="1303" spans="2:46" x14ac:dyDescent="0.25">
      <c r="B1303" s="44"/>
      <c r="D1303" s="349"/>
      <c r="E1303" s="33"/>
      <c r="F1303" s="33"/>
      <c r="G1303" s="33"/>
      <c r="H1303" s="33"/>
      <c r="I1303" s="33"/>
      <c r="J1303" s="33"/>
      <c r="K1303" s="33"/>
      <c r="L1303" s="561"/>
      <c r="M1303" s="33"/>
      <c r="N1303" s="33"/>
      <c r="O1303" s="33"/>
      <c r="P1303" s="184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44"/>
      <c r="AP1303" s="37"/>
      <c r="AQ1303" s="309"/>
      <c r="AR1303" s="57"/>
      <c r="AS1303" s="56">
        <f>Tabela4[[#This Row],[Total R$]]-Tabela4[[#This Row],[Total Pago]]</f>
        <v>0</v>
      </c>
      <c r="AT1303" s="36"/>
    </row>
    <row r="1304" spans="2:46" x14ac:dyDescent="0.25">
      <c r="B1304" s="44"/>
      <c r="D1304" s="349"/>
      <c r="E1304" s="33"/>
      <c r="F1304" s="33"/>
      <c r="G1304" s="33"/>
      <c r="H1304" s="33"/>
      <c r="I1304" s="33"/>
      <c r="J1304" s="33"/>
      <c r="K1304" s="33"/>
      <c r="L1304" s="561"/>
      <c r="M1304" s="33"/>
      <c r="N1304" s="33"/>
      <c r="O1304" s="33"/>
      <c r="P1304" s="184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44"/>
      <c r="AP1304" s="37"/>
      <c r="AQ1304" s="309"/>
      <c r="AR1304" s="57"/>
      <c r="AS1304" s="56">
        <f>Tabela4[[#This Row],[Total R$]]-Tabela4[[#This Row],[Total Pago]]</f>
        <v>0</v>
      </c>
      <c r="AT1304" s="36"/>
    </row>
    <row r="1305" spans="2:46" x14ac:dyDescent="0.25">
      <c r="B1305" s="44"/>
      <c r="D1305" s="349"/>
      <c r="E1305" s="33"/>
      <c r="F1305" s="33"/>
      <c r="G1305" s="33"/>
      <c r="H1305" s="33"/>
      <c r="I1305" s="33"/>
      <c r="J1305" s="33"/>
      <c r="K1305" s="33"/>
      <c r="L1305" s="561"/>
      <c r="M1305" s="33"/>
      <c r="N1305" s="33"/>
      <c r="O1305" s="33"/>
      <c r="P1305" s="184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44"/>
      <c r="AP1305" s="37"/>
      <c r="AQ1305" s="309"/>
      <c r="AR1305" s="57"/>
      <c r="AS1305" s="56">
        <f>Tabela4[[#This Row],[Total R$]]-Tabela4[[#This Row],[Total Pago]]</f>
        <v>0</v>
      </c>
      <c r="AT1305" s="36"/>
    </row>
    <row r="1306" spans="2:46" x14ac:dyDescent="0.25">
      <c r="B1306" s="44"/>
      <c r="D1306" s="349"/>
      <c r="E1306" s="33"/>
      <c r="F1306" s="33"/>
      <c r="G1306" s="33"/>
      <c r="H1306" s="33"/>
      <c r="I1306" s="33"/>
      <c r="J1306" s="33"/>
      <c r="K1306" s="33"/>
      <c r="L1306" s="561"/>
      <c r="M1306" s="33"/>
      <c r="N1306" s="33"/>
      <c r="O1306" s="33"/>
      <c r="P1306" s="184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44"/>
      <c r="AP1306" s="37"/>
      <c r="AQ1306" s="309"/>
      <c r="AR1306" s="57"/>
      <c r="AS1306" s="56">
        <f>Tabela4[[#This Row],[Total R$]]-Tabela4[[#This Row],[Total Pago]]</f>
        <v>0</v>
      </c>
      <c r="AT1306" s="36"/>
    </row>
    <row r="1307" spans="2:46" x14ac:dyDescent="0.25">
      <c r="B1307" s="44"/>
      <c r="D1307" s="349"/>
      <c r="E1307" s="33"/>
      <c r="F1307" s="33"/>
      <c r="G1307" s="33"/>
      <c r="H1307" s="33"/>
      <c r="I1307" s="33"/>
      <c r="J1307" s="33"/>
      <c r="K1307" s="33"/>
      <c r="L1307" s="561"/>
      <c r="M1307" s="33"/>
      <c r="N1307" s="33"/>
      <c r="O1307" s="33"/>
      <c r="P1307" s="184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44"/>
      <c r="AP1307" s="37"/>
      <c r="AQ1307" s="309"/>
      <c r="AR1307" s="57"/>
      <c r="AS1307" s="56">
        <f>Tabela4[[#This Row],[Total R$]]-Tabela4[[#This Row],[Total Pago]]</f>
        <v>0</v>
      </c>
      <c r="AT1307" s="36"/>
    </row>
    <row r="1308" spans="2:46" x14ac:dyDescent="0.25">
      <c r="B1308" s="44"/>
      <c r="D1308" s="349"/>
      <c r="E1308" s="33"/>
      <c r="F1308" s="33"/>
      <c r="G1308" s="33"/>
      <c r="H1308" s="33"/>
      <c r="I1308" s="33"/>
      <c r="J1308" s="33"/>
      <c r="K1308" s="33"/>
      <c r="L1308" s="561"/>
      <c r="M1308" s="33"/>
      <c r="N1308" s="33"/>
      <c r="O1308" s="33"/>
      <c r="P1308" s="184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44"/>
      <c r="AP1308" s="37"/>
      <c r="AQ1308" s="309"/>
      <c r="AR1308" s="57"/>
      <c r="AS1308" s="56">
        <f>Tabela4[[#This Row],[Total R$]]-Tabela4[[#This Row],[Total Pago]]</f>
        <v>0</v>
      </c>
      <c r="AT1308" s="36"/>
    </row>
    <row r="1309" spans="2:46" x14ac:dyDescent="0.25">
      <c r="B1309" s="44"/>
      <c r="D1309" s="349"/>
      <c r="E1309" s="33"/>
      <c r="F1309" s="33"/>
      <c r="G1309" s="33"/>
      <c r="H1309" s="33"/>
      <c r="I1309" s="33"/>
      <c r="J1309" s="33"/>
      <c r="K1309" s="33"/>
      <c r="L1309" s="561"/>
      <c r="M1309" s="33"/>
      <c r="N1309" s="33"/>
      <c r="O1309" s="33"/>
      <c r="P1309" s="184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44"/>
      <c r="AP1309" s="37"/>
      <c r="AQ1309" s="309"/>
      <c r="AR1309" s="57"/>
      <c r="AS1309" s="56">
        <f>Tabela4[[#This Row],[Total R$]]-Tabela4[[#This Row],[Total Pago]]</f>
        <v>0</v>
      </c>
      <c r="AT1309" s="36"/>
    </row>
    <row r="1310" spans="2:46" x14ac:dyDescent="0.25">
      <c r="B1310" s="44"/>
      <c r="D1310" s="349"/>
      <c r="E1310" s="33"/>
      <c r="F1310" s="33"/>
      <c r="G1310" s="33"/>
      <c r="H1310" s="33"/>
      <c r="I1310" s="33"/>
      <c r="J1310" s="33"/>
      <c r="K1310" s="33"/>
      <c r="L1310" s="561"/>
      <c r="M1310" s="33"/>
      <c r="N1310" s="33"/>
      <c r="O1310" s="33"/>
      <c r="P1310" s="184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44"/>
      <c r="AP1310" s="37"/>
      <c r="AQ1310" s="309"/>
      <c r="AR1310" s="57"/>
      <c r="AS1310" s="56">
        <f>Tabela4[[#This Row],[Total R$]]-Tabela4[[#This Row],[Total Pago]]</f>
        <v>0</v>
      </c>
      <c r="AT1310" s="36"/>
    </row>
    <row r="1311" spans="2:46" x14ac:dyDescent="0.25">
      <c r="B1311" s="44"/>
      <c r="D1311" s="349"/>
      <c r="E1311" s="33"/>
      <c r="F1311" s="33"/>
      <c r="G1311" s="33"/>
      <c r="H1311" s="33"/>
      <c r="I1311" s="33"/>
      <c r="J1311" s="33"/>
      <c r="K1311" s="33"/>
      <c r="L1311" s="561"/>
      <c r="M1311" s="33"/>
      <c r="N1311" s="33"/>
      <c r="O1311" s="33"/>
      <c r="P1311" s="184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44"/>
      <c r="AP1311" s="37"/>
      <c r="AQ1311" s="309"/>
      <c r="AR1311" s="57"/>
      <c r="AS1311" s="56">
        <f>Tabela4[[#This Row],[Total R$]]-Tabela4[[#This Row],[Total Pago]]</f>
        <v>0</v>
      </c>
      <c r="AT1311" s="36"/>
    </row>
    <row r="1312" spans="2:46" x14ac:dyDescent="0.25">
      <c r="B1312" s="44"/>
      <c r="D1312" s="349"/>
      <c r="E1312" s="33"/>
      <c r="F1312" s="33"/>
      <c r="G1312" s="33"/>
      <c r="H1312" s="33"/>
      <c r="I1312" s="33"/>
      <c r="J1312" s="33"/>
      <c r="K1312" s="33"/>
      <c r="L1312" s="561"/>
      <c r="M1312" s="33"/>
      <c r="N1312" s="33"/>
      <c r="O1312" s="33"/>
      <c r="P1312" s="184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44"/>
      <c r="AP1312" s="37"/>
      <c r="AQ1312" s="309"/>
      <c r="AR1312" s="57"/>
      <c r="AS1312" s="56">
        <f>Tabela4[[#This Row],[Total R$]]-Tabela4[[#This Row],[Total Pago]]</f>
        <v>0</v>
      </c>
      <c r="AT1312" s="36"/>
    </row>
    <row r="1313" spans="2:46" x14ac:dyDescent="0.25">
      <c r="B1313" s="44"/>
      <c r="D1313" s="349"/>
      <c r="E1313" s="33"/>
      <c r="F1313" s="33"/>
      <c r="G1313" s="33"/>
      <c r="H1313" s="33"/>
      <c r="I1313" s="33"/>
      <c r="J1313" s="33"/>
      <c r="K1313" s="33"/>
      <c r="L1313" s="561"/>
      <c r="M1313" s="33"/>
      <c r="N1313" s="33"/>
      <c r="O1313" s="33"/>
      <c r="P1313" s="184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44"/>
      <c r="AP1313" s="37"/>
      <c r="AQ1313" s="309"/>
      <c r="AR1313" s="57"/>
      <c r="AS1313" s="56">
        <f>Tabela4[[#This Row],[Total R$]]-Tabela4[[#This Row],[Total Pago]]</f>
        <v>0</v>
      </c>
      <c r="AT1313" s="36"/>
    </row>
    <row r="1314" spans="2:46" x14ac:dyDescent="0.25">
      <c r="B1314" s="44"/>
      <c r="D1314" s="349"/>
      <c r="E1314" s="33"/>
      <c r="F1314" s="33"/>
      <c r="G1314" s="33"/>
      <c r="H1314" s="33"/>
      <c r="I1314" s="33"/>
      <c r="J1314" s="33"/>
      <c r="K1314" s="33"/>
      <c r="L1314" s="561"/>
      <c r="M1314" s="33"/>
      <c r="N1314" s="33"/>
      <c r="O1314" s="33"/>
      <c r="P1314" s="184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44"/>
      <c r="AP1314" s="37"/>
      <c r="AQ1314" s="309"/>
      <c r="AR1314" s="57"/>
      <c r="AS1314" s="56">
        <f>Tabela4[[#This Row],[Total R$]]-Tabela4[[#This Row],[Total Pago]]</f>
        <v>0</v>
      </c>
      <c r="AT1314" s="36"/>
    </row>
    <row r="1315" spans="2:46" x14ac:dyDescent="0.25">
      <c r="B1315" s="44"/>
      <c r="D1315" s="349"/>
      <c r="E1315" s="33"/>
      <c r="F1315" s="33"/>
      <c r="G1315" s="33"/>
      <c r="H1315" s="33"/>
      <c r="I1315" s="33"/>
      <c r="J1315" s="33"/>
      <c r="K1315" s="33"/>
      <c r="L1315" s="561"/>
      <c r="M1315" s="33"/>
      <c r="N1315" s="33"/>
      <c r="O1315" s="33"/>
      <c r="P1315" s="184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44"/>
      <c r="AP1315" s="37"/>
      <c r="AQ1315" s="309"/>
      <c r="AR1315" s="57"/>
      <c r="AS1315" s="56">
        <f>Tabela4[[#This Row],[Total R$]]-Tabela4[[#This Row],[Total Pago]]</f>
        <v>0</v>
      </c>
      <c r="AT1315" s="36"/>
    </row>
    <row r="1316" spans="2:46" x14ac:dyDescent="0.25">
      <c r="B1316" s="44"/>
      <c r="D1316" s="349"/>
      <c r="E1316" s="33"/>
      <c r="F1316" s="33"/>
      <c r="G1316" s="33"/>
      <c r="H1316" s="33"/>
      <c r="I1316" s="33"/>
      <c r="J1316" s="33"/>
      <c r="K1316" s="33"/>
      <c r="L1316" s="561"/>
      <c r="M1316" s="33"/>
      <c r="N1316" s="33"/>
      <c r="O1316" s="33"/>
      <c r="P1316" s="184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44"/>
      <c r="AP1316" s="37"/>
      <c r="AQ1316" s="309"/>
      <c r="AR1316" s="57"/>
      <c r="AS1316" s="56">
        <f>Tabela4[[#This Row],[Total R$]]-Tabela4[[#This Row],[Total Pago]]</f>
        <v>0</v>
      </c>
      <c r="AT1316" s="36"/>
    </row>
    <row r="1317" spans="2:46" x14ac:dyDescent="0.25">
      <c r="B1317" s="44"/>
      <c r="D1317" s="349"/>
      <c r="E1317" s="33"/>
      <c r="F1317" s="33"/>
      <c r="G1317" s="33"/>
      <c r="H1317" s="33"/>
      <c r="I1317" s="33"/>
      <c r="J1317" s="33"/>
      <c r="K1317" s="33"/>
      <c r="L1317" s="561"/>
      <c r="M1317" s="33"/>
      <c r="N1317" s="33"/>
      <c r="O1317" s="33"/>
      <c r="P1317" s="184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44"/>
      <c r="AP1317" s="37"/>
      <c r="AQ1317" s="309"/>
      <c r="AR1317" s="57"/>
      <c r="AS1317" s="56">
        <f>Tabela4[[#This Row],[Total R$]]-Tabela4[[#This Row],[Total Pago]]</f>
        <v>0</v>
      </c>
      <c r="AT1317" s="36"/>
    </row>
    <row r="1318" spans="2:46" x14ac:dyDescent="0.25">
      <c r="B1318" s="44"/>
      <c r="D1318" s="349"/>
      <c r="E1318" s="33"/>
      <c r="F1318" s="33"/>
      <c r="G1318" s="33"/>
      <c r="H1318" s="33"/>
      <c r="I1318" s="33"/>
      <c r="J1318" s="33"/>
      <c r="K1318" s="33"/>
      <c r="L1318" s="561"/>
      <c r="M1318" s="33"/>
      <c r="N1318" s="33"/>
      <c r="O1318" s="33"/>
      <c r="P1318" s="184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44"/>
      <c r="AP1318" s="37"/>
      <c r="AQ1318" s="309"/>
      <c r="AR1318" s="57"/>
      <c r="AS1318" s="56">
        <f>Tabela4[[#This Row],[Total R$]]-Tabela4[[#This Row],[Total Pago]]</f>
        <v>0</v>
      </c>
      <c r="AT1318" s="36"/>
    </row>
    <row r="1319" spans="2:46" x14ac:dyDescent="0.25">
      <c r="B1319" s="44"/>
      <c r="D1319" s="349"/>
      <c r="E1319" s="33"/>
      <c r="F1319" s="33"/>
      <c r="G1319" s="33"/>
      <c r="H1319" s="33"/>
      <c r="I1319" s="33"/>
      <c r="J1319" s="33"/>
      <c r="K1319" s="33"/>
      <c r="L1319" s="561"/>
      <c r="M1319" s="33"/>
      <c r="N1319" s="33"/>
      <c r="O1319" s="33"/>
      <c r="P1319" s="184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44"/>
      <c r="AP1319" s="37"/>
      <c r="AQ1319" s="309"/>
      <c r="AR1319" s="57"/>
      <c r="AS1319" s="56">
        <f>Tabela4[[#This Row],[Total R$]]-Tabela4[[#This Row],[Total Pago]]</f>
        <v>0</v>
      </c>
      <c r="AT1319" s="36"/>
    </row>
    <row r="1320" spans="2:46" x14ac:dyDescent="0.25">
      <c r="B1320" s="44"/>
      <c r="D1320" s="349"/>
      <c r="E1320" s="33"/>
      <c r="F1320" s="33"/>
      <c r="G1320" s="33"/>
      <c r="H1320" s="33"/>
      <c r="I1320" s="33"/>
      <c r="J1320" s="33"/>
      <c r="K1320" s="33"/>
      <c r="L1320" s="561"/>
      <c r="M1320" s="33"/>
      <c r="N1320" s="33"/>
      <c r="O1320" s="33"/>
      <c r="P1320" s="184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44"/>
      <c r="AP1320" s="37"/>
      <c r="AQ1320" s="309"/>
      <c r="AR1320" s="57"/>
      <c r="AS1320" s="56">
        <f>Tabela4[[#This Row],[Total R$]]-Tabela4[[#This Row],[Total Pago]]</f>
        <v>0</v>
      </c>
      <c r="AT1320" s="36"/>
    </row>
    <row r="1321" spans="2:46" x14ac:dyDescent="0.25">
      <c r="B1321" s="44"/>
      <c r="D1321" s="349"/>
      <c r="E1321" s="33"/>
      <c r="F1321" s="33"/>
      <c r="G1321" s="33"/>
      <c r="H1321" s="33"/>
      <c r="I1321" s="33"/>
      <c r="J1321" s="33"/>
      <c r="K1321" s="33"/>
      <c r="L1321" s="561"/>
      <c r="M1321" s="33"/>
      <c r="N1321" s="33"/>
      <c r="O1321" s="33"/>
      <c r="P1321" s="184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44"/>
      <c r="AP1321" s="37"/>
      <c r="AQ1321" s="309"/>
      <c r="AR1321" s="57"/>
      <c r="AS1321" s="56">
        <f>Tabela4[[#This Row],[Total R$]]-Tabela4[[#This Row],[Total Pago]]</f>
        <v>0</v>
      </c>
      <c r="AT1321" s="36"/>
    </row>
    <row r="1322" spans="2:46" x14ac:dyDescent="0.25">
      <c r="B1322" s="44"/>
      <c r="D1322" s="349"/>
      <c r="E1322" s="33"/>
      <c r="F1322" s="33"/>
      <c r="G1322" s="33"/>
      <c r="H1322" s="33"/>
      <c r="I1322" s="33"/>
      <c r="J1322" s="33"/>
      <c r="K1322" s="33"/>
      <c r="L1322" s="561"/>
      <c r="M1322" s="33"/>
      <c r="N1322" s="33"/>
      <c r="O1322" s="33"/>
      <c r="P1322" s="184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44"/>
      <c r="AP1322" s="37"/>
      <c r="AQ1322" s="309"/>
      <c r="AR1322" s="57"/>
      <c r="AS1322" s="56">
        <f>Tabela4[[#This Row],[Total R$]]-Tabela4[[#This Row],[Total Pago]]</f>
        <v>0</v>
      </c>
      <c r="AT1322" s="36"/>
    </row>
    <row r="1323" spans="2:46" x14ac:dyDescent="0.25">
      <c r="B1323" s="44"/>
      <c r="D1323" s="349"/>
      <c r="E1323" s="33"/>
      <c r="F1323" s="33"/>
      <c r="G1323" s="33"/>
      <c r="H1323" s="33"/>
      <c r="I1323" s="33"/>
      <c r="J1323" s="33"/>
      <c r="K1323" s="33"/>
      <c r="L1323" s="561"/>
      <c r="M1323" s="33"/>
      <c r="N1323" s="33"/>
      <c r="O1323" s="33"/>
      <c r="P1323" s="184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44"/>
      <c r="AP1323" s="37"/>
      <c r="AQ1323" s="309"/>
      <c r="AR1323" s="57"/>
      <c r="AS1323" s="56">
        <f>Tabela4[[#This Row],[Total R$]]-Tabela4[[#This Row],[Total Pago]]</f>
        <v>0</v>
      </c>
      <c r="AT1323" s="36"/>
    </row>
    <row r="1324" spans="2:46" x14ac:dyDescent="0.25">
      <c r="B1324" s="44"/>
      <c r="D1324" s="349"/>
      <c r="E1324" s="33"/>
      <c r="F1324" s="33"/>
      <c r="G1324" s="33"/>
      <c r="H1324" s="33"/>
      <c r="I1324" s="33"/>
      <c r="J1324" s="33"/>
      <c r="K1324" s="33"/>
      <c r="L1324" s="561"/>
      <c r="M1324" s="33"/>
      <c r="N1324" s="33"/>
      <c r="O1324" s="33"/>
      <c r="P1324" s="184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44"/>
      <c r="AP1324" s="37"/>
      <c r="AQ1324" s="309"/>
      <c r="AR1324" s="57"/>
      <c r="AS1324" s="56">
        <f>Tabela4[[#This Row],[Total R$]]-Tabela4[[#This Row],[Total Pago]]</f>
        <v>0</v>
      </c>
      <c r="AT1324" s="36"/>
    </row>
    <row r="1325" spans="2:46" x14ac:dyDescent="0.25">
      <c r="B1325" s="44"/>
      <c r="D1325" s="349"/>
      <c r="E1325" s="33"/>
      <c r="F1325" s="33"/>
      <c r="G1325" s="33"/>
      <c r="H1325" s="33"/>
      <c r="I1325" s="33"/>
      <c r="J1325" s="33"/>
      <c r="K1325" s="33"/>
      <c r="L1325" s="561"/>
      <c r="M1325" s="33"/>
      <c r="N1325" s="33"/>
      <c r="O1325" s="33"/>
      <c r="P1325" s="184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44"/>
      <c r="AP1325" s="37"/>
      <c r="AQ1325" s="309"/>
      <c r="AR1325" s="57"/>
      <c r="AS1325" s="56">
        <f>Tabela4[[#This Row],[Total R$]]-Tabela4[[#This Row],[Total Pago]]</f>
        <v>0</v>
      </c>
      <c r="AT1325" s="36"/>
    </row>
    <row r="1326" spans="2:46" x14ac:dyDescent="0.25">
      <c r="B1326" s="44"/>
      <c r="D1326" s="349"/>
      <c r="E1326" s="33"/>
      <c r="F1326" s="33"/>
      <c r="G1326" s="33"/>
      <c r="H1326" s="33"/>
      <c r="I1326" s="33"/>
      <c r="J1326" s="33"/>
      <c r="K1326" s="33"/>
      <c r="L1326" s="561"/>
      <c r="M1326" s="33"/>
      <c r="N1326" s="33"/>
      <c r="O1326" s="33"/>
      <c r="P1326" s="184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44"/>
      <c r="AP1326" s="37"/>
      <c r="AQ1326" s="309"/>
      <c r="AR1326" s="57"/>
      <c r="AS1326" s="56">
        <f>Tabela4[[#This Row],[Total R$]]-Tabela4[[#This Row],[Total Pago]]</f>
        <v>0</v>
      </c>
      <c r="AT1326" s="36"/>
    </row>
    <row r="1327" spans="2:46" x14ac:dyDescent="0.25">
      <c r="B1327" s="44"/>
      <c r="D1327" s="349"/>
      <c r="E1327" s="33"/>
      <c r="F1327" s="33"/>
      <c r="G1327" s="33"/>
      <c r="H1327" s="33"/>
      <c r="I1327" s="33"/>
      <c r="J1327" s="33"/>
      <c r="K1327" s="33"/>
      <c r="L1327" s="561"/>
      <c r="M1327" s="33"/>
      <c r="N1327" s="33"/>
      <c r="O1327" s="33"/>
      <c r="P1327" s="184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44"/>
      <c r="AP1327" s="37"/>
      <c r="AQ1327" s="309"/>
      <c r="AR1327" s="57"/>
      <c r="AS1327" s="56">
        <f>Tabela4[[#This Row],[Total R$]]-Tabela4[[#This Row],[Total Pago]]</f>
        <v>0</v>
      </c>
      <c r="AT1327" s="36"/>
    </row>
    <row r="1328" spans="2:46" x14ac:dyDescent="0.25">
      <c r="B1328" s="44"/>
      <c r="D1328" s="349"/>
      <c r="E1328" s="33"/>
      <c r="F1328" s="33"/>
      <c r="G1328" s="33"/>
      <c r="H1328" s="33"/>
      <c r="I1328" s="33"/>
      <c r="J1328" s="33"/>
      <c r="K1328" s="33"/>
      <c r="L1328" s="561"/>
      <c r="M1328" s="33"/>
      <c r="N1328" s="33"/>
      <c r="O1328" s="33"/>
      <c r="P1328" s="184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44"/>
      <c r="AP1328" s="37"/>
      <c r="AQ1328" s="309"/>
      <c r="AR1328" s="57"/>
      <c r="AS1328" s="56">
        <f>Tabela4[[#This Row],[Total R$]]-Tabela4[[#This Row],[Total Pago]]</f>
        <v>0</v>
      </c>
      <c r="AT1328" s="36"/>
    </row>
    <row r="1329" spans="2:46" x14ac:dyDescent="0.25">
      <c r="B1329" s="44"/>
      <c r="D1329" s="349"/>
      <c r="E1329" s="33"/>
      <c r="F1329" s="33"/>
      <c r="G1329" s="33"/>
      <c r="H1329" s="33"/>
      <c r="I1329" s="33"/>
      <c r="J1329" s="33"/>
      <c r="K1329" s="33"/>
      <c r="L1329" s="561"/>
      <c r="M1329" s="33"/>
      <c r="N1329" s="33"/>
      <c r="O1329" s="33"/>
      <c r="P1329" s="184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44"/>
      <c r="AP1329" s="37"/>
      <c r="AQ1329" s="309"/>
      <c r="AR1329" s="57"/>
      <c r="AS1329" s="56">
        <f>Tabela4[[#This Row],[Total R$]]-Tabela4[[#This Row],[Total Pago]]</f>
        <v>0</v>
      </c>
      <c r="AT1329" s="36"/>
    </row>
    <row r="1330" spans="2:46" x14ac:dyDescent="0.25">
      <c r="B1330" s="44"/>
      <c r="D1330" s="349"/>
      <c r="E1330" s="33"/>
      <c r="F1330" s="33"/>
      <c r="G1330" s="33"/>
      <c r="H1330" s="33"/>
      <c r="I1330" s="33"/>
      <c r="J1330" s="33"/>
      <c r="K1330" s="33"/>
      <c r="L1330" s="561"/>
      <c r="M1330" s="33"/>
      <c r="N1330" s="33"/>
      <c r="O1330" s="33"/>
      <c r="P1330" s="184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44"/>
      <c r="AP1330" s="37"/>
      <c r="AQ1330" s="309"/>
      <c r="AR1330" s="57"/>
      <c r="AS1330" s="56">
        <f>Tabela4[[#This Row],[Total R$]]-Tabela4[[#This Row],[Total Pago]]</f>
        <v>0</v>
      </c>
      <c r="AT1330" s="36"/>
    </row>
    <row r="1331" spans="2:46" x14ac:dyDescent="0.25">
      <c r="B1331" s="44"/>
      <c r="D1331" s="349"/>
      <c r="E1331" s="33"/>
      <c r="F1331" s="33"/>
      <c r="G1331" s="33"/>
      <c r="H1331" s="33"/>
      <c r="I1331" s="33"/>
      <c r="J1331" s="33"/>
      <c r="K1331" s="33"/>
      <c r="L1331" s="561"/>
      <c r="M1331" s="33"/>
      <c r="N1331" s="33"/>
      <c r="O1331" s="33"/>
      <c r="P1331" s="184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44"/>
      <c r="AP1331" s="37"/>
      <c r="AQ1331" s="309"/>
      <c r="AR1331" s="57"/>
      <c r="AS1331" s="56">
        <f>Tabela4[[#This Row],[Total R$]]-Tabela4[[#This Row],[Total Pago]]</f>
        <v>0</v>
      </c>
      <c r="AT1331" s="36"/>
    </row>
    <row r="1332" spans="2:46" x14ac:dyDescent="0.25">
      <c r="B1332" s="44"/>
      <c r="D1332" s="349"/>
      <c r="E1332" s="33"/>
      <c r="F1332" s="33"/>
      <c r="G1332" s="33"/>
      <c r="H1332" s="33"/>
      <c r="I1332" s="33"/>
      <c r="J1332" s="33"/>
      <c r="K1332" s="33"/>
      <c r="L1332" s="561"/>
      <c r="M1332" s="33"/>
      <c r="N1332" s="33"/>
      <c r="O1332" s="33"/>
      <c r="P1332" s="184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44"/>
      <c r="AP1332" s="37"/>
      <c r="AQ1332" s="309"/>
      <c r="AR1332" s="57"/>
      <c r="AS1332" s="56">
        <f>Tabela4[[#This Row],[Total R$]]-Tabela4[[#This Row],[Total Pago]]</f>
        <v>0</v>
      </c>
      <c r="AT1332" s="36"/>
    </row>
    <row r="1333" spans="2:46" x14ac:dyDescent="0.25">
      <c r="B1333" s="44"/>
      <c r="D1333" s="349"/>
      <c r="E1333" s="33"/>
      <c r="F1333" s="33"/>
      <c r="G1333" s="33"/>
      <c r="H1333" s="33"/>
      <c r="I1333" s="33"/>
      <c r="J1333" s="33"/>
      <c r="K1333" s="33"/>
      <c r="L1333" s="561"/>
      <c r="M1333" s="33"/>
      <c r="N1333" s="33"/>
      <c r="O1333" s="33"/>
      <c r="P1333" s="184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44"/>
      <c r="AP1333" s="37"/>
      <c r="AQ1333" s="309"/>
      <c r="AR1333" s="57"/>
      <c r="AS1333" s="56">
        <f>Tabela4[[#This Row],[Total R$]]-Tabela4[[#This Row],[Total Pago]]</f>
        <v>0</v>
      </c>
      <c r="AT1333" s="36"/>
    </row>
    <row r="1334" spans="2:46" x14ac:dyDescent="0.25">
      <c r="B1334" s="44"/>
      <c r="D1334" s="349"/>
      <c r="E1334" s="33"/>
      <c r="F1334" s="33"/>
      <c r="G1334" s="33"/>
      <c r="H1334" s="33"/>
      <c r="I1334" s="33"/>
      <c r="J1334" s="33"/>
      <c r="K1334" s="33"/>
      <c r="L1334" s="561"/>
      <c r="M1334" s="33"/>
      <c r="N1334" s="33"/>
      <c r="O1334" s="33"/>
      <c r="P1334" s="184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44"/>
      <c r="AP1334" s="37"/>
      <c r="AQ1334" s="309"/>
      <c r="AR1334" s="57"/>
      <c r="AS1334" s="56">
        <f>Tabela4[[#This Row],[Total R$]]-Tabela4[[#This Row],[Total Pago]]</f>
        <v>0</v>
      </c>
      <c r="AT1334" s="36"/>
    </row>
    <row r="1335" spans="2:46" x14ac:dyDescent="0.25">
      <c r="B1335" s="44"/>
      <c r="D1335" s="349"/>
      <c r="E1335" s="33"/>
      <c r="F1335" s="33"/>
      <c r="G1335" s="33"/>
      <c r="H1335" s="33"/>
      <c r="I1335" s="33"/>
      <c r="J1335" s="33"/>
      <c r="K1335" s="33"/>
      <c r="L1335" s="561"/>
      <c r="M1335" s="33"/>
      <c r="N1335" s="33"/>
      <c r="O1335" s="33"/>
      <c r="P1335" s="184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44"/>
      <c r="AP1335" s="37"/>
      <c r="AQ1335" s="309"/>
      <c r="AR1335" s="57"/>
      <c r="AS1335" s="56">
        <f>Tabela4[[#This Row],[Total R$]]-Tabela4[[#This Row],[Total Pago]]</f>
        <v>0</v>
      </c>
      <c r="AT1335" s="36"/>
    </row>
    <row r="1336" spans="2:46" x14ac:dyDescent="0.25">
      <c r="B1336" s="44"/>
      <c r="D1336" s="349"/>
      <c r="E1336" s="33"/>
      <c r="F1336" s="33"/>
      <c r="G1336" s="33"/>
      <c r="H1336" s="33"/>
      <c r="I1336" s="33"/>
      <c r="J1336" s="33"/>
      <c r="K1336" s="33"/>
      <c r="L1336" s="561"/>
      <c r="M1336" s="33"/>
      <c r="N1336" s="33"/>
      <c r="O1336" s="33"/>
      <c r="P1336" s="184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44"/>
      <c r="AP1336" s="37"/>
      <c r="AQ1336" s="309"/>
      <c r="AR1336" s="57"/>
      <c r="AS1336" s="56">
        <f>Tabela4[[#This Row],[Total R$]]-Tabela4[[#This Row],[Total Pago]]</f>
        <v>0</v>
      </c>
      <c r="AT1336" s="36"/>
    </row>
    <row r="1337" spans="2:46" x14ac:dyDescent="0.25">
      <c r="B1337" s="44"/>
      <c r="D1337" s="349"/>
      <c r="E1337" s="33"/>
      <c r="F1337" s="33"/>
      <c r="G1337" s="33"/>
      <c r="H1337" s="33"/>
      <c r="I1337" s="33"/>
      <c r="J1337" s="33"/>
      <c r="K1337" s="33"/>
      <c r="L1337" s="561"/>
      <c r="M1337" s="33"/>
      <c r="N1337" s="33"/>
      <c r="O1337" s="33"/>
      <c r="P1337" s="184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44"/>
      <c r="AP1337" s="37"/>
      <c r="AQ1337" s="309"/>
      <c r="AR1337" s="57"/>
      <c r="AS1337" s="56">
        <f>Tabela4[[#This Row],[Total R$]]-Tabela4[[#This Row],[Total Pago]]</f>
        <v>0</v>
      </c>
      <c r="AT1337" s="36"/>
    </row>
    <row r="1338" spans="2:46" x14ac:dyDescent="0.25">
      <c r="B1338" s="44"/>
      <c r="D1338" s="349"/>
      <c r="E1338" s="33"/>
      <c r="F1338" s="33"/>
      <c r="G1338" s="33"/>
      <c r="H1338" s="33"/>
      <c r="I1338" s="33"/>
      <c r="J1338" s="33"/>
      <c r="K1338" s="33"/>
      <c r="L1338" s="561"/>
      <c r="M1338" s="33"/>
      <c r="N1338" s="33"/>
      <c r="O1338" s="33"/>
      <c r="P1338" s="184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44"/>
      <c r="AP1338" s="37"/>
      <c r="AQ1338" s="309"/>
      <c r="AR1338" s="57"/>
      <c r="AS1338" s="56">
        <f>Tabela4[[#This Row],[Total R$]]-Tabela4[[#This Row],[Total Pago]]</f>
        <v>0</v>
      </c>
      <c r="AT1338" s="36"/>
    </row>
    <row r="1339" spans="2:46" x14ac:dyDescent="0.25">
      <c r="B1339" s="44"/>
      <c r="D1339" s="349"/>
      <c r="E1339" s="33"/>
      <c r="F1339" s="33"/>
      <c r="G1339" s="33"/>
      <c r="H1339" s="33"/>
      <c r="I1339" s="33"/>
      <c r="J1339" s="33"/>
      <c r="K1339" s="33"/>
      <c r="L1339" s="561"/>
      <c r="M1339" s="33"/>
      <c r="N1339" s="33"/>
      <c r="O1339" s="33"/>
      <c r="P1339" s="184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44"/>
      <c r="AP1339" s="37"/>
      <c r="AQ1339" s="309"/>
      <c r="AR1339" s="57"/>
      <c r="AS1339" s="56">
        <f>Tabela4[[#This Row],[Total R$]]-Tabela4[[#This Row],[Total Pago]]</f>
        <v>0</v>
      </c>
      <c r="AT1339" s="36"/>
    </row>
    <row r="1340" spans="2:46" x14ac:dyDescent="0.25">
      <c r="B1340" s="44"/>
      <c r="D1340" s="349"/>
      <c r="E1340" s="33"/>
      <c r="F1340" s="33"/>
      <c r="G1340" s="33"/>
      <c r="H1340" s="33"/>
      <c r="I1340" s="33"/>
      <c r="J1340" s="33"/>
      <c r="K1340" s="33"/>
      <c r="L1340" s="561"/>
      <c r="M1340" s="33"/>
      <c r="N1340" s="33"/>
      <c r="O1340" s="33"/>
      <c r="P1340" s="184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44"/>
      <c r="AP1340" s="37"/>
      <c r="AQ1340" s="309"/>
      <c r="AR1340" s="57"/>
      <c r="AS1340" s="56">
        <f>Tabela4[[#This Row],[Total R$]]-Tabela4[[#This Row],[Total Pago]]</f>
        <v>0</v>
      </c>
      <c r="AT1340" s="36"/>
    </row>
    <row r="1341" spans="2:46" x14ac:dyDescent="0.25">
      <c r="B1341" s="44"/>
      <c r="D1341" s="349"/>
      <c r="E1341" s="33"/>
      <c r="F1341" s="33"/>
      <c r="G1341" s="33"/>
      <c r="H1341" s="33"/>
      <c r="I1341" s="33"/>
      <c r="J1341" s="33"/>
      <c r="K1341" s="33"/>
      <c r="L1341" s="561"/>
      <c r="M1341" s="33"/>
      <c r="N1341" s="33"/>
      <c r="O1341" s="33"/>
      <c r="P1341" s="184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44"/>
      <c r="AP1341" s="37"/>
      <c r="AQ1341" s="309"/>
      <c r="AR1341" s="57"/>
      <c r="AS1341" s="56">
        <f>Tabela4[[#This Row],[Total R$]]-Tabela4[[#This Row],[Total Pago]]</f>
        <v>0</v>
      </c>
      <c r="AT1341" s="36"/>
    </row>
    <row r="1342" spans="2:46" x14ac:dyDescent="0.25">
      <c r="B1342" s="44"/>
      <c r="D1342" s="349"/>
      <c r="E1342" s="33"/>
      <c r="F1342" s="33"/>
      <c r="G1342" s="33"/>
      <c r="H1342" s="33"/>
      <c r="I1342" s="33"/>
      <c r="J1342" s="33"/>
      <c r="K1342" s="33"/>
      <c r="L1342" s="561"/>
      <c r="M1342" s="33"/>
      <c r="N1342" s="33"/>
      <c r="O1342" s="33"/>
      <c r="P1342" s="184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44"/>
      <c r="AP1342" s="37"/>
      <c r="AQ1342" s="309"/>
      <c r="AR1342" s="57"/>
      <c r="AS1342" s="56">
        <f>Tabela4[[#This Row],[Total R$]]-Tabela4[[#This Row],[Total Pago]]</f>
        <v>0</v>
      </c>
      <c r="AT1342" s="36"/>
    </row>
    <row r="1343" spans="2:46" x14ac:dyDescent="0.25">
      <c r="B1343" s="44"/>
      <c r="D1343" s="349"/>
      <c r="E1343" s="33"/>
      <c r="F1343" s="33"/>
      <c r="G1343" s="33"/>
      <c r="H1343" s="33"/>
      <c r="I1343" s="33"/>
      <c r="J1343" s="33"/>
      <c r="K1343" s="33"/>
      <c r="L1343" s="561"/>
      <c r="M1343" s="33"/>
      <c r="N1343" s="33"/>
      <c r="O1343" s="33"/>
      <c r="P1343" s="184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44"/>
      <c r="AP1343" s="37"/>
      <c r="AQ1343" s="309"/>
      <c r="AR1343" s="57"/>
      <c r="AS1343" s="56">
        <f>Tabela4[[#This Row],[Total R$]]-Tabela4[[#This Row],[Total Pago]]</f>
        <v>0</v>
      </c>
      <c r="AT1343" s="36"/>
    </row>
    <row r="1344" spans="2:46" x14ac:dyDescent="0.25">
      <c r="B1344" s="44"/>
      <c r="D1344" s="349"/>
      <c r="E1344" s="33"/>
      <c r="F1344" s="33"/>
      <c r="G1344" s="33"/>
      <c r="H1344" s="33"/>
      <c r="I1344" s="33"/>
      <c r="J1344" s="33"/>
      <c r="K1344" s="33"/>
      <c r="L1344" s="561"/>
      <c r="M1344" s="33"/>
      <c r="N1344" s="33"/>
      <c r="O1344" s="33"/>
      <c r="P1344" s="184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44"/>
      <c r="AP1344" s="37"/>
      <c r="AQ1344" s="309"/>
      <c r="AR1344" s="57"/>
      <c r="AS1344" s="56">
        <f>Tabela4[[#This Row],[Total R$]]-Tabela4[[#This Row],[Total Pago]]</f>
        <v>0</v>
      </c>
      <c r="AT1344" s="36"/>
    </row>
    <row r="1345" spans="2:46" x14ac:dyDescent="0.25">
      <c r="B1345" s="44"/>
      <c r="D1345" s="349"/>
      <c r="E1345" s="33"/>
      <c r="F1345" s="33"/>
      <c r="G1345" s="33"/>
      <c r="H1345" s="33"/>
      <c r="I1345" s="33"/>
      <c r="J1345" s="33"/>
      <c r="K1345" s="33"/>
      <c r="L1345" s="561"/>
      <c r="M1345" s="33"/>
      <c r="N1345" s="33"/>
      <c r="O1345" s="33"/>
      <c r="P1345" s="184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44"/>
      <c r="AP1345" s="37"/>
      <c r="AQ1345" s="309"/>
      <c r="AR1345" s="57"/>
      <c r="AS1345" s="56">
        <f>Tabela4[[#This Row],[Total R$]]-Tabela4[[#This Row],[Total Pago]]</f>
        <v>0</v>
      </c>
      <c r="AT1345" s="36"/>
    </row>
    <row r="1346" spans="2:46" x14ac:dyDescent="0.25">
      <c r="B1346" s="44"/>
      <c r="D1346" s="349"/>
      <c r="E1346" s="33"/>
      <c r="F1346" s="33"/>
      <c r="G1346" s="33"/>
      <c r="H1346" s="33"/>
      <c r="I1346" s="33"/>
      <c r="J1346" s="33"/>
      <c r="K1346" s="33"/>
      <c r="L1346" s="561"/>
      <c r="M1346" s="33"/>
      <c r="N1346" s="33"/>
      <c r="O1346" s="33"/>
      <c r="P1346" s="184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44"/>
      <c r="AP1346" s="37"/>
      <c r="AQ1346" s="309"/>
      <c r="AR1346" s="57"/>
      <c r="AS1346" s="56">
        <f>Tabela4[[#This Row],[Total R$]]-Tabela4[[#This Row],[Total Pago]]</f>
        <v>0</v>
      </c>
      <c r="AT1346" s="36"/>
    </row>
    <row r="1347" spans="2:46" x14ac:dyDescent="0.25">
      <c r="B1347" s="44"/>
      <c r="D1347" s="349"/>
      <c r="E1347" s="33"/>
      <c r="F1347" s="33"/>
      <c r="G1347" s="33"/>
      <c r="H1347" s="33"/>
      <c r="I1347" s="33"/>
      <c r="J1347" s="33"/>
      <c r="K1347" s="33"/>
      <c r="L1347" s="561"/>
      <c r="M1347" s="33"/>
      <c r="N1347" s="33"/>
      <c r="O1347" s="33"/>
      <c r="P1347" s="184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44"/>
      <c r="AP1347" s="37"/>
      <c r="AQ1347" s="309"/>
      <c r="AR1347" s="57"/>
      <c r="AS1347" s="56">
        <f>Tabela4[[#This Row],[Total R$]]-Tabela4[[#This Row],[Total Pago]]</f>
        <v>0</v>
      </c>
      <c r="AT1347" s="36"/>
    </row>
    <row r="1348" spans="2:46" x14ac:dyDescent="0.25">
      <c r="B1348" s="44"/>
      <c r="D1348" s="349"/>
      <c r="E1348" s="33"/>
      <c r="F1348" s="33"/>
      <c r="G1348" s="33"/>
      <c r="H1348" s="33"/>
      <c r="I1348" s="33"/>
      <c r="J1348" s="33"/>
      <c r="K1348" s="33"/>
      <c r="L1348" s="561"/>
      <c r="M1348" s="33"/>
      <c r="N1348" s="33"/>
      <c r="O1348" s="33"/>
      <c r="P1348" s="184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44"/>
      <c r="AP1348" s="37"/>
      <c r="AQ1348" s="309"/>
      <c r="AR1348" s="57"/>
      <c r="AS1348" s="56">
        <f>Tabela4[[#This Row],[Total R$]]-Tabela4[[#This Row],[Total Pago]]</f>
        <v>0</v>
      </c>
      <c r="AT1348" s="36"/>
    </row>
    <row r="1349" spans="2:46" x14ac:dyDescent="0.25">
      <c r="B1349" s="44"/>
      <c r="D1349" s="349"/>
      <c r="E1349" s="33"/>
      <c r="F1349" s="33"/>
      <c r="G1349" s="33"/>
      <c r="H1349" s="33"/>
      <c r="I1349" s="33"/>
      <c r="J1349" s="33"/>
      <c r="K1349" s="33"/>
      <c r="L1349" s="561"/>
      <c r="M1349" s="33"/>
      <c r="N1349" s="33"/>
      <c r="O1349" s="33"/>
      <c r="P1349" s="184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44"/>
      <c r="AP1349" s="37"/>
      <c r="AQ1349" s="309"/>
      <c r="AR1349" s="57"/>
      <c r="AS1349" s="56">
        <f>Tabela4[[#This Row],[Total R$]]-Tabela4[[#This Row],[Total Pago]]</f>
        <v>0</v>
      </c>
      <c r="AT1349" s="36"/>
    </row>
    <row r="1350" spans="2:46" x14ac:dyDescent="0.25">
      <c r="B1350" s="44"/>
      <c r="D1350" s="349"/>
      <c r="E1350" s="33"/>
      <c r="F1350" s="33"/>
      <c r="G1350" s="33"/>
      <c r="H1350" s="33"/>
      <c r="I1350" s="33"/>
      <c r="J1350" s="33"/>
      <c r="K1350" s="33"/>
      <c r="L1350" s="561"/>
      <c r="M1350" s="33"/>
      <c r="N1350" s="33"/>
      <c r="O1350" s="33"/>
      <c r="P1350" s="184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44"/>
      <c r="AP1350" s="37"/>
      <c r="AQ1350" s="309"/>
      <c r="AR1350" s="57"/>
      <c r="AS1350" s="56">
        <f>Tabela4[[#This Row],[Total R$]]-Tabela4[[#This Row],[Total Pago]]</f>
        <v>0</v>
      </c>
      <c r="AT1350" s="36"/>
    </row>
    <row r="1351" spans="2:46" x14ac:dyDescent="0.25">
      <c r="B1351" s="44"/>
      <c r="D1351" s="349"/>
      <c r="E1351" s="33"/>
      <c r="F1351" s="33"/>
      <c r="G1351" s="33"/>
      <c r="H1351" s="33"/>
      <c r="I1351" s="33"/>
      <c r="J1351" s="33"/>
      <c r="K1351" s="33"/>
      <c r="L1351" s="561"/>
      <c r="M1351" s="33"/>
      <c r="N1351" s="33"/>
      <c r="O1351" s="33"/>
      <c r="P1351" s="184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44"/>
      <c r="AP1351" s="37"/>
      <c r="AQ1351" s="309"/>
      <c r="AR1351" s="57"/>
      <c r="AS1351" s="56">
        <f>Tabela4[[#This Row],[Total R$]]-Tabela4[[#This Row],[Total Pago]]</f>
        <v>0</v>
      </c>
      <c r="AT1351" s="36"/>
    </row>
    <row r="1352" spans="2:46" x14ac:dyDescent="0.25">
      <c r="B1352" s="44"/>
      <c r="D1352" s="349"/>
      <c r="E1352" s="33"/>
      <c r="F1352" s="33"/>
      <c r="G1352" s="33"/>
      <c r="H1352" s="33"/>
      <c r="I1352" s="33"/>
      <c r="J1352" s="33"/>
      <c r="K1352" s="33"/>
      <c r="L1352" s="561"/>
      <c r="M1352" s="33"/>
      <c r="N1352" s="33"/>
      <c r="O1352" s="33"/>
      <c r="P1352" s="184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44"/>
      <c r="AP1352" s="37"/>
      <c r="AQ1352" s="309"/>
      <c r="AR1352" s="57"/>
      <c r="AS1352" s="56">
        <f>Tabela4[[#This Row],[Total R$]]-Tabela4[[#This Row],[Total Pago]]</f>
        <v>0</v>
      </c>
      <c r="AT1352" s="36"/>
    </row>
    <row r="1353" spans="2:46" x14ac:dyDescent="0.25">
      <c r="B1353" s="44"/>
      <c r="D1353" s="349"/>
      <c r="E1353" s="33"/>
      <c r="F1353" s="33"/>
      <c r="G1353" s="33"/>
      <c r="H1353" s="33"/>
      <c r="I1353" s="33"/>
      <c r="J1353" s="33"/>
      <c r="K1353" s="33"/>
      <c r="L1353" s="561"/>
      <c r="M1353" s="33"/>
      <c r="N1353" s="33"/>
      <c r="O1353" s="33"/>
      <c r="P1353" s="184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44"/>
      <c r="AP1353" s="37"/>
      <c r="AQ1353" s="309"/>
      <c r="AR1353" s="57"/>
      <c r="AS1353" s="56">
        <f>Tabela4[[#This Row],[Total R$]]-Tabela4[[#This Row],[Total Pago]]</f>
        <v>0</v>
      </c>
      <c r="AT1353" s="36"/>
    </row>
    <row r="1354" spans="2:46" x14ac:dyDescent="0.25">
      <c r="B1354" s="44"/>
      <c r="D1354" s="349"/>
      <c r="E1354" s="33"/>
      <c r="F1354" s="33"/>
      <c r="G1354" s="33"/>
      <c r="H1354" s="33"/>
      <c r="I1354" s="33"/>
      <c r="J1354" s="33"/>
      <c r="K1354" s="33"/>
      <c r="L1354" s="561"/>
      <c r="M1354" s="33"/>
      <c r="N1354" s="33"/>
      <c r="O1354" s="33"/>
      <c r="P1354" s="184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44"/>
      <c r="AP1354" s="37"/>
      <c r="AQ1354" s="309"/>
      <c r="AR1354" s="57"/>
      <c r="AS1354" s="56">
        <f>Tabela4[[#This Row],[Total R$]]-Tabela4[[#This Row],[Total Pago]]</f>
        <v>0</v>
      </c>
      <c r="AT1354" s="36"/>
    </row>
    <row r="1355" spans="2:46" x14ac:dyDescent="0.25">
      <c r="B1355" s="44"/>
      <c r="D1355" s="349"/>
      <c r="E1355" s="33"/>
      <c r="F1355" s="33"/>
      <c r="G1355" s="33"/>
      <c r="H1355" s="33"/>
      <c r="I1355" s="33"/>
      <c r="J1355" s="33"/>
      <c r="K1355" s="33"/>
      <c r="L1355" s="561"/>
      <c r="M1355" s="33"/>
      <c r="N1355" s="33"/>
      <c r="O1355" s="33"/>
      <c r="P1355" s="184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44"/>
      <c r="AP1355" s="37"/>
      <c r="AQ1355" s="309"/>
      <c r="AR1355" s="57"/>
      <c r="AS1355" s="56">
        <f>Tabela4[[#This Row],[Total R$]]-Tabela4[[#This Row],[Total Pago]]</f>
        <v>0</v>
      </c>
      <c r="AT1355" s="36"/>
    </row>
    <row r="1356" spans="2:46" x14ac:dyDescent="0.25">
      <c r="B1356" s="44"/>
      <c r="D1356" s="349"/>
      <c r="E1356" s="33"/>
      <c r="F1356" s="33"/>
      <c r="G1356" s="33"/>
      <c r="H1356" s="33"/>
      <c r="I1356" s="33"/>
      <c r="J1356" s="33"/>
      <c r="K1356" s="33"/>
      <c r="L1356" s="561"/>
      <c r="M1356" s="33"/>
      <c r="N1356" s="33"/>
      <c r="O1356" s="33"/>
      <c r="P1356" s="184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44"/>
      <c r="AP1356" s="37"/>
      <c r="AQ1356" s="309"/>
      <c r="AR1356" s="57"/>
      <c r="AS1356" s="56">
        <f>Tabela4[[#This Row],[Total R$]]-Tabela4[[#This Row],[Total Pago]]</f>
        <v>0</v>
      </c>
      <c r="AT1356" s="36"/>
    </row>
    <row r="1357" spans="2:46" x14ac:dyDescent="0.25">
      <c r="B1357" s="44"/>
      <c r="D1357" s="349"/>
      <c r="E1357" s="33"/>
      <c r="F1357" s="33"/>
      <c r="G1357" s="33"/>
      <c r="H1357" s="33"/>
      <c r="I1357" s="33"/>
      <c r="J1357" s="33"/>
      <c r="K1357" s="33"/>
      <c r="L1357" s="561"/>
      <c r="M1357" s="33"/>
      <c r="N1357" s="33"/>
      <c r="O1357" s="33"/>
      <c r="P1357" s="184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44"/>
      <c r="AP1357" s="37"/>
      <c r="AQ1357" s="309"/>
      <c r="AR1357" s="57"/>
      <c r="AS1357" s="56">
        <f>Tabela4[[#This Row],[Total R$]]-Tabela4[[#This Row],[Total Pago]]</f>
        <v>0</v>
      </c>
      <c r="AT1357" s="36"/>
    </row>
    <row r="1358" spans="2:46" x14ac:dyDescent="0.25">
      <c r="B1358" s="44"/>
      <c r="D1358" s="349"/>
      <c r="E1358" s="33"/>
      <c r="F1358" s="33"/>
      <c r="G1358" s="33"/>
      <c r="H1358" s="33"/>
      <c r="I1358" s="33"/>
      <c r="J1358" s="33"/>
      <c r="K1358" s="33"/>
      <c r="L1358" s="561"/>
      <c r="M1358" s="33"/>
      <c r="N1358" s="33"/>
      <c r="O1358" s="33"/>
      <c r="P1358" s="184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44"/>
      <c r="AP1358" s="37"/>
      <c r="AQ1358" s="309"/>
      <c r="AR1358" s="57"/>
      <c r="AS1358" s="56">
        <f>Tabela4[[#This Row],[Total R$]]-Tabela4[[#This Row],[Total Pago]]</f>
        <v>0</v>
      </c>
      <c r="AT1358" s="36"/>
    </row>
    <row r="1359" spans="2:46" x14ac:dyDescent="0.25">
      <c r="B1359" s="44"/>
      <c r="D1359" s="349"/>
      <c r="E1359" s="33"/>
      <c r="F1359" s="33"/>
      <c r="G1359" s="33"/>
      <c r="H1359" s="33"/>
      <c r="I1359" s="33"/>
      <c r="J1359" s="33"/>
      <c r="K1359" s="33"/>
      <c r="L1359" s="561"/>
      <c r="M1359" s="33"/>
      <c r="N1359" s="33"/>
      <c r="O1359" s="33"/>
      <c r="P1359" s="184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44"/>
      <c r="AP1359" s="37"/>
      <c r="AQ1359" s="309"/>
      <c r="AR1359" s="57"/>
      <c r="AS1359" s="56">
        <f>Tabela4[[#This Row],[Total R$]]-Tabela4[[#This Row],[Total Pago]]</f>
        <v>0</v>
      </c>
      <c r="AT1359" s="36"/>
    </row>
    <row r="1360" spans="2:46" x14ac:dyDescent="0.25">
      <c r="B1360" s="44"/>
      <c r="D1360" s="349"/>
      <c r="E1360" s="33"/>
      <c r="F1360" s="33"/>
      <c r="G1360" s="33"/>
      <c r="H1360" s="33"/>
      <c r="I1360" s="33"/>
      <c r="J1360" s="33"/>
      <c r="K1360" s="33"/>
      <c r="L1360" s="561"/>
      <c r="M1360" s="33"/>
      <c r="N1360" s="33"/>
      <c r="O1360" s="33"/>
      <c r="P1360" s="184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44"/>
      <c r="AP1360" s="37"/>
      <c r="AQ1360" s="309"/>
      <c r="AR1360" s="57"/>
      <c r="AS1360" s="56">
        <f>Tabela4[[#This Row],[Total R$]]-Tabela4[[#This Row],[Total Pago]]</f>
        <v>0</v>
      </c>
      <c r="AT1360" s="36"/>
    </row>
    <row r="1361" spans="2:46" x14ac:dyDescent="0.25">
      <c r="B1361" s="44"/>
      <c r="D1361" s="349"/>
      <c r="E1361" s="33"/>
      <c r="F1361" s="33"/>
      <c r="G1361" s="33"/>
      <c r="H1361" s="33"/>
      <c r="I1361" s="33"/>
      <c r="J1361" s="33"/>
      <c r="K1361" s="33"/>
      <c r="L1361" s="561"/>
      <c r="M1361" s="33"/>
      <c r="N1361" s="33"/>
      <c r="O1361" s="33"/>
      <c r="P1361" s="184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44"/>
      <c r="AP1361" s="37"/>
      <c r="AQ1361" s="309"/>
      <c r="AR1361" s="57"/>
      <c r="AS1361" s="56">
        <f>Tabela4[[#This Row],[Total R$]]-Tabela4[[#This Row],[Total Pago]]</f>
        <v>0</v>
      </c>
      <c r="AT1361" s="36"/>
    </row>
    <row r="1362" spans="2:46" x14ac:dyDescent="0.25">
      <c r="B1362" s="44"/>
      <c r="D1362" s="349"/>
      <c r="E1362" s="33"/>
      <c r="F1362" s="33"/>
      <c r="G1362" s="33"/>
      <c r="H1362" s="33"/>
      <c r="I1362" s="33"/>
      <c r="J1362" s="33"/>
      <c r="K1362" s="33"/>
      <c r="L1362" s="561"/>
      <c r="M1362" s="33"/>
      <c r="N1362" s="33"/>
      <c r="O1362" s="33"/>
      <c r="P1362" s="184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44"/>
      <c r="AP1362" s="37"/>
      <c r="AQ1362" s="309"/>
      <c r="AR1362" s="57"/>
      <c r="AS1362" s="56">
        <f>Tabela4[[#This Row],[Total R$]]-Tabela4[[#This Row],[Total Pago]]</f>
        <v>0</v>
      </c>
      <c r="AT1362" s="36"/>
    </row>
    <row r="1363" spans="2:46" x14ac:dyDescent="0.25">
      <c r="B1363" s="44"/>
      <c r="D1363" s="349"/>
      <c r="E1363" s="33"/>
      <c r="F1363" s="33"/>
      <c r="G1363" s="33"/>
      <c r="H1363" s="33"/>
      <c r="I1363" s="33"/>
      <c r="J1363" s="33"/>
      <c r="K1363" s="33"/>
      <c r="L1363" s="561"/>
      <c r="M1363" s="33"/>
      <c r="N1363" s="33"/>
      <c r="O1363" s="33"/>
      <c r="P1363" s="184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44"/>
      <c r="AP1363" s="37"/>
      <c r="AQ1363" s="309"/>
      <c r="AR1363" s="57"/>
      <c r="AS1363" s="56">
        <f>Tabela4[[#This Row],[Total R$]]-Tabela4[[#This Row],[Total Pago]]</f>
        <v>0</v>
      </c>
      <c r="AT1363" s="36"/>
    </row>
    <row r="1364" spans="2:46" x14ac:dyDescent="0.25">
      <c r="B1364" s="44"/>
      <c r="D1364" s="349"/>
      <c r="E1364" s="33"/>
      <c r="F1364" s="33"/>
      <c r="G1364" s="33"/>
      <c r="H1364" s="33"/>
      <c r="I1364" s="33"/>
      <c r="J1364" s="33"/>
      <c r="K1364" s="33"/>
      <c r="L1364" s="561"/>
      <c r="M1364" s="33"/>
      <c r="N1364" s="33"/>
      <c r="O1364" s="33"/>
      <c r="P1364" s="184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44"/>
      <c r="AP1364" s="37"/>
      <c r="AQ1364" s="309"/>
      <c r="AR1364" s="57"/>
      <c r="AS1364" s="56">
        <f>Tabela4[[#This Row],[Total R$]]-Tabela4[[#This Row],[Total Pago]]</f>
        <v>0</v>
      </c>
      <c r="AT1364" s="36"/>
    </row>
    <row r="1365" spans="2:46" x14ac:dyDescent="0.25">
      <c r="B1365" s="44"/>
      <c r="D1365" s="349"/>
      <c r="E1365" s="33"/>
      <c r="F1365" s="33"/>
      <c r="G1365" s="33"/>
      <c r="H1365" s="33"/>
      <c r="I1365" s="33"/>
      <c r="J1365" s="33"/>
      <c r="K1365" s="33"/>
      <c r="L1365" s="561"/>
      <c r="M1365" s="33"/>
      <c r="N1365" s="33"/>
      <c r="O1365" s="33"/>
      <c r="P1365" s="184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44"/>
      <c r="AP1365" s="37"/>
      <c r="AQ1365" s="27"/>
      <c r="AR1365" s="57"/>
      <c r="AS1365" s="56">
        <f>Tabela4[[#This Row],[Total R$]]-Tabela4[[#This Row],[Total Pago]]</f>
        <v>0</v>
      </c>
      <c r="AT1365" s="36"/>
    </row>
    <row r="1366" spans="2:46" x14ac:dyDescent="0.25">
      <c r="B1366" s="44"/>
      <c r="D1366" s="349"/>
      <c r="E1366" s="33"/>
      <c r="F1366" s="33"/>
      <c r="G1366" s="33"/>
      <c r="H1366" s="33"/>
      <c r="I1366" s="33"/>
      <c r="J1366" s="33"/>
      <c r="K1366" s="33"/>
      <c r="L1366" s="561"/>
      <c r="M1366" s="33"/>
      <c r="N1366" s="33"/>
      <c r="O1366" s="33"/>
      <c r="P1366" s="184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44"/>
      <c r="AP1366" s="37"/>
      <c r="AQ1366" s="27"/>
      <c r="AR1366" s="57"/>
      <c r="AS1366" s="56">
        <f>Tabela4[[#This Row],[Total R$]]-Tabela4[[#This Row],[Total Pago]]</f>
        <v>0</v>
      </c>
      <c r="AT1366" s="36"/>
    </row>
    <row r="1367" spans="2:46" x14ac:dyDescent="0.25">
      <c r="B1367" s="44"/>
      <c r="D1367" s="349"/>
      <c r="E1367" s="33"/>
      <c r="F1367" s="33"/>
      <c r="G1367" s="33"/>
      <c r="H1367" s="33"/>
      <c r="I1367" s="33"/>
      <c r="J1367" s="33"/>
      <c r="K1367" s="33"/>
      <c r="L1367" s="561"/>
      <c r="M1367" s="33"/>
      <c r="N1367" s="33"/>
      <c r="O1367" s="33"/>
      <c r="P1367" s="184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44"/>
      <c r="AP1367" s="37"/>
      <c r="AQ1367" s="27"/>
      <c r="AR1367" s="57"/>
      <c r="AS1367" s="56">
        <f>Tabela4[[#This Row],[Total R$]]-Tabela4[[#This Row],[Total Pago]]</f>
        <v>0</v>
      </c>
      <c r="AT1367" s="36"/>
    </row>
    <row r="1368" spans="2:46" x14ac:dyDescent="0.25">
      <c r="B1368" s="44"/>
      <c r="D1368" s="349"/>
      <c r="E1368" s="33"/>
      <c r="F1368" s="33"/>
      <c r="G1368" s="33"/>
      <c r="H1368" s="33"/>
      <c r="I1368" s="33"/>
      <c r="J1368" s="33"/>
      <c r="K1368" s="33"/>
      <c r="L1368" s="561"/>
      <c r="M1368" s="33"/>
      <c r="N1368" s="33"/>
      <c r="O1368" s="33"/>
      <c r="P1368" s="184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44"/>
      <c r="AP1368" s="37"/>
      <c r="AQ1368" s="27"/>
      <c r="AR1368" s="57"/>
      <c r="AS1368" s="56">
        <f>Tabela4[[#This Row],[Total R$]]-Tabela4[[#This Row],[Total Pago]]</f>
        <v>0</v>
      </c>
      <c r="AT1368" s="36"/>
    </row>
    <row r="1369" spans="2:46" x14ac:dyDescent="0.25">
      <c r="B1369" s="44"/>
      <c r="D1369" s="349"/>
      <c r="E1369" s="33"/>
      <c r="F1369" s="33"/>
      <c r="G1369" s="33"/>
      <c r="H1369" s="33"/>
      <c r="I1369" s="33"/>
      <c r="J1369" s="33"/>
      <c r="K1369" s="33"/>
      <c r="L1369" s="561"/>
      <c r="M1369" s="33"/>
      <c r="N1369" s="33"/>
      <c r="O1369" s="33"/>
      <c r="P1369" s="184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44"/>
      <c r="AP1369" s="37"/>
      <c r="AQ1369" s="27"/>
      <c r="AR1369" s="57"/>
      <c r="AS1369" s="56">
        <f>Tabela4[[#This Row],[Total R$]]-Tabela4[[#This Row],[Total Pago]]</f>
        <v>0</v>
      </c>
      <c r="AT1369" s="36"/>
    </row>
    <row r="1370" spans="2:46" x14ac:dyDescent="0.25">
      <c r="B1370" s="44"/>
      <c r="D1370" s="349"/>
      <c r="E1370" s="33"/>
      <c r="F1370" s="33"/>
      <c r="G1370" s="33"/>
      <c r="H1370" s="33"/>
      <c r="I1370" s="33"/>
      <c r="J1370" s="33"/>
      <c r="K1370" s="33"/>
      <c r="L1370" s="561"/>
      <c r="M1370" s="33"/>
      <c r="N1370" s="33"/>
      <c r="O1370" s="33"/>
      <c r="P1370" s="184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44"/>
      <c r="AP1370" s="37"/>
      <c r="AQ1370" s="27"/>
      <c r="AR1370" s="57"/>
      <c r="AS1370" s="56">
        <f>Tabela4[[#This Row],[Total R$]]-Tabela4[[#This Row],[Total Pago]]</f>
        <v>0</v>
      </c>
      <c r="AT1370" s="36"/>
    </row>
    <row r="1371" spans="2:46" x14ac:dyDescent="0.25">
      <c r="B1371" s="44"/>
      <c r="D1371" s="349"/>
      <c r="E1371" s="33"/>
      <c r="F1371" s="33"/>
      <c r="G1371" s="33"/>
      <c r="H1371" s="33"/>
      <c r="I1371" s="33"/>
      <c r="J1371" s="33"/>
      <c r="K1371" s="33"/>
      <c r="L1371" s="561"/>
      <c r="M1371" s="33"/>
      <c r="N1371" s="33"/>
      <c r="O1371" s="33"/>
      <c r="P1371" s="184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44"/>
      <c r="AP1371" s="37"/>
      <c r="AQ1371" s="27"/>
      <c r="AR1371" s="57"/>
      <c r="AS1371" s="56">
        <f>Tabela4[[#This Row],[Total R$]]-Tabela4[[#This Row],[Total Pago]]</f>
        <v>0</v>
      </c>
      <c r="AT1371" s="36"/>
    </row>
    <row r="1372" spans="2:46" x14ac:dyDescent="0.25">
      <c r="B1372" s="44"/>
      <c r="D1372" s="349"/>
      <c r="E1372" s="33"/>
      <c r="F1372" s="33"/>
      <c r="G1372" s="33"/>
      <c r="H1372" s="33"/>
      <c r="I1372" s="33"/>
      <c r="J1372" s="33"/>
      <c r="K1372" s="33"/>
      <c r="L1372" s="561"/>
      <c r="M1372" s="33"/>
      <c r="N1372" s="33"/>
      <c r="O1372" s="33"/>
      <c r="P1372" s="184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44"/>
      <c r="AP1372" s="37"/>
      <c r="AQ1372" s="27"/>
      <c r="AR1372" s="57"/>
      <c r="AS1372" s="56">
        <f>Tabela4[[#This Row],[Total R$]]-Tabela4[[#This Row],[Total Pago]]</f>
        <v>0</v>
      </c>
      <c r="AT1372" s="36"/>
    </row>
    <row r="1373" spans="2:46" x14ac:dyDescent="0.25">
      <c r="B1373" s="44"/>
      <c r="D1373" s="349"/>
      <c r="E1373" s="33"/>
      <c r="F1373" s="33"/>
      <c r="G1373" s="33"/>
      <c r="H1373" s="33"/>
      <c r="I1373" s="33"/>
      <c r="J1373" s="33"/>
      <c r="K1373" s="33"/>
      <c r="L1373" s="561"/>
      <c r="M1373" s="33"/>
      <c r="N1373" s="33"/>
      <c r="O1373" s="33"/>
      <c r="P1373" s="184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44"/>
      <c r="AP1373" s="37"/>
      <c r="AQ1373" s="27"/>
      <c r="AR1373" s="57"/>
      <c r="AS1373" s="56">
        <f>Tabela4[[#This Row],[Total R$]]-Tabela4[[#This Row],[Total Pago]]</f>
        <v>0</v>
      </c>
      <c r="AT1373" s="36"/>
    </row>
    <row r="1374" spans="2:46" x14ac:dyDescent="0.25">
      <c r="B1374" s="44"/>
      <c r="D1374" s="349"/>
      <c r="E1374" s="33"/>
      <c r="F1374" s="33"/>
      <c r="G1374" s="33"/>
      <c r="H1374" s="33"/>
      <c r="I1374" s="33"/>
      <c r="J1374" s="33"/>
      <c r="K1374" s="33"/>
      <c r="L1374" s="561"/>
      <c r="M1374" s="33"/>
      <c r="N1374" s="33"/>
      <c r="O1374" s="33"/>
      <c r="P1374" s="184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44"/>
      <c r="AP1374" s="37"/>
      <c r="AQ1374" s="27"/>
      <c r="AR1374" s="57"/>
      <c r="AS1374" s="56">
        <f>Tabela4[[#This Row],[Total R$]]-Tabela4[[#This Row],[Total Pago]]</f>
        <v>0</v>
      </c>
      <c r="AT1374" s="36"/>
    </row>
    <row r="1375" spans="2:46" x14ac:dyDescent="0.25">
      <c r="B1375" s="44"/>
      <c r="D1375" s="349"/>
      <c r="E1375" s="33"/>
      <c r="F1375" s="33"/>
      <c r="G1375" s="33"/>
      <c r="H1375" s="33"/>
      <c r="I1375" s="33"/>
      <c r="J1375" s="33"/>
      <c r="K1375" s="33"/>
      <c r="L1375" s="561"/>
      <c r="M1375" s="33"/>
      <c r="N1375" s="33"/>
      <c r="O1375" s="33"/>
      <c r="P1375" s="184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44"/>
      <c r="AP1375" s="37"/>
      <c r="AQ1375" s="27"/>
      <c r="AR1375" s="57"/>
      <c r="AS1375" s="56">
        <f>Tabela4[[#This Row],[Total R$]]-Tabela4[[#This Row],[Total Pago]]</f>
        <v>0</v>
      </c>
      <c r="AT1375" s="36"/>
    </row>
    <row r="1376" spans="2:46" x14ac:dyDescent="0.25">
      <c r="B1376" s="44"/>
      <c r="D1376" s="349"/>
      <c r="E1376" s="33"/>
      <c r="F1376" s="33"/>
      <c r="G1376" s="33"/>
      <c r="H1376" s="33"/>
      <c r="I1376" s="33"/>
      <c r="J1376" s="33"/>
      <c r="K1376" s="33"/>
      <c r="L1376" s="561"/>
      <c r="M1376" s="33"/>
      <c r="N1376" s="33"/>
      <c r="O1376" s="33"/>
      <c r="P1376" s="184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44"/>
      <c r="AP1376" s="37"/>
      <c r="AQ1376" s="27"/>
      <c r="AR1376" s="57"/>
      <c r="AS1376" s="56">
        <f>Tabela4[[#This Row],[Total R$]]-Tabela4[[#This Row],[Total Pago]]</f>
        <v>0</v>
      </c>
      <c r="AT1376" s="36"/>
    </row>
    <row r="1377" spans="2:46" x14ac:dyDescent="0.25">
      <c r="B1377" s="44"/>
      <c r="D1377" s="349"/>
      <c r="E1377" s="33"/>
      <c r="F1377" s="33"/>
      <c r="G1377" s="33"/>
      <c r="H1377" s="33"/>
      <c r="I1377" s="33"/>
      <c r="J1377" s="33"/>
      <c r="K1377" s="33"/>
      <c r="L1377" s="561"/>
      <c r="M1377" s="33"/>
      <c r="N1377" s="33"/>
      <c r="O1377" s="33"/>
      <c r="P1377" s="184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44"/>
      <c r="AP1377" s="37"/>
      <c r="AQ1377" s="27"/>
      <c r="AR1377" s="57"/>
      <c r="AS1377" s="56">
        <f>Tabela4[[#This Row],[Total R$]]-Tabela4[[#This Row],[Total Pago]]</f>
        <v>0</v>
      </c>
      <c r="AT1377" s="36"/>
    </row>
    <row r="1378" spans="2:46" x14ac:dyDescent="0.25">
      <c r="B1378" s="44"/>
      <c r="D1378" s="349"/>
      <c r="E1378" s="33"/>
      <c r="F1378" s="33"/>
      <c r="G1378" s="33"/>
      <c r="H1378" s="33"/>
      <c r="I1378" s="33"/>
      <c r="J1378" s="33"/>
      <c r="K1378" s="33"/>
      <c r="L1378" s="561"/>
      <c r="M1378" s="33"/>
      <c r="N1378" s="33"/>
      <c r="O1378" s="33"/>
      <c r="P1378" s="184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44"/>
      <c r="AP1378" s="37"/>
      <c r="AQ1378" s="27"/>
      <c r="AR1378" s="57"/>
      <c r="AS1378" s="56">
        <f>Tabela4[[#This Row],[Total R$]]-Tabela4[[#This Row],[Total Pago]]</f>
        <v>0</v>
      </c>
      <c r="AT1378" s="36"/>
    </row>
    <row r="1379" spans="2:46" x14ac:dyDescent="0.25">
      <c r="B1379" s="44"/>
      <c r="D1379" s="349"/>
      <c r="E1379" s="33"/>
      <c r="F1379" s="33"/>
      <c r="G1379" s="33"/>
      <c r="H1379" s="33"/>
      <c r="I1379" s="33"/>
      <c r="J1379" s="33"/>
      <c r="K1379" s="33"/>
      <c r="L1379" s="561"/>
      <c r="M1379" s="33"/>
      <c r="N1379" s="33"/>
      <c r="O1379" s="33"/>
      <c r="P1379" s="184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44"/>
      <c r="AP1379" s="37"/>
      <c r="AQ1379" s="27"/>
      <c r="AR1379" s="57"/>
      <c r="AS1379" s="56">
        <f>Tabela4[[#This Row],[Total R$]]-Tabela4[[#This Row],[Total Pago]]</f>
        <v>0</v>
      </c>
      <c r="AT1379" s="36"/>
    </row>
    <row r="1380" spans="2:46" x14ac:dyDescent="0.25">
      <c r="B1380" s="44"/>
      <c r="D1380" s="349"/>
      <c r="E1380" s="33"/>
      <c r="F1380" s="33"/>
      <c r="G1380" s="33"/>
      <c r="H1380" s="33"/>
      <c r="I1380" s="33"/>
      <c r="J1380" s="33"/>
      <c r="K1380" s="33"/>
      <c r="L1380" s="561"/>
      <c r="M1380" s="33"/>
      <c r="N1380" s="33"/>
      <c r="O1380" s="33"/>
      <c r="P1380" s="184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44"/>
      <c r="AP1380" s="37"/>
      <c r="AQ1380" s="27"/>
      <c r="AR1380" s="57"/>
      <c r="AS1380" s="56">
        <f>Tabela4[[#This Row],[Total R$]]-Tabela4[[#This Row],[Total Pago]]</f>
        <v>0</v>
      </c>
      <c r="AT1380" s="36"/>
    </row>
    <row r="1381" spans="2:46" x14ac:dyDescent="0.25">
      <c r="B1381" s="44"/>
      <c r="D1381" s="349"/>
      <c r="E1381" s="33"/>
      <c r="F1381" s="33"/>
      <c r="G1381" s="33"/>
      <c r="H1381" s="33"/>
      <c r="I1381" s="33"/>
      <c r="J1381" s="33"/>
      <c r="K1381" s="33"/>
      <c r="L1381" s="561"/>
      <c r="M1381" s="33"/>
      <c r="N1381" s="33"/>
      <c r="O1381" s="33"/>
      <c r="P1381" s="184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44"/>
      <c r="AP1381" s="37"/>
      <c r="AQ1381" s="27"/>
      <c r="AR1381" s="57"/>
      <c r="AS1381" s="56">
        <f>Tabela4[[#This Row],[Total R$]]-Tabela4[[#This Row],[Total Pago]]</f>
        <v>0</v>
      </c>
      <c r="AT1381" s="36"/>
    </row>
    <row r="1382" spans="2:46" x14ac:dyDescent="0.25">
      <c r="B1382" s="44"/>
      <c r="D1382" s="349"/>
      <c r="E1382" s="33"/>
      <c r="F1382" s="33"/>
      <c r="G1382" s="33"/>
      <c r="H1382" s="33"/>
      <c r="I1382" s="33"/>
      <c r="J1382" s="33"/>
      <c r="K1382" s="33"/>
      <c r="L1382" s="561"/>
      <c r="M1382" s="33"/>
      <c r="N1382" s="33"/>
      <c r="O1382" s="33"/>
      <c r="P1382" s="184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44"/>
      <c r="AP1382" s="37"/>
      <c r="AQ1382" s="27"/>
      <c r="AR1382" s="57"/>
      <c r="AS1382" s="56">
        <f>Tabela4[[#This Row],[Total R$]]-Tabela4[[#This Row],[Total Pago]]</f>
        <v>0</v>
      </c>
      <c r="AT1382" s="36"/>
    </row>
    <row r="1383" spans="2:46" x14ac:dyDescent="0.25">
      <c r="B1383" s="44"/>
      <c r="D1383" s="349"/>
      <c r="E1383" s="33"/>
      <c r="F1383" s="33"/>
      <c r="G1383" s="33"/>
      <c r="H1383" s="33"/>
      <c r="I1383" s="33"/>
      <c r="J1383" s="33"/>
      <c r="K1383" s="33"/>
      <c r="L1383" s="561"/>
      <c r="M1383" s="33"/>
      <c r="N1383" s="33"/>
      <c r="O1383" s="33"/>
      <c r="P1383" s="184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44"/>
      <c r="AP1383" s="37"/>
      <c r="AQ1383" s="27"/>
      <c r="AR1383" s="57"/>
      <c r="AS1383" s="56">
        <f>Tabela4[[#This Row],[Total R$]]-Tabela4[[#This Row],[Total Pago]]</f>
        <v>0</v>
      </c>
      <c r="AT1383" s="36"/>
    </row>
    <row r="1384" spans="2:46" x14ac:dyDescent="0.25">
      <c r="B1384" s="44"/>
      <c r="D1384" s="349"/>
      <c r="E1384" s="33"/>
      <c r="F1384" s="33"/>
      <c r="G1384" s="33"/>
      <c r="H1384" s="33"/>
      <c r="I1384" s="33"/>
      <c r="J1384" s="33"/>
      <c r="K1384" s="33"/>
      <c r="L1384" s="561"/>
      <c r="M1384" s="33"/>
      <c r="N1384" s="33"/>
      <c r="O1384" s="33"/>
      <c r="P1384" s="184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44"/>
      <c r="AP1384" s="37"/>
      <c r="AQ1384" s="27"/>
      <c r="AR1384" s="57"/>
      <c r="AS1384" s="56">
        <f>Tabela4[[#This Row],[Total R$]]-Tabela4[[#This Row],[Total Pago]]</f>
        <v>0</v>
      </c>
      <c r="AT1384" s="36"/>
    </row>
    <row r="1385" spans="2:46" x14ac:dyDescent="0.25">
      <c r="B1385" s="44"/>
      <c r="D1385" s="349"/>
      <c r="E1385" s="33"/>
      <c r="F1385" s="33"/>
      <c r="G1385" s="33"/>
      <c r="H1385" s="33"/>
      <c r="I1385" s="33"/>
      <c r="J1385" s="33"/>
      <c r="K1385" s="33"/>
      <c r="L1385" s="561"/>
      <c r="M1385" s="33"/>
      <c r="N1385" s="33"/>
      <c r="O1385" s="33"/>
      <c r="P1385" s="184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44"/>
      <c r="AP1385" s="37"/>
      <c r="AQ1385" s="27"/>
      <c r="AR1385" s="57"/>
      <c r="AS1385" s="56">
        <f>Tabela4[[#This Row],[Total R$]]-Tabela4[[#This Row],[Total Pago]]</f>
        <v>0</v>
      </c>
      <c r="AT1385" s="36"/>
    </row>
    <row r="1386" spans="2:46" x14ac:dyDescent="0.25">
      <c r="B1386" s="44"/>
      <c r="D1386" s="349"/>
      <c r="E1386" s="33"/>
      <c r="F1386" s="33"/>
      <c r="G1386" s="33"/>
      <c r="H1386" s="33"/>
      <c r="I1386" s="33"/>
      <c r="J1386" s="33"/>
      <c r="K1386" s="33"/>
      <c r="L1386" s="561"/>
      <c r="M1386" s="33"/>
      <c r="N1386" s="33"/>
      <c r="O1386" s="33"/>
      <c r="P1386" s="184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44"/>
      <c r="AP1386" s="37"/>
      <c r="AQ1386" s="27"/>
      <c r="AR1386" s="57"/>
      <c r="AS1386" s="56">
        <f>Tabela4[[#This Row],[Total R$]]-Tabela4[[#This Row],[Total Pago]]</f>
        <v>0</v>
      </c>
      <c r="AT1386" s="36"/>
    </row>
    <row r="1387" spans="2:46" x14ac:dyDescent="0.25">
      <c r="B1387" s="44"/>
      <c r="D1387" s="349"/>
      <c r="E1387" s="33"/>
      <c r="F1387" s="33"/>
      <c r="G1387" s="33"/>
      <c r="H1387" s="33"/>
      <c r="I1387" s="33"/>
      <c r="J1387" s="33"/>
      <c r="K1387" s="33"/>
      <c r="L1387" s="561"/>
      <c r="M1387" s="33"/>
      <c r="N1387" s="33"/>
      <c r="O1387" s="33"/>
      <c r="P1387" s="184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44"/>
      <c r="AP1387" s="37"/>
      <c r="AQ1387" s="27"/>
      <c r="AR1387" s="57"/>
      <c r="AS1387" s="56">
        <f>Tabela4[[#This Row],[Total R$]]-Tabela4[[#This Row],[Total Pago]]</f>
        <v>0</v>
      </c>
      <c r="AT1387" s="36"/>
    </row>
    <row r="1388" spans="2:46" x14ac:dyDescent="0.25">
      <c r="B1388" s="44"/>
      <c r="D1388" s="349"/>
      <c r="E1388" s="33"/>
      <c r="F1388" s="33"/>
      <c r="G1388" s="33"/>
      <c r="H1388" s="33"/>
      <c r="I1388" s="33"/>
      <c r="J1388" s="33"/>
      <c r="K1388" s="33"/>
      <c r="L1388" s="561"/>
      <c r="M1388" s="33"/>
      <c r="N1388" s="33"/>
      <c r="O1388" s="33"/>
      <c r="P1388" s="184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44"/>
      <c r="AP1388" s="37"/>
      <c r="AQ1388" s="27"/>
      <c r="AR1388" s="57"/>
      <c r="AS1388" s="56">
        <f>Tabela4[[#This Row],[Total R$]]-Tabela4[[#This Row],[Total Pago]]</f>
        <v>0</v>
      </c>
      <c r="AT1388" s="36"/>
    </row>
    <row r="1389" spans="2:46" x14ac:dyDescent="0.25">
      <c r="B1389" s="44"/>
      <c r="D1389" s="349"/>
      <c r="E1389" s="33"/>
      <c r="F1389" s="33"/>
      <c r="G1389" s="33"/>
      <c r="H1389" s="33"/>
      <c r="I1389" s="33"/>
      <c r="J1389" s="33"/>
      <c r="K1389" s="33"/>
      <c r="L1389" s="561"/>
      <c r="M1389" s="33"/>
      <c r="N1389" s="33"/>
      <c r="O1389" s="33"/>
      <c r="P1389" s="184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44"/>
      <c r="AP1389" s="37"/>
      <c r="AQ1389" s="27"/>
      <c r="AR1389" s="57"/>
      <c r="AS1389" s="56">
        <f>Tabela4[[#This Row],[Total R$]]-Tabela4[[#This Row],[Total Pago]]</f>
        <v>0</v>
      </c>
      <c r="AT1389" s="36"/>
    </row>
    <row r="1390" spans="2:46" x14ac:dyDescent="0.25">
      <c r="B1390" s="44"/>
      <c r="D1390" s="349"/>
      <c r="E1390" s="33"/>
      <c r="F1390" s="33"/>
      <c r="G1390" s="33"/>
      <c r="H1390" s="33"/>
      <c r="I1390" s="33"/>
      <c r="J1390" s="33"/>
      <c r="K1390" s="33"/>
      <c r="L1390" s="561"/>
      <c r="M1390" s="33"/>
      <c r="N1390" s="33"/>
      <c r="O1390" s="33"/>
      <c r="P1390" s="184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44"/>
      <c r="AP1390" s="37"/>
      <c r="AQ1390" s="27"/>
      <c r="AR1390" s="57"/>
      <c r="AS1390" s="56">
        <f>Tabela4[[#This Row],[Total R$]]-Tabela4[[#This Row],[Total Pago]]</f>
        <v>0</v>
      </c>
      <c r="AT1390" s="36"/>
    </row>
    <row r="1391" spans="2:46" x14ac:dyDescent="0.25">
      <c r="B1391" s="44"/>
      <c r="D1391" s="349"/>
      <c r="E1391" s="33"/>
      <c r="F1391" s="33"/>
      <c r="G1391" s="33"/>
      <c r="H1391" s="33"/>
      <c r="I1391" s="33"/>
      <c r="J1391" s="33"/>
      <c r="K1391" s="33"/>
      <c r="L1391" s="561"/>
      <c r="M1391" s="33"/>
      <c r="N1391" s="33"/>
      <c r="O1391" s="33"/>
      <c r="P1391" s="184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44"/>
      <c r="AP1391" s="37"/>
      <c r="AQ1391" s="27"/>
      <c r="AR1391" s="57"/>
      <c r="AS1391" s="56">
        <f>Tabela4[[#This Row],[Total R$]]-Tabela4[[#This Row],[Total Pago]]</f>
        <v>0</v>
      </c>
      <c r="AT1391" s="36"/>
    </row>
    <row r="1392" spans="2:46" x14ac:dyDescent="0.25">
      <c r="B1392" s="44"/>
      <c r="D1392" s="349"/>
      <c r="E1392" s="33"/>
      <c r="F1392" s="33"/>
      <c r="G1392" s="33"/>
      <c r="H1392" s="33"/>
      <c r="I1392" s="33"/>
      <c r="J1392" s="33"/>
      <c r="K1392" s="33"/>
      <c r="L1392" s="561"/>
      <c r="M1392" s="33"/>
      <c r="N1392" s="33"/>
      <c r="O1392" s="33"/>
      <c r="P1392" s="184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44"/>
      <c r="AP1392" s="37"/>
      <c r="AQ1392" s="27"/>
      <c r="AR1392" s="57"/>
      <c r="AS1392" s="56">
        <f>Tabela4[[#This Row],[Total R$]]-Tabela4[[#This Row],[Total Pago]]</f>
        <v>0</v>
      </c>
      <c r="AT1392" s="36"/>
    </row>
    <row r="1393" spans="2:46" x14ac:dyDescent="0.25">
      <c r="B1393" s="44"/>
      <c r="D1393" s="349"/>
      <c r="E1393" s="33"/>
      <c r="F1393" s="33"/>
      <c r="G1393" s="33"/>
      <c r="H1393" s="33"/>
      <c r="I1393" s="33"/>
      <c r="J1393" s="33"/>
      <c r="K1393" s="33"/>
      <c r="L1393" s="561"/>
      <c r="M1393" s="33"/>
      <c r="N1393" s="33"/>
      <c r="O1393" s="33"/>
      <c r="P1393" s="184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44"/>
      <c r="AP1393" s="37"/>
      <c r="AQ1393" s="27"/>
      <c r="AR1393" s="57"/>
      <c r="AS1393" s="56">
        <f>Tabela4[[#This Row],[Total R$]]-Tabela4[[#This Row],[Total Pago]]</f>
        <v>0</v>
      </c>
      <c r="AT1393" s="36"/>
    </row>
    <row r="1394" spans="2:46" x14ac:dyDescent="0.25">
      <c r="B1394" s="44"/>
      <c r="D1394" s="349"/>
      <c r="E1394" s="33"/>
      <c r="F1394" s="33"/>
      <c r="G1394" s="33"/>
      <c r="H1394" s="33"/>
      <c r="I1394" s="33"/>
      <c r="J1394" s="33"/>
      <c r="K1394" s="33"/>
      <c r="L1394" s="561"/>
      <c r="M1394" s="33"/>
      <c r="N1394" s="33"/>
      <c r="O1394" s="33"/>
      <c r="P1394" s="184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44"/>
      <c r="AP1394" s="37"/>
      <c r="AQ1394" s="27"/>
      <c r="AR1394" s="57"/>
      <c r="AS1394" s="56">
        <f>Tabela4[[#This Row],[Total R$]]-Tabela4[[#This Row],[Total Pago]]</f>
        <v>0</v>
      </c>
      <c r="AT1394" s="36"/>
    </row>
    <row r="1395" spans="2:46" x14ac:dyDescent="0.25">
      <c r="B1395" s="44"/>
      <c r="D1395" s="349"/>
      <c r="E1395" s="33"/>
      <c r="F1395" s="33"/>
      <c r="G1395" s="33"/>
      <c r="H1395" s="33"/>
      <c r="I1395" s="33"/>
      <c r="J1395" s="33"/>
      <c r="K1395" s="33"/>
      <c r="L1395" s="561"/>
      <c r="M1395" s="33"/>
      <c r="N1395" s="33"/>
      <c r="O1395" s="33"/>
      <c r="P1395" s="184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44"/>
      <c r="AP1395" s="37"/>
      <c r="AQ1395" s="27"/>
      <c r="AR1395" s="57"/>
      <c r="AS1395" s="56">
        <f>Tabela4[[#This Row],[Total R$]]-Tabela4[[#This Row],[Total Pago]]</f>
        <v>0</v>
      </c>
      <c r="AT1395" s="36"/>
    </row>
    <row r="1396" spans="2:46" x14ac:dyDescent="0.25">
      <c r="B1396" s="44"/>
      <c r="D1396" s="349"/>
      <c r="E1396" s="33"/>
      <c r="F1396" s="33"/>
      <c r="G1396" s="33"/>
      <c r="H1396" s="33"/>
      <c r="I1396" s="33"/>
      <c r="J1396" s="33"/>
      <c r="K1396" s="33"/>
      <c r="L1396" s="561"/>
      <c r="M1396" s="33"/>
      <c r="N1396" s="33"/>
      <c r="O1396" s="33"/>
      <c r="P1396" s="184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44"/>
      <c r="AP1396" s="37"/>
      <c r="AQ1396" s="27"/>
      <c r="AR1396" s="57"/>
      <c r="AS1396" s="56">
        <f>Tabela4[[#This Row],[Total R$]]-Tabela4[[#This Row],[Total Pago]]</f>
        <v>0</v>
      </c>
      <c r="AT1396" s="36"/>
    </row>
    <row r="1397" spans="2:46" x14ac:dyDescent="0.25">
      <c r="B1397" s="44"/>
      <c r="D1397" s="349"/>
      <c r="E1397" s="33"/>
      <c r="F1397" s="33"/>
      <c r="G1397" s="33"/>
      <c r="H1397" s="33"/>
      <c r="I1397" s="33"/>
      <c r="J1397" s="33"/>
      <c r="K1397" s="33"/>
      <c r="L1397" s="561"/>
      <c r="M1397" s="33"/>
      <c r="N1397" s="33"/>
      <c r="O1397" s="33"/>
      <c r="P1397" s="184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44"/>
      <c r="AP1397" s="37"/>
      <c r="AQ1397" s="27"/>
      <c r="AR1397" s="57"/>
      <c r="AS1397" s="56">
        <f>Tabela4[[#This Row],[Total R$]]-Tabela4[[#This Row],[Total Pago]]</f>
        <v>0</v>
      </c>
      <c r="AT1397" s="36"/>
    </row>
    <row r="1398" spans="2:46" x14ac:dyDescent="0.25">
      <c r="B1398" s="44"/>
      <c r="D1398" s="349"/>
      <c r="E1398" s="33"/>
      <c r="F1398" s="33"/>
      <c r="G1398" s="33"/>
      <c r="H1398" s="33"/>
      <c r="I1398" s="33"/>
      <c r="J1398" s="33"/>
      <c r="K1398" s="33"/>
      <c r="L1398" s="561"/>
      <c r="M1398" s="33"/>
      <c r="N1398" s="33"/>
      <c r="O1398" s="33"/>
      <c r="P1398" s="184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44"/>
      <c r="AP1398" s="37"/>
      <c r="AQ1398" s="27"/>
      <c r="AR1398" s="57"/>
      <c r="AS1398" s="56">
        <f>Tabela4[[#This Row],[Total R$]]-Tabela4[[#This Row],[Total Pago]]</f>
        <v>0</v>
      </c>
      <c r="AT1398" s="36"/>
    </row>
    <row r="1399" spans="2:46" x14ac:dyDescent="0.25">
      <c r="B1399" s="44"/>
      <c r="D1399" s="349"/>
      <c r="E1399" s="33"/>
      <c r="F1399" s="33"/>
      <c r="G1399" s="33"/>
      <c r="H1399" s="33"/>
      <c r="I1399" s="33"/>
      <c r="J1399" s="33"/>
      <c r="K1399" s="33"/>
      <c r="L1399" s="561"/>
      <c r="M1399" s="33"/>
      <c r="N1399" s="33"/>
      <c r="O1399" s="33"/>
      <c r="P1399" s="184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44"/>
      <c r="AP1399" s="37"/>
      <c r="AQ1399" s="27"/>
      <c r="AR1399" s="57"/>
      <c r="AS1399" s="56">
        <f>Tabela4[[#This Row],[Total R$]]-Tabela4[[#This Row],[Total Pago]]</f>
        <v>0</v>
      </c>
      <c r="AT1399" s="36"/>
    </row>
    <row r="1400" spans="2:46" x14ac:dyDescent="0.25">
      <c r="B1400" s="44"/>
      <c r="D1400" s="349"/>
      <c r="E1400" s="33"/>
      <c r="F1400" s="33"/>
      <c r="G1400" s="33"/>
      <c r="H1400" s="33"/>
      <c r="I1400" s="33"/>
      <c r="J1400" s="33"/>
      <c r="K1400" s="33"/>
      <c r="L1400" s="561"/>
      <c r="M1400" s="33"/>
      <c r="N1400" s="33"/>
      <c r="O1400" s="33"/>
      <c r="P1400" s="184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44"/>
      <c r="AP1400" s="37"/>
      <c r="AQ1400" s="27"/>
      <c r="AR1400" s="57"/>
      <c r="AS1400" s="56">
        <f>Tabela4[[#This Row],[Total R$]]-Tabela4[[#This Row],[Total Pago]]</f>
        <v>0</v>
      </c>
      <c r="AT1400" s="36"/>
    </row>
    <row r="1401" spans="2:46" x14ac:dyDescent="0.25">
      <c r="B1401" s="44"/>
      <c r="D1401" s="349"/>
      <c r="E1401" s="33"/>
      <c r="F1401" s="33"/>
      <c r="G1401" s="33"/>
      <c r="H1401" s="33"/>
      <c r="I1401" s="33"/>
      <c r="J1401" s="33"/>
      <c r="K1401" s="33"/>
      <c r="L1401" s="561"/>
      <c r="M1401" s="33"/>
      <c r="N1401" s="33"/>
      <c r="O1401" s="33"/>
      <c r="P1401" s="184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44"/>
      <c r="AP1401" s="37"/>
      <c r="AQ1401" s="27"/>
      <c r="AR1401" s="57"/>
      <c r="AS1401" s="56">
        <f>Tabela4[[#This Row],[Total R$]]-Tabela4[[#This Row],[Total Pago]]</f>
        <v>0</v>
      </c>
      <c r="AT1401" s="36"/>
    </row>
    <row r="1402" spans="2:46" x14ac:dyDescent="0.25">
      <c r="B1402" s="44"/>
      <c r="D1402" s="349"/>
      <c r="E1402" s="33"/>
      <c r="F1402" s="33"/>
      <c r="G1402" s="33"/>
      <c r="H1402" s="33"/>
      <c r="I1402" s="33"/>
      <c r="J1402" s="33"/>
      <c r="K1402" s="33"/>
      <c r="L1402" s="561"/>
      <c r="M1402" s="33"/>
      <c r="N1402" s="33"/>
      <c r="O1402" s="33"/>
      <c r="P1402" s="184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44"/>
      <c r="AP1402" s="37"/>
      <c r="AQ1402" s="27"/>
      <c r="AR1402" s="57"/>
      <c r="AS1402" s="56">
        <f>Tabela4[[#This Row],[Total R$]]-Tabela4[[#This Row],[Total Pago]]</f>
        <v>0</v>
      </c>
      <c r="AT1402" s="36"/>
    </row>
    <row r="1403" spans="2:46" x14ac:dyDescent="0.25">
      <c r="B1403" s="44"/>
      <c r="D1403" s="349"/>
      <c r="E1403" s="33"/>
      <c r="F1403" s="33"/>
      <c r="G1403" s="33"/>
      <c r="H1403" s="33"/>
      <c r="I1403" s="33"/>
      <c r="J1403" s="33"/>
      <c r="K1403" s="33"/>
      <c r="L1403" s="561"/>
      <c r="M1403" s="33"/>
      <c r="N1403" s="33"/>
      <c r="O1403" s="33"/>
      <c r="P1403" s="184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44"/>
      <c r="AP1403" s="37"/>
      <c r="AQ1403" s="27"/>
      <c r="AR1403" s="57"/>
      <c r="AS1403" s="56">
        <f>Tabela4[[#This Row],[Total R$]]-Tabela4[[#This Row],[Total Pago]]</f>
        <v>0</v>
      </c>
      <c r="AT1403" s="36"/>
    </row>
    <row r="1404" spans="2:46" x14ac:dyDescent="0.25">
      <c r="B1404" s="44"/>
      <c r="D1404" s="349"/>
      <c r="E1404" s="33"/>
      <c r="F1404" s="33"/>
      <c r="G1404" s="33"/>
      <c r="H1404" s="33"/>
      <c r="I1404" s="33"/>
      <c r="J1404" s="33"/>
      <c r="K1404" s="33"/>
      <c r="L1404" s="561"/>
      <c r="M1404" s="33"/>
      <c r="N1404" s="33"/>
      <c r="O1404" s="33"/>
      <c r="P1404" s="184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44"/>
      <c r="AP1404" s="37"/>
      <c r="AQ1404" s="27"/>
      <c r="AR1404" s="57"/>
      <c r="AS1404" s="56">
        <f>Tabela4[[#This Row],[Total R$]]-Tabela4[[#This Row],[Total Pago]]</f>
        <v>0</v>
      </c>
      <c r="AT1404" s="36"/>
    </row>
    <row r="1405" spans="2:46" x14ac:dyDescent="0.25">
      <c r="B1405" s="44"/>
      <c r="D1405" s="349"/>
      <c r="E1405" s="33"/>
      <c r="F1405" s="33"/>
      <c r="G1405" s="33"/>
      <c r="H1405" s="33"/>
      <c r="I1405" s="33"/>
      <c r="J1405" s="33"/>
      <c r="K1405" s="33"/>
      <c r="L1405" s="561"/>
      <c r="M1405" s="33"/>
      <c r="N1405" s="33"/>
      <c r="O1405" s="33"/>
      <c r="P1405" s="184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44"/>
      <c r="AP1405" s="37"/>
      <c r="AQ1405" s="27"/>
      <c r="AR1405" s="57"/>
      <c r="AS1405" s="56">
        <f>Tabela4[[#This Row],[Total R$]]-Tabela4[[#This Row],[Total Pago]]</f>
        <v>0</v>
      </c>
      <c r="AT1405" s="36"/>
    </row>
    <row r="1406" spans="2:46" x14ac:dyDescent="0.25">
      <c r="B1406" s="44"/>
      <c r="D1406" s="349"/>
      <c r="E1406" s="33"/>
      <c r="F1406" s="33"/>
      <c r="G1406" s="33"/>
      <c r="H1406" s="33"/>
      <c r="I1406" s="33"/>
      <c r="J1406" s="33"/>
      <c r="K1406" s="33"/>
      <c r="L1406" s="561"/>
      <c r="M1406" s="33"/>
      <c r="N1406" s="33"/>
      <c r="O1406" s="33"/>
      <c r="P1406" s="184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44"/>
      <c r="AP1406" s="37"/>
      <c r="AQ1406" s="27"/>
      <c r="AR1406" s="57"/>
      <c r="AS1406" s="56">
        <f>Tabela4[[#This Row],[Total R$]]-Tabela4[[#This Row],[Total Pago]]</f>
        <v>0</v>
      </c>
      <c r="AT1406" s="36"/>
    </row>
    <row r="1407" spans="2:46" x14ac:dyDescent="0.25">
      <c r="B1407" s="44"/>
      <c r="D1407" s="349"/>
      <c r="E1407" s="33"/>
      <c r="F1407" s="33"/>
      <c r="G1407" s="33"/>
      <c r="H1407" s="33"/>
      <c r="I1407" s="33"/>
      <c r="J1407" s="33"/>
      <c r="K1407" s="33"/>
      <c r="L1407" s="561"/>
      <c r="M1407" s="33"/>
      <c r="N1407" s="33"/>
      <c r="O1407" s="33"/>
      <c r="P1407" s="184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44"/>
      <c r="AP1407" s="37"/>
      <c r="AQ1407" s="27"/>
      <c r="AR1407" s="57"/>
      <c r="AS1407" s="56">
        <f>Tabela4[[#This Row],[Total R$]]-Tabela4[[#This Row],[Total Pago]]</f>
        <v>0</v>
      </c>
      <c r="AT1407" s="36"/>
    </row>
    <row r="1408" spans="2:46" x14ac:dyDescent="0.25">
      <c r="B1408" s="44"/>
      <c r="D1408" s="349"/>
      <c r="E1408" s="33"/>
      <c r="F1408" s="33"/>
      <c r="G1408" s="33"/>
      <c r="H1408" s="33"/>
      <c r="I1408" s="33"/>
      <c r="J1408" s="33"/>
      <c r="K1408" s="33"/>
      <c r="L1408" s="561"/>
      <c r="M1408" s="33"/>
      <c r="N1408" s="33"/>
      <c r="O1408" s="33"/>
      <c r="P1408" s="184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44"/>
      <c r="AP1408" s="37"/>
      <c r="AQ1408" s="27"/>
      <c r="AR1408" s="57"/>
      <c r="AS1408" s="56">
        <f>Tabela4[[#This Row],[Total R$]]-Tabela4[[#This Row],[Total Pago]]</f>
        <v>0</v>
      </c>
      <c r="AT1408" s="36"/>
    </row>
    <row r="1409" spans="2:46" x14ac:dyDescent="0.25">
      <c r="B1409" s="44"/>
      <c r="D1409" s="349"/>
      <c r="E1409" s="33"/>
      <c r="F1409" s="33"/>
      <c r="G1409" s="33"/>
      <c r="H1409" s="33"/>
      <c r="I1409" s="33"/>
      <c r="J1409" s="33"/>
      <c r="K1409" s="33"/>
      <c r="L1409" s="561"/>
      <c r="M1409" s="33"/>
      <c r="N1409" s="33"/>
      <c r="O1409" s="33"/>
      <c r="P1409" s="184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44"/>
      <c r="AP1409" s="37"/>
      <c r="AQ1409" s="27"/>
      <c r="AR1409" s="57"/>
      <c r="AS1409" s="56">
        <f>Tabela4[[#This Row],[Total R$]]-Tabela4[[#This Row],[Total Pago]]</f>
        <v>0</v>
      </c>
      <c r="AT1409" s="36"/>
    </row>
    <row r="1410" spans="2:46" x14ac:dyDescent="0.25">
      <c r="B1410" s="44"/>
      <c r="D1410" s="349"/>
      <c r="E1410" s="33"/>
      <c r="F1410" s="33"/>
      <c r="G1410" s="33"/>
      <c r="H1410" s="33"/>
      <c r="I1410" s="33"/>
      <c r="J1410" s="33"/>
      <c r="K1410" s="33"/>
      <c r="L1410" s="561"/>
      <c r="M1410" s="33"/>
      <c r="N1410" s="33"/>
      <c r="O1410" s="33"/>
      <c r="P1410" s="184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44"/>
      <c r="AP1410" s="37"/>
      <c r="AQ1410" s="27"/>
      <c r="AR1410" s="57"/>
      <c r="AS1410" s="56">
        <f>Tabela4[[#This Row],[Total R$]]-Tabela4[[#This Row],[Total Pago]]</f>
        <v>0</v>
      </c>
      <c r="AT1410" s="36"/>
    </row>
    <row r="1411" spans="2:46" x14ac:dyDescent="0.25">
      <c r="B1411" s="44"/>
      <c r="D1411" s="349"/>
      <c r="E1411" s="33"/>
      <c r="F1411" s="33"/>
      <c r="G1411" s="33"/>
      <c r="H1411" s="33"/>
      <c r="I1411" s="33"/>
      <c r="J1411" s="33"/>
      <c r="K1411" s="33"/>
      <c r="L1411" s="561"/>
      <c r="M1411" s="33"/>
      <c r="N1411" s="33"/>
      <c r="O1411" s="33"/>
      <c r="P1411" s="184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44"/>
      <c r="AP1411" s="37"/>
      <c r="AQ1411" s="27"/>
      <c r="AR1411" s="57"/>
      <c r="AS1411" s="56">
        <f>Tabela4[[#This Row],[Total R$]]-Tabela4[[#This Row],[Total Pago]]</f>
        <v>0</v>
      </c>
      <c r="AT1411" s="36"/>
    </row>
    <row r="1412" spans="2:46" x14ac:dyDescent="0.25">
      <c r="B1412" s="44"/>
      <c r="D1412" s="349"/>
      <c r="E1412" s="33"/>
      <c r="F1412" s="33"/>
      <c r="G1412" s="33"/>
      <c r="H1412" s="33"/>
      <c r="I1412" s="33"/>
      <c r="J1412" s="33"/>
      <c r="K1412" s="33"/>
      <c r="L1412" s="561"/>
      <c r="M1412" s="33"/>
      <c r="N1412" s="33"/>
      <c r="O1412" s="33"/>
      <c r="P1412" s="184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44"/>
      <c r="AP1412" s="37"/>
      <c r="AQ1412" s="27"/>
      <c r="AR1412" s="57"/>
      <c r="AS1412" s="56">
        <f>Tabela4[[#This Row],[Total R$]]-Tabela4[[#This Row],[Total Pago]]</f>
        <v>0</v>
      </c>
      <c r="AT1412" s="36"/>
    </row>
    <row r="1413" spans="2:46" x14ac:dyDescent="0.25">
      <c r="B1413" s="44"/>
      <c r="D1413" s="349"/>
      <c r="E1413" s="33"/>
      <c r="F1413" s="33"/>
      <c r="G1413" s="33"/>
      <c r="H1413" s="33"/>
      <c r="I1413" s="33"/>
      <c r="J1413" s="33"/>
      <c r="K1413" s="33"/>
      <c r="L1413" s="561"/>
      <c r="M1413" s="33"/>
      <c r="N1413" s="33"/>
      <c r="O1413" s="33"/>
      <c r="P1413" s="184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44"/>
      <c r="AP1413" s="37"/>
      <c r="AQ1413" s="27"/>
      <c r="AR1413" s="57"/>
      <c r="AS1413" s="56">
        <f>Tabela4[[#This Row],[Total R$]]-Tabela4[[#This Row],[Total Pago]]</f>
        <v>0</v>
      </c>
      <c r="AT1413" s="36"/>
    </row>
    <row r="1414" spans="2:46" x14ac:dyDescent="0.25">
      <c r="B1414" s="44"/>
      <c r="D1414" s="349"/>
      <c r="E1414" s="33"/>
      <c r="F1414" s="33"/>
      <c r="G1414" s="33"/>
      <c r="H1414" s="33"/>
      <c r="I1414" s="33"/>
      <c r="J1414" s="33"/>
      <c r="K1414" s="33"/>
      <c r="L1414" s="561"/>
      <c r="M1414" s="33"/>
      <c r="N1414" s="33"/>
      <c r="O1414" s="33"/>
      <c r="P1414" s="184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44"/>
      <c r="AP1414" s="37"/>
      <c r="AQ1414" s="27"/>
      <c r="AR1414" s="57"/>
      <c r="AS1414" s="56">
        <f>Tabela4[[#This Row],[Total R$]]-Tabela4[[#This Row],[Total Pago]]</f>
        <v>0</v>
      </c>
      <c r="AT1414" s="36"/>
    </row>
    <row r="1415" spans="2:46" x14ac:dyDescent="0.25">
      <c r="B1415" s="44"/>
      <c r="D1415" s="349"/>
      <c r="E1415" s="33"/>
      <c r="F1415" s="33"/>
      <c r="G1415" s="33"/>
      <c r="H1415" s="33"/>
      <c r="I1415" s="33"/>
      <c r="J1415" s="33"/>
      <c r="K1415" s="33"/>
      <c r="L1415" s="561"/>
      <c r="M1415" s="33"/>
      <c r="N1415" s="33"/>
      <c r="O1415" s="33"/>
      <c r="P1415" s="184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44"/>
      <c r="AP1415" s="37"/>
      <c r="AQ1415" s="27"/>
      <c r="AR1415" s="57"/>
      <c r="AS1415" s="56">
        <f>Tabela4[[#This Row],[Total R$]]-Tabela4[[#This Row],[Total Pago]]</f>
        <v>0</v>
      </c>
      <c r="AT1415" s="36"/>
    </row>
    <row r="1416" spans="2:46" x14ac:dyDescent="0.25">
      <c r="B1416" s="44"/>
      <c r="D1416" s="349"/>
      <c r="E1416" s="33"/>
      <c r="F1416" s="33"/>
      <c r="G1416" s="33"/>
      <c r="H1416" s="33"/>
      <c r="I1416" s="33"/>
      <c r="J1416" s="33"/>
      <c r="K1416" s="33"/>
      <c r="L1416" s="561"/>
      <c r="M1416" s="33"/>
      <c r="N1416" s="33"/>
      <c r="O1416" s="33"/>
      <c r="P1416" s="184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44"/>
      <c r="AP1416" s="37"/>
      <c r="AQ1416" s="27"/>
      <c r="AR1416" s="57"/>
      <c r="AS1416" s="56">
        <f>Tabela4[[#This Row],[Total R$]]-Tabela4[[#This Row],[Total Pago]]</f>
        <v>0</v>
      </c>
      <c r="AT1416" s="36"/>
    </row>
    <row r="1417" spans="2:46" x14ac:dyDescent="0.25">
      <c r="B1417" s="44"/>
      <c r="D1417" s="349"/>
      <c r="E1417" s="33"/>
      <c r="F1417" s="33"/>
      <c r="G1417" s="33"/>
      <c r="H1417" s="33"/>
      <c r="I1417" s="33"/>
      <c r="J1417" s="33"/>
      <c r="K1417" s="33"/>
      <c r="L1417" s="561"/>
      <c r="M1417" s="33"/>
      <c r="N1417" s="33"/>
      <c r="O1417" s="33"/>
      <c r="P1417" s="184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44"/>
      <c r="AP1417" s="37"/>
      <c r="AQ1417" s="27"/>
      <c r="AR1417" s="57"/>
      <c r="AS1417" s="56">
        <f>Tabela4[[#This Row],[Total R$]]-Tabela4[[#This Row],[Total Pago]]</f>
        <v>0</v>
      </c>
      <c r="AT1417" s="36"/>
    </row>
    <row r="1418" spans="2:46" x14ac:dyDescent="0.25">
      <c r="B1418" s="44"/>
      <c r="D1418" s="349"/>
      <c r="E1418" s="33"/>
      <c r="F1418" s="33"/>
      <c r="G1418" s="33"/>
      <c r="H1418" s="33"/>
      <c r="I1418" s="33"/>
      <c r="J1418" s="33"/>
      <c r="K1418" s="33"/>
      <c r="L1418" s="561"/>
      <c r="M1418" s="33"/>
      <c r="N1418" s="33"/>
      <c r="O1418" s="33"/>
      <c r="P1418" s="184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44"/>
      <c r="AP1418" s="37"/>
      <c r="AQ1418" s="27"/>
      <c r="AR1418" s="57"/>
      <c r="AS1418" s="56">
        <f>Tabela4[[#This Row],[Total R$]]-Tabela4[[#This Row],[Total Pago]]</f>
        <v>0</v>
      </c>
      <c r="AT1418" s="36"/>
    </row>
    <row r="1419" spans="2:46" x14ac:dyDescent="0.25">
      <c r="B1419" s="44"/>
      <c r="D1419" s="349"/>
      <c r="E1419" s="33"/>
      <c r="F1419" s="33"/>
      <c r="G1419" s="33"/>
      <c r="H1419" s="33"/>
      <c r="I1419" s="33"/>
      <c r="J1419" s="33"/>
      <c r="K1419" s="33"/>
      <c r="L1419" s="561"/>
      <c r="M1419" s="33"/>
      <c r="N1419" s="33"/>
      <c r="O1419" s="33"/>
      <c r="P1419" s="184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44"/>
      <c r="AP1419" s="37"/>
      <c r="AQ1419" s="27"/>
      <c r="AR1419" s="57"/>
      <c r="AS1419" s="56">
        <f>Tabela4[[#This Row],[Total R$]]-Tabela4[[#This Row],[Total Pago]]</f>
        <v>0</v>
      </c>
      <c r="AT1419" s="36"/>
    </row>
    <row r="1420" spans="2:46" x14ac:dyDescent="0.25">
      <c r="B1420" s="44"/>
      <c r="D1420" s="349"/>
      <c r="E1420" s="33"/>
      <c r="F1420" s="33"/>
      <c r="G1420" s="33"/>
      <c r="H1420" s="33"/>
      <c r="I1420" s="33"/>
      <c r="J1420" s="33"/>
      <c r="K1420" s="33"/>
      <c r="L1420" s="561"/>
      <c r="M1420" s="33"/>
      <c r="N1420" s="33"/>
      <c r="O1420" s="33"/>
      <c r="P1420" s="184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44"/>
      <c r="AP1420" s="37"/>
      <c r="AQ1420" s="27"/>
      <c r="AR1420" s="57"/>
      <c r="AS1420" s="56">
        <f>Tabela4[[#This Row],[Total R$]]-Tabela4[[#This Row],[Total Pago]]</f>
        <v>0</v>
      </c>
      <c r="AT1420" s="36"/>
    </row>
    <row r="1421" spans="2:46" x14ac:dyDescent="0.25">
      <c r="B1421" s="44"/>
      <c r="D1421" s="349"/>
      <c r="E1421" s="33"/>
      <c r="F1421" s="33"/>
      <c r="G1421" s="33"/>
      <c r="H1421" s="33"/>
      <c r="I1421" s="33"/>
      <c r="J1421" s="33"/>
      <c r="K1421" s="33"/>
      <c r="L1421" s="561"/>
      <c r="M1421" s="33"/>
      <c r="N1421" s="33"/>
      <c r="O1421" s="33"/>
      <c r="P1421" s="184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44"/>
      <c r="AP1421" s="37"/>
      <c r="AQ1421" s="27"/>
      <c r="AR1421" s="57"/>
      <c r="AS1421" s="56">
        <f>Tabela4[[#This Row],[Total R$]]-Tabela4[[#This Row],[Total Pago]]</f>
        <v>0</v>
      </c>
      <c r="AT1421" s="36"/>
    </row>
    <row r="1422" spans="2:46" x14ac:dyDescent="0.25">
      <c r="B1422" s="44"/>
      <c r="D1422" s="349"/>
      <c r="E1422" s="33"/>
      <c r="F1422" s="33"/>
      <c r="G1422" s="33"/>
      <c r="H1422" s="33"/>
      <c r="I1422" s="33"/>
      <c r="J1422" s="33"/>
      <c r="K1422" s="33"/>
      <c r="L1422" s="561"/>
      <c r="M1422" s="33"/>
      <c r="N1422" s="33"/>
      <c r="O1422" s="33"/>
      <c r="P1422" s="184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44"/>
      <c r="AP1422" s="37"/>
      <c r="AQ1422" s="27"/>
      <c r="AR1422" s="57"/>
      <c r="AS1422" s="56">
        <f>Tabela4[[#This Row],[Total R$]]-Tabela4[[#This Row],[Total Pago]]</f>
        <v>0</v>
      </c>
      <c r="AT1422" s="36"/>
    </row>
    <row r="1423" spans="2:46" x14ac:dyDescent="0.25">
      <c r="B1423" s="44"/>
      <c r="D1423" s="349"/>
      <c r="E1423" s="33"/>
      <c r="F1423" s="33"/>
      <c r="G1423" s="33"/>
      <c r="H1423" s="33"/>
      <c r="I1423" s="33"/>
      <c r="J1423" s="33"/>
      <c r="K1423" s="33"/>
      <c r="L1423" s="561"/>
      <c r="M1423" s="33"/>
      <c r="N1423" s="33"/>
      <c r="O1423" s="33"/>
      <c r="P1423" s="184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44"/>
      <c r="AP1423" s="37"/>
      <c r="AQ1423" s="27"/>
      <c r="AR1423" s="57"/>
      <c r="AS1423" s="56">
        <f>Tabela4[[#This Row],[Total R$]]-Tabela4[[#This Row],[Total Pago]]</f>
        <v>0</v>
      </c>
      <c r="AT1423" s="36"/>
    </row>
    <row r="1424" spans="2:46" x14ac:dyDescent="0.25">
      <c r="B1424" s="44"/>
      <c r="D1424" s="349"/>
      <c r="E1424" s="33"/>
      <c r="F1424" s="33"/>
      <c r="G1424" s="33"/>
      <c r="H1424" s="33"/>
      <c r="I1424" s="33"/>
      <c r="J1424" s="33"/>
      <c r="K1424" s="33"/>
      <c r="L1424" s="561"/>
      <c r="M1424" s="33"/>
      <c r="N1424" s="33"/>
      <c r="O1424" s="33"/>
      <c r="P1424" s="184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44"/>
      <c r="AP1424" s="37"/>
      <c r="AQ1424" s="27"/>
      <c r="AR1424" s="57"/>
      <c r="AS1424" s="56">
        <f>Tabela4[[#This Row],[Total R$]]-Tabela4[[#This Row],[Total Pago]]</f>
        <v>0</v>
      </c>
      <c r="AT1424" s="36"/>
    </row>
    <row r="1425" spans="2:46" x14ac:dyDescent="0.25">
      <c r="B1425" s="44"/>
      <c r="D1425" s="349"/>
      <c r="E1425" s="33"/>
      <c r="F1425" s="33"/>
      <c r="G1425" s="33"/>
      <c r="H1425" s="33"/>
      <c r="I1425" s="33"/>
      <c r="J1425" s="33"/>
      <c r="K1425" s="33"/>
      <c r="L1425" s="561"/>
      <c r="M1425" s="33"/>
      <c r="N1425" s="33"/>
      <c r="O1425" s="33"/>
      <c r="P1425" s="184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44"/>
      <c r="AP1425" s="37"/>
      <c r="AQ1425" s="27"/>
      <c r="AR1425" s="57"/>
      <c r="AS1425" s="56">
        <f>Tabela4[[#This Row],[Total R$]]-Tabela4[[#This Row],[Total Pago]]</f>
        <v>0</v>
      </c>
      <c r="AT1425" s="36"/>
    </row>
    <row r="1426" spans="2:46" x14ac:dyDescent="0.25">
      <c r="B1426" s="44"/>
      <c r="D1426" s="349"/>
      <c r="E1426" s="33"/>
      <c r="F1426" s="33"/>
      <c r="G1426" s="33"/>
      <c r="H1426" s="33"/>
      <c r="I1426" s="33"/>
      <c r="J1426" s="33"/>
      <c r="K1426" s="33"/>
      <c r="L1426" s="561"/>
      <c r="M1426" s="33"/>
      <c r="N1426" s="33"/>
      <c r="O1426" s="33"/>
      <c r="P1426" s="184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44"/>
      <c r="AP1426" s="37"/>
      <c r="AQ1426" s="27"/>
      <c r="AR1426" s="57"/>
      <c r="AS1426" s="56">
        <f>Tabela4[[#This Row],[Total R$]]-Tabela4[[#This Row],[Total Pago]]</f>
        <v>0</v>
      </c>
      <c r="AT1426" s="36"/>
    </row>
    <row r="1427" spans="2:46" x14ac:dyDescent="0.25">
      <c r="B1427" s="44"/>
      <c r="D1427" s="349"/>
      <c r="E1427" s="33"/>
      <c r="F1427" s="33"/>
      <c r="G1427" s="33"/>
      <c r="H1427" s="33"/>
      <c r="I1427" s="33"/>
      <c r="J1427" s="33"/>
      <c r="K1427" s="33"/>
      <c r="L1427" s="561"/>
      <c r="M1427" s="33"/>
      <c r="N1427" s="33"/>
      <c r="O1427" s="33"/>
      <c r="P1427" s="184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44"/>
      <c r="AP1427" s="37"/>
      <c r="AQ1427" s="27"/>
      <c r="AR1427" s="57"/>
      <c r="AS1427" s="56">
        <f>Tabela4[[#This Row],[Total R$]]-Tabela4[[#This Row],[Total Pago]]</f>
        <v>0</v>
      </c>
      <c r="AT1427" s="36"/>
    </row>
    <row r="1428" spans="2:46" x14ac:dyDescent="0.25">
      <c r="B1428" s="44"/>
      <c r="D1428" s="349"/>
      <c r="E1428" s="33"/>
      <c r="F1428" s="33"/>
      <c r="G1428" s="33"/>
      <c r="H1428" s="33"/>
      <c r="I1428" s="33"/>
      <c r="J1428" s="33"/>
      <c r="K1428" s="33"/>
      <c r="L1428" s="561"/>
      <c r="M1428" s="33"/>
      <c r="N1428" s="33"/>
      <c r="O1428" s="33"/>
      <c r="P1428" s="184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44"/>
      <c r="AP1428" s="37"/>
      <c r="AQ1428" s="27"/>
      <c r="AR1428" s="57"/>
      <c r="AS1428" s="56">
        <f>Tabela4[[#This Row],[Total R$]]-Tabela4[[#This Row],[Total Pago]]</f>
        <v>0</v>
      </c>
      <c r="AT1428" s="36"/>
    </row>
    <row r="1429" spans="2:46" x14ac:dyDescent="0.25">
      <c r="B1429" s="44"/>
      <c r="D1429" s="349"/>
      <c r="E1429" s="33"/>
      <c r="F1429" s="33"/>
      <c r="G1429" s="33"/>
      <c r="H1429" s="33"/>
      <c r="I1429" s="33"/>
      <c r="J1429" s="33"/>
      <c r="K1429" s="33"/>
      <c r="L1429" s="561"/>
      <c r="M1429" s="33"/>
      <c r="N1429" s="33"/>
      <c r="O1429" s="33"/>
      <c r="P1429" s="184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44"/>
      <c r="AP1429" s="37"/>
      <c r="AQ1429" s="27"/>
      <c r="AR1429" s="57"/>
      <c r="AS1429" s="56">
        <f>Tabela4[[#This Row],[Total R$]]-Tabela4[[#This Row],[Total Pago]]</f>
        <v>0</v>
      </c>
      <c r="AT1429" s="36"/>
    </row>
    <row r="1430" spans="2:46" x14ac:dyDescent="0.25">
      <c r="B1430" s="44"/>
      <c r="D1430" s="349"/>
      <c r="E1430" s="33"/>
      <c r="F1430" s="33"/>
      <c r="G1430" s="33"/>
      <c r="H1430" s="33"/>
      <c r="I1430" s="33"/>
      <c r="J1430" s="33"/>
      <c r="K1430" s="33"/>
      <c r="L1430" s="561"/>
      <c r="M1430" s="33"/>
      <c r="N1430" s="33"/>
      <c r="O1430" s="33"/>
      <c r="P1430" s="184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44"/>
      <c r="AP1430" s="37"/>
      <c r="AQ1430" s="27"/>
      <c r="AR1430" s="57"/>
      <c r="AS1430" s="56">
        <f>Tabela4[[#This Row],[Total R$]]-Tabela4[[#This Row],[Total Pago]]</f>
        <v>0</v>
      </c>
      <c r="AT1430" s="36"/>
    </row>
    <row r="1431" spans="2:46" x14ac:dyDescent="0.25">
      <c r="B1431" s="44"/>
      <c r="D1431" s="349"/>
      <c r="E1431" s="33"/>
      <c r="F1431" s="33"/>
      <c r="G1431" s="33"/>
      <c r="H1431" s="33"/>
      <c r="I1431" s="33"/>
      <c r="J1431" s="33"/>
      <c r="K1431" s="33"/>
      <c r="L1431" s="561"/>
      <c r="M1431" s="33"/>
      <c r="N1431" s="33"/>
      <c r="O1431" s="33"/>
      <c r="P1431" s="184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44"/>
      <c r="AP1431" s="37"/>
      <c r="AQ1431" s="27"/>
      <c r="AR1431" s="57"/>
      <c r="AS1431" s="56">
        <f>Tabela4[[#This Row],[Total R$]]-Tabela4[[#This Row],[Total Pago]]</f>
        <v>0</v>
      </c>
      <c r="AT1431" s="36"/>
    </row>
    <row r="1432" spans="2:46" x14ac:dyDescent="0.25">
      <c r="B1432" s="44"/>
      <c r="D1432" s="349"/>
      <c r="E1432" s="33"/>
      <c r="F1432" s="33"/>
      <c r="G1432" s="33"/>
      <c r="H1432" s="33"/>
      <c r="I1432" s="33"/>
      <c r="J1432" s="33"/>
      <c r="K1432" s="33"/>
      <c r="L1432" s="561"/>
      <c r="M1432" s="33"/>
      <c r="N1432" s="33"/>
      <c r="O1432" s="33"/>
      <c r="P1432" s="184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44"/>
      <c r="AP1432" s="37"/>
      <c r="AQ1432" s="27"/>
      <c r="AR1432" s="57"/>
      <c r="AS1432" s="56">
        <f>Tabela4[[#This Row],[Total R$]]-Tabela4[[#This Row],[Total Pago]]</f>
        <v>0</v>
      </c>
      <c r="AT1432" s="36"/>
    </row>
    <row r="1433" spans="2:46" x14ac:dyDescent="0.25">
      <c r="B1433" s="44"/>
      <c r="D1433" s="349"/>
      <c r="E1433" s="33"/>
      <c r="F1433" s="33"/>
      <c r="G1433" s="33"/>
      <c r="H1433" s="33"/>
      <c r="I1433" s="33"/>
      <c r="J1433" s="33"/>
      <c r="K1433" s="33"/>
      <c r="L1433" s="561"/>
      <c r="M1433" s="33"/>
      <c r="N1433" s="33"/>
      <c r="O1433" s="33"/>
      <c r="P1433" s="184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44"/>
      <c r="AP1433" s="37"/>
      <c r="AQ1433" s="27"/>
      <c r="AR1433" s="57"/>
      <c r="AS1433" s="56">
        <f>Tabela4[[#This Row],[Total R$]]-Tabela4[[#This Row],[Total Pago]]</f>
        <v>0</v>
      </c>
      <c r="AT1433" s="36"/>
    </row>
    <row r="1434" spans="2:46" x14ac:dyDescent="0.25">
      <c r="B1434" s="44"/>
      <c r="D1434" s="349"/>
      <c r="E1434" s="33"/>
      <c r="F1434" s="33"/>
      <c r="G1434" s="33"/>
      <c r="H1434" s="33"/>
      <c r="I1434" s="33"/>
      <c r="J1434" s="33"/>
      <c r="K1434" s="33"/>
      <c r="L1434" s="561"/>
      <c r="M1434" s="33"/>
      <c r="N1434" s="33"/>
      <c r="O1434" s="33"/>
      <c r="P1434" s="184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44"/>
      <c r="AP1434" s="37"/>
      <c r="AQ1434" s="27"/>
      <c r="AR1434" s="57"/>
      <c r="AS1434" s="56">
        <f>Tabela4[[#This Row],[Total R$]]-Tabela4[[#This Row],[Total Pago]]</f>
        <v>0</v>
      </c>
      <c r="AT1434" s="36"/>
    </row>
    <row r="1435" spans="2:46" x14ac:dyDescent="0.25">
      <c r="B1435" s="44"/>
      <c r="D1435" s="349"/>
      <c r="E1435" s="33"/>
      <c r="F1435" s="33"/>
      <c r="G1435" s="33"/>
      <c r="H1435" s="33"/>
      <c r="I1435" s="33"/>
      <c r="J1435" s="33"/>
      <c r="K1435" s="33"/>
      <c r="L1435" s="561"/>
      <c r="M1435" s="33"/>
      <c r="N1435" s="33"/>
      <c r="O1435" s="33"/>
      <c r="P1435" s="184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44"/>
      <c r="AP1435" s="37"/>
      <c r="AQ1435" s="27"/>
      <c r="AR1435" s="57"/>
      <c r="AS1435" s="56">
        <f>Tabela4[[#This Row],[Total R$]]-Tabela4[[#This Row],[Total Pago]]</f>
        <v>0</v>
      </c>
      <c r="AT1435" s="36"/>
    </row>
    <row r="1436" spans="2:46" x14ac:dyDescent="0.25">
      <c r="B1436" s="44"/>
      <c r="D1436" s="349"/>
      <c r="E1436" s="33"/>
      <c r="F1436" s="33"/>
      <c r="G1436" s="33"/>
      <c r="H1436" s="33"/>
      <c r="I1436" s="33"/>
      <c r="J1436" s="33"/>
      <c r="K1436" s="33"/>
      <c r="L1436" s="561"/>
      <c r="M1436" s="33"/>
      <c r="N1436" s="33"/>
      <c r="O1436" s="33"/>
      <c r="P1436" s="184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44"/>
      <c r="AP1436" s="37"/>
      <c r="AQ1436" s="27"/>
      <c r="AR1436" s="57"/>
      <c r="AS1436" s="56">
        <f>Tabela4[[#This Row],[Total R$]]-Tabela4[[#This Row],[Total Pago]]</f>
        <v>0</v>
      </c>
      <c r="AT1436" s="36"/>
    </row>
    <row r="1437" spans="2:46" x14ac:dyDescent="0.25">
      <c r="B1437" s="44"/>
      <c r="D1437" s="349"/>
      <c r="E1437" s="33"/>
      <c r="F1437" s="33"/>
      <c r="G1437" s="33"/>
      <c r="H1437" s="33"/>
      <c r="I1437" s="33"/>
      <c r="J1437" s="33"/>
      <c r="K1437" s="33"/>
      <c r="L1437" s="561"/>
      <c r="M1437" s="33"/>
      <c r="N1437" s="33"/>
      <c r="O1437" s="33"/>
      <c r="P1437" s="184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44"/>
      <c r="AP1437" s="37"/>
      <c r="AQ1437" s="27"/>
      <c r="AR1437" s="57"/>
      <c r="AS1437" s="56">
        <f>Tabela4[[#This Row],[Total R$]]-Tabela4[[#This Row],[Total Pago]]</f>
        <v>0</v>
      </c>
      <c r="AT1437" s="36"/>
    </row>
    <row r="1438" spans="2:46" x14ac:dyDescent="0.25">
      <c r="B1438" s="44"/>
      <c r="D1438" s="349"/>
      <c r="E1438" s="33"/>
      <c r="F1438" s="33"/>
      <c r="G1438" s="33"/>
      <c r="H1438" s="33"/>
      <c r="I1438" s="33"/>
      <c r="J1438" s="33"/>
      <c r="K1438" s="33"/>
      <c r="L1438" s="561"/>
      <c r="M1438" s="33"/>
      <c r="N1438" s="33"/>
      <c r="O1438" s="33"/>
      <c r="P1438" s="184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44"/>
      <c r="AP1438" s="37"/>
      <c r="AQ1438" s="27"/>
      <c r="AR1438" s="57"/>
      <c r="AS1438" s="56">
        <f>Tabela4[[#This Row],[Total R$]]-Tabela4[[#This Row],[Total Pago]]</f>
        <v>0</v>
      </c>
      <c r="AT1438" s="36"/>
    </row>
    <row r="1439" spans="2:46" x14ac:dyDescent="0.25">
      <c r="B1439" s="44"/>
      <c r="D1439" s="349"/>
      <c r="E1439" s="33"/>
      <c r="F1439" s="33"/>
      <c r="G1439" s="33"/>
      <c r="H1439" s="33"/>
      <c r="I1439" s="33"/>
      <c r="J1439" s="33"/>
      <c r="K1439" s="33"/>
      <c r="L1439" s="561"/>
      <c r="M1439" s="33"/>
      <c r="N1439" s="33"/>
      <c r="O1439" s="33"/>
      <c r="P1439" s="184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44"/>
      <c r="AP1439" s="37"/>
      <c r="AQ1439" s="27"/>
      <c r="AR1439" s="57"/>
      <c r="AS1439" s="56">
        <f>Tabela4[[#This Row],[Total R$]]-Tabela4[[#This Row],[Total Pago]]</f>
        <v>0</v>
      </c>
      <c r="AT1439" s="36"/>
    </row>
    <row r="1440" spans="2:46" x14ac:dyDescent="0.25">
      <c r="B1440" s="44"/>
      <c r="D1440" s="349"/>
      <c r="E1440" s="33"/>
      <c r="F1440" s="33"/>
      <c r="G1440" s="33"/>
      <c r="H1440" s="33"/>
      <c r="I1440" s="33"/>
      <c r="J1440" s="33"/>
      <c r="K1440" s="33"/>
      <c r="L1440" s="561"/>
      <c r="M1440" s="33"/>
      <c r="N1440" s="33"/>
      <c r="O1440" s="33"/>
      <c r="P1440" s="184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44"/>
      <c r="AP1440" s="37"/>
      <c r="AQ1440" s="27"/>
      <c r="AR1440" s="57"/>
      <c r="AS1440" s="56">
        <f>Tabela4[[#This Row],[Total R$]]-Tabela4[[#This Row],[Total Pago]]</f>
        <v>0</v>
      </c>
      <c r="AT1440" s="36"/>
    </row>
    <row r="1441" spans="2:46" x14ac:dyDescent="0.25">
      <c r="B1441" s="44"/>
      <c r="D1441" s="349"/>
      <c r="E1441" s="33"/>
      <c r="F1441" s="33"/>
      <c r="G1441" s="33"/>
      <c r="H1441" s="33"/>
      <c r="I1441" s="33"/>
      <c r="J1441" s="33"/>
      <c r="K1441" s="33"/>
      <c r="L1441" s="561"/>
      <c r="M1441" s="33"/>
      <c r="N1441" s="33"/>
      <c r="O1441" s="33"/>
      <c r="P1441" s="184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44"/>
      <c r="AP1441" s="37"/>
      <c r="AQ1441" s="27"/>
      <c r="AR1441" s="57"/>
      <c r="AS1441" s="56">
        <f>Tabela4[[#This Row],[Total R$]]-Tabela4[[#This Row],[Total Pago]]</f>
        <v>0</v>
      </c>
      <c r="AT1441" s="36"/>
    </row>
    <row r="1442" spans="2:46" x14ac:dyDescent="0.25">
      <c r="B1442" s="44"/>
      <c r="D1442" s="349"/>
      <c r="E1442" s="33"/>
      <c r="F1442" s="33"/>
      <c r="G1442" s="33"/>
      <c r="H1442" s="33"/>
      <c r="I1442" s="33"/>
      <c r="J1442" s="33"/>
      <c r="K1442" s="33"/>
      <c r="L1442" s="561"/>
      <c r="M1442" s="33"/>
      <c r="N1442" s="33"/>
      <c r="O1442" s="33"/>
      <c r="P1442" s="184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44"/>
      <c r="AP1442" s="37"/>
      <c r="AQ1442" s="27"/>
      <c r="AR1442" s="57"/>
      <c r="AS1442" s="56">
        <f>Tabela4[[#This Row],[Total R$]]-Tabela4[[#This Row],[Total Pago]]</f>
        <v>0</v>
      </c>
      <c r="AT1442" s="36"/>
    </row>
    <row r="1443" spans="2:46" x14ac:dyDescent="0.25">
      <c r="B1443" s="44"/>
      <c r="D1443" s="349"/>
      <c r="E1443" s="33"/>
      <c r="F1443" s="33"/>
      <c r="G1443" s="33"/>
      <c r="H1443" s="33"/>
      <c r="I1443" s="33"/>
      <c r="J1443" s="33"/>
      <c r="K1443" s="33"/>
      <c r="L1443" s="561"/>
      <c r="M1443" s="33"/>
      <c r="N1443" s="33"/>
      <c r="O1443" s="33"/>
      <c r="P1443" s="184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44"/>
      <c r="AP1443" s="37"/>
      <c r="AQ1443" s="27"/>
      <c r="AR1443" s="57"/>
      <c r="AS1443" s="56">
        <f>Tabela4[[#This Row],[Total R$]]-Tabela4[[#This Row],[Total Pago]]</f>
        <v>0</v>
      </c>
      <c r="AT1443" s="36"/>
    </row>
    <row r="1444" spans="2:46" x14ac:dyDescent="0.25">
      <c r="B1444" s="44"/>
      <c r="D1444" s="349"/>
      <c r="E1444" s="33"/>
      <c r="F1444" s="33"/>
      <c r="G1444" s="33"/>
      <c r="H1444" s="33"/>
      <c r="I1444" s="33"/>
      <c r="J1444" s="33"/>
      <c r="K1444" s="33"/>
      <c r="L1444" s="561"/>
      <c r="M1444" s="33"/>
      <c r="N1444" s="33"/>
      <c r="O1444" s="33"/>
      <c r="P1444" s="184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44"/>
      <c r="AP1444" s="37"/>
      <c r="AQ1444" s="27"/>
      <c r="AR1444" s="57"/>
      <c r="AS1444" s="56">
        <f>Tabela4[[#This Row],[Total R$]]-Tabela4[[#This Row],[Total Pago]]</f>
        <v>0</v>
      </c>
      <c r="AT1444" s="36"/>
    </row>
    <row r="1445" spans="2:46" x14ac:dyDescent="0.25">
      <c r="B1445" s="44"/>
      <c r="D1445" s="349"/>
      <c r="E1445" s="33"/>
      <c r="F1445" s="33"/>
      <c r="G1445" s="33"/>
      <c r="H1445" s="33"/>
      <c r="I1445" s="33"/>
      <c r="J1445" s="33"/>
      <c r="K1445" s="33"/>
      <c r="L1445" s="561"/>
      <c r="M1445" s="33"/>
      <c r="N1445" s="33"/>
      <c r="O1445" s="33"/>
      <c r="P1445" s="184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44"/>
      <c r="AP1445" s="37"/>
      <c r="AQ1445" s="27"/>
      <c r="AR1445" s="57"/>
      <c r="AS1445" s="56">
        <f>Tabela4[[#This Row],[Total R$]]-Tabela4[[#This Row],[Total Pago]]</f>
        <v>0</v>
      </c>
      <c r="AT1445" s="36"/>
    </row>
    <row r="1446" spans="2:46" x14ac:dyDescent="0.25">
      <c r="B1446" s="44"/>
      <c r="D1446" s="349"/>
      <c r="E1446" s="33"/>
      <c r="F1446" s="33"/>
      <c r="G1446" s="33"/>
      <c r="H1446" s="33"/>
      <c r="I1446" s="33"/>
      <c r="J1446" s="33"/>
      <c r="K1446" s="33"/>
      <c r="L1446" s="561"/>
      <c r="M1446" s="33"/>
      <c r="N1446" s="33"/>
      <c r="O1446" s="33"/>
      <c r="P1446" s="184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44"/>
      <c r="AP1446" s="37"/>
      <c r="AQ1446" s="27"/>
      <c r="AR1446" s="57"/>
      <c r="AS1446" s="56">
        <f>Tabela4[[#This Row],[Total R$]]-Tabela4[[#This Row],[Total Pago]]</f>
        <v>0</v>
      </c>
      <c r="AT1446" s="36"/>
    </row>
    <row r="1447" spans="2:46" x14ac:dyDescent="0.25">
      <c r="B1447" s="44"/>
      <c r="D1447" s="349"/>
      <c r="E1447" s="33"/>
      <c r="F1447" s="33"/>
      <c r="G1447" s="33"/>
      <c r="H1447" s="33"/>
      <c r="I1447" s="33"/>
      <c r="J1447" s="33"/>
      <c r="K1447" s="33"/>
      <c r="L1447" s="561"/>
      <c r="M1447" s="33"/>
      <c r="N1447" s="33"/>
      <c r="O1447" s="33"/>
      <c r="P1447" s="184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44"/>
      <c r="AP1447" s="37"/>
      <c r="AQ1447" s="27"/>
      <c r="AR1447" s="57"/>
      <c r="AS1447" s="56">
        <f>Tabela4[[#This Row],[Total R$]]-Tabela4[[#This Row],[Total Pago]]</f>
        <v>0</v>
      </c>
      <c r="AT1447" s="36"/>
    </row>
    <row r="1448" spans="2:46" x14ac:dyDescent="0.25">
      <c r="B1448" s="44"/>
      <c r="D1448" s="349"/>
      <c r="E1448" s="33"/>
      <c r="F1448" s="33"/>
      <c r="G1448" s="33"/>
      <c r="H1448" s="33"/>
      <c r="I1448" s="33"/>
      <c r="J1448" s="33"/>
      <c r="K1448" s="33"/>
      <c r="L1448" s="561"/>
      <c r="M1448" s="33"/>
      <c r="N1448" s="33"/>
      <c r="O1448" s="33"/>
      <c r="P1448" s="184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44"/>
      <c r="AP1448" s="37"/>
      <c r="AQ1448" s="27"/>
      <c r="AR1448" s="57"/>
      <c r="AS1448" s="56">
        <f>Tabela4[[#This Row],[Total R$]]-Tabela4[[#This Row],[Total Pago]]</f>
        <v>0</v>
      </c>
      <c r="AT1448" s="36"/>
    </row>
    <row r="1449" spans="2:46" x14ac:dyDescent="0.25">
      <c r="B1449" s="44"/>
      <c r="D1449" s="349"/>
      <c r="E1449" s="33"/>
      <c r="F1449" s="33"/>
      <c r="G1449" s="33"/>
      <c r="H1449" s="33"/>
      <c r="I1449" s="33"/>
      <c r="J1449" s="33"/>
      <c r="K1449" s="33"/>
      <c r="L1449" s="561"/>
      <c r="M1449" s="33"/>
      <c r="N1449" s="33"/>
      <c r="O1449" s="33"/>
      <c r="P1449" s="184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44"/>
      <c r="AP1449" s="37"/>
      <c r="AQ1449" s="27"/>
      <c r="AR1449" s="57"/>
      <c r="AS1449" s="56">
        <f>Tabela4[[#This Row],[Total R$]]-Tabela4[[#This Row],[Total Pago]]</f>
        <v>0</v>
      </c>
      <c r="AT1449" s="36"/>
    </row>
    <row r="1450" spans="2:46" x14ac:dyDescent="0.25">
      <c r="B1450" s="44"/>
      <c r="D1450" s="349"/>
      <c r="E1450" s="33"/>
      <c r="F1450" s="33"/>
      <c r="G1450" s="33"/>
      <c r="H1450" s="33"/>
      <c r="I1450" s="33"/>
      <c r="J1450" s="33"/>
      <c r="K1450" s="33"/>
      <c r="L1450" s="561"/>
      <c r="M1450" s="33"/>
      <c r="N1450" s="33"/>
      <c r="O1450" s="33"/>
      <c r="P1450" s="184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44"/>
      <c r="AP1450" s="37"/>
      <c r="AQ1450" s="27"/>
      <c r="AR1450" s="57"/>
      <c r="AS1450" s="56">
        <f>Tabela4[[#This Row],[Total R$]]-Tabela4[[#This Row],[Total Pago]]</f>
        <v>0</v>
      </c>
      <c r="AT1450" s="36"/>
    </row>
    <row r="1451" spans="2:46" x14ac:dyDescent="0.25">
      <c r="B1451" s="44"/>
      <c r="D1451" s="349"/>
      <c r="E1451" s="33"/>
      <c r="F1451" s="33"/>
      <c r="G1451" s="33"/>
      <c r="H1451" s="33"/>
      <c r="I1451" s="33"/>
      <c r="J1451" s="33"/>
      <c r="K1451" s="33"/>
      <c r="L1451" s="561"/>
      <c r="M1451" s="33"/>
      <c r="N1451" s="33"/>
      <c r="O1451" s="33"/>
      <c r="P1451" s="184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44"/>
      <c r="AP1451" s="37"/>
      <c r="AQ1451" s="27"/>
      <c r="AR1451" s="57"/>
      <c r="AS1451" s="56">
        <f>Tabela4[[#This Row],[Total R$]]-Tabela4[[#This Row],[Total Pago]]</f>
        <v>0</v>
      </c>
      <c r="AT1451" s="36"/>
    </row>
    <row r="1452" spans="2:46" x14ac:dyDescent="0.25">
      <c r="B1452" s="44"/>
      <c r="D1452" s="349"/>
      <c r="E1452" s="33"/>
      <c r="F1452" s="33"/>
      <c r="G1452" s="33"/>
      <c r="H1452" s="33"/>
      <c r="I1452" s="33"/>
      <c r="J1452" s="33"/>
      <c r="K1452" s="33"/>
      <c r="L1452" s="561"/>
      <c r="M1452" s="33"/>
      <c r="N1452" s="33"/>
      <c r="O1452" s="33"/>
      <c r="P1452" s="184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44"/>
      <c r="AP1452" s="37"/>
      <c r="AQ1452" s="27"/>
      <c r="AR1452" s="57"/>
      <c r="AS1452" s="56">
        <f>Tabela4[[#This Row],[Total R$]]-Tabela4[[#This Row],[Total Pago]]</f>
        <v>0</v>
      </c>
      <c r="AT1452" s="36"/>
    </row>
    <row r="1453" spans="2:46" x14ac:dyDescent="0.25">
      <c r="B1453" s="44"/>
      <c r="D1453" s="349"/>
      <c r="E1453" s="33"/>
      <c r="F1453" s="33"/>
      <c r="G1453" s="33"/>
      <c r="H1453" s="33"/>
      <c r="I1453" s="33"/>
      <c r="J1453" s="33"/>
      <c r="K1453" s="33"/>
      <c r="L1453" s="561"/>
      <c r="M1453" s="33"/>
      <c r="N1453" s="33"/>
      <c r="O1453" s="33"/>
      <c r="P1453" s="184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44"/>
      <c r="AP1453" s="37"/>
      <c r="AQ1453" s="27"/>
      <c r="AR1453" s="57"/>
      <c r="AS1453" s="56">
        <f>Tabela4[[#This Row],[Total R$]]-Tabela4[[#This Row],[Total Pago]]</f>
        <v>0</v>
      </c>
      <c r="AT1453" s="36"/>
    </row>
    <row r="1454" spans="2:46" x14ac:dyDescent="0.25">
      <c r="B1454" s="44"/>
      <c r="D1454" s="349"/>
      <c r="E1454" s="33"/>
      <c r="F1454" s="33"/>
      <c r="G1454" s="33"/>
      <c r="H1454" s="33"/>
      <c r="I1454" s="33"/>
      <c r="J1454" s="33"/>
      <c r="K1454" s="33"/>
      <c r="L1454" s="561"/>
      <c r="M1454" s="33"/>
      <c r="N1454" s="33"/>
      <c r="O1454" s="33"/>
      <c r="P1454" s="184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44"/>
      <c r="AP1454" s="37"/>
      <c r="AQ1454" s="27"/>
      <c r="AR1454" s="57"/>
      <c r="AS1454" s="56">
        <f>Tabela4[[#This Row],[Total R$]]-Tabela4[[#This Row],[Total Pago]]</f>
        <v>0</v>
      </c>
      <c r="AT1454" s="36"/>
    </row>
    <row r="1455" spans="2:46" x14ac:dyDescent="0.25">
      <c r="B1455" s="44"/>
      <c r="D1455" s="349"/>
      <c r="E1455" s="33"/>
      <c r="F1455" s="33"/>
      <c r="G1455" s="33"/>
      <c r="H1455" s="33"/>
      <c r="I1455" s="33"/>
      <c r="J1455" s="33"/>
      <c r="K1455" s="33"/>
      <c r="L1455" s="561"/>
      <c r="M1455" s="33"/>
      <c r="N1455" s="33"/>
      <c r="O1455" s="33"/>
      <c r="P1455" s="184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44"/>
      <c r="AP1455" s="37"/>
      <c r="AQ1455" s="27"/>
      <c r="AR1455" s="57"/>
      <c r="AS1455" s="56">
        <f>Tabela4[[#This Row],[Total R$]]-Tabela4[[#This Row],[Total Pago]]</f>
        <v>0</v>
      </c>
      <c r="AT1455" s="36"/>
    </row>
    <row r="1456" spans="2:46" x14ac:dyDescent="0.25">
      <c r="B1456" s="44"/>
      <c r="D1456" s="349"/>
      <c r="E1456" s="33"/>
      <c r="F1456" s="33"/>
      <c r="G1456" s="33"/>
      <c r="H1456" s="33"/>
      <c r="I1456" s="33"/>
      <c r="J1456" s="33"/>
      <c r="K1456" s="33"/>
      <c r="L1456" s="561"/>
      <c r="M1456" s="33"/>
      <c r="N1456" s="33"/>
      <c r="O1456" s="33"/>
      <c r="P1456" s="184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44"/>
      <c r="AP1456" s="37"/>
      <c r="AQ1456" s="27"/>
      <c r="AR1456" s="57"/>
      <c r="AS1456" s="56">
        <f>Tabela4[[#This Row],[Total R$]]-Tabela4[[#This Row],[Total Pago]]</f>
        <v>0</v>
      </c>
      <c r="AT1456" s="36"/>
    </row>
    <row r="1457" spans="2:46" x14ac:dyDescent="0.25">
      <c r="B1457" s="44"/>
      <c r="D1457" s="349"/>
      <c r="E1457" s="33"/>
      <c r="F1457" s="33"/>
      <c r="G1457" s="33"/>
      <c r="H1457" s="33"/>
      <c r="I1457" s="33"/>
      <c r="J1457" s="33"/>
      <c r="K1457" s="33"/>
      <c r="L1457" s="561"/>
      <c r="M1457" s="33"/>
      <c r="N1457" s="33"/>
      <c r="O1457" s="33"/>
      <c r="P1457" s="184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44"/>
      <c r="AP1457" s="37"/>
      <c r="AQ1457" s="27"/>
      <c r="AR1457" s="57"/>
      <c r="AS1457" s="56">
        <f>Tabela4[[#This Row],[Total R$]]-Tabela4[[#This Row],[Total Pago]]</f>
        <v>0</v>
      </c>
      <c r="AT1457" s="36"/>
    </row>
    <row r="1458" spans="2:46" x14ac:dyDescent="0.25">
      <c r="B1458" s="44"/>
      <c r="D1458" s="349"/>
      <c r="E1458" s="33"/>
      <c r="F1458" s="33"/>
      <c r="G1458" s="33"/>
      <c r="H1458" s="33"/>
      <c r="I1458" s="33"/>
      <c r="J1458" s="33"/>
      <c r="K1458" s="33"/>
      <c r="L1458" s="561"/>
      <c r="M1458" s="33"/>
      <c r="N1458" s="33"/>
      <c r="O1458" s="33"/>
      <c r="P1458" s="184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44"/>
      <c r="AP1458" s="37"/>
      <c r="AQ1458" s="27"/>
      <c r="AR1458" s="57"/>
      <c r="AS1458" s="56">
        <f>Tabela4[[#This Row],[Total R$]]-Tabela4[[#This Row],[Total Pago]]</f>
        <v>0</v>
      </c>
      <c r="AT1458" s="36"/>
    </row>
    <row r="1459" spans="2:46" x14ac:dyDescent="0.25">
      <c r="B1459" s="44"/>
      <c r="D1459" s="349"/>
      <c r="E1459" s="33"/>
      <c r="F1459" s="33"/>
      <c r="G1459" s="33"/>
      <c r="H1459" s="33"/>
      <c r="I1459" s="33"/>
      <c r="J1459" s="33"/>
      <c r="K1459" s="33"/>
      <c r="L1459" s="561"/>
      <c r="M1459" s="33"/>
      <c r="N1459" s="33"/>
      <c r="O1459" s="33"/>
      <c r="P1459" s="184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44"/>
      <c r="AP1459" s="37"/>
      <c r="AQ1459" s="27"/>
      <c r="AR1459" s="57"/>
      <c r="AS1459" s="56">
        <f>Tabela4[[#This Row],[Total R$]]-Tabela4[[#This Row],[Total Pago]]</f>
        <v>0</v>
      </c>
      <c r="AT1459" s="36"/>
    </row>
    <row r="1460" spans="2:46" x14ac:dyDescent="0.25">
      <c r="B1460" s="44"/>
      <c r="D1460" s="349"/>
      <c r="E1460" s="33"/>
      <c r="F1460" s="33"/>
      <c r="G1460" s="33"/>
      <c r="H1460" s="33"/>
      <c r="I1460" s="33"/>
      <c r="J1460" s="33"/>
      <c r="K1460" s="33"/>
      <c r="L1460" s="561"/>
      <c r="M1460" s="33"/>
      <c r="N1460" s="33"/>
      <c r="O1460" s="33"/>
      <c r="P1460" s="184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44"/>
      <c r="AP1460" s="37"/>
      <c r="AQ1460" s="27"/>
      <c r="AR1460" s="57"/>
      <c r="AS1460" s="56">
        <f>Tabela4[[#This Row],[Total R$]]-Tabela4[[#This Row],[Total Pago]]</f>
        <v>0</v>
      </c>
      <c r="AT1460" s="36"/>
    </row>
    <row r="1461" spans="2:46" x14ac:dyDescent="0.25">
      <c r="B1461" s="44"/>
      <c r="D1461" s="349"/>
      <c r="E1461" s="33"/>
      <c r="F1461" s="33"/>
      <c r="G1461" s="33"/>
      <c r="H1461" s="33"/>
      <c r="I1461" s="33"/>
      <c r="J1461" s="33"/>
      <c r="K1461" s="33"/>
      <c r="L1461" s="561"/>
      <c r="M1461" s="33"/>
      <c r="N1461" s="33"/>
      <c r="O1461" s="33"/>
      <c r="P1461" s="184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44"/>
      <c r="AP1461" s="37"/>
      <c r="AQ1461" s="27"/>
      <c r="AR1461" s="57"/>
      <c r="AS1461" s="56">
        <f>Tabela4[[#This Row],[Total R$]]-Tabela4[[#This Row],[Total Pago]]</f>
        <v>0</v>
      </c>
      <c r="AT1461" s="36"/>
    </row>
    <row r="1462" spans="2:46" x14ac:dyDescent="0.25">
      <c r="B1462" s="44"/>
      <c r="D1462" s="349"/>
      <c r="E1462" s="33"/>
      <c r="F1462" s="33"/>
      <c r="G1462" s="33"/>
      <c r="H1462" s="33"/>
      <c r="I1462" s="33"/>
      <c r="J1462" s="33"/>
      <c r="K1462" s="33"/>
      <c r="L1462" s="561"/>
      <c r="M1462" s="33"/>
      <c r="N1462" s="33"/>
      <c r="O1462" s="33"/>
      <c r="P1462" s="184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44"/>
      <c r="AP1462" s="37"/>
      <c r="AQ1462" s="27"/>
      <c r="AR1462" s="57"/>
      <c r="AS1462" s="56">
        <f>Tabela4[[#This Row],[Total R$]]-Tabela4[[#This Row],[Total Pago]]</f>
        <v>0</v>
      </c>
      <c r="AT1462" s="36"/>
    </row>
    <row r="1463" spans="2:46" x14ac:dyDescent="0.25">
      <c r="B1463" s="44"/>
      <c r="D1463" s="349"/>
      <c r="E1463" s="33"/>
      <c r="F1463" s="33"/>
      <c r="G1463" s="33"/>
      <c r="H1463" s="33"/>
      <c r="I1463" s="33"/>
      <c r="J1463" s="33"/>
      <c r="K1463" s="33"/>
      <c r="L1463" s="561"/>
      <c r="M1463" s="33"/>
      <c r="N1463" s="33"/>
      <c r="O1463" s="33"/>
      <c r="P1463" s="184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44"/>
      <c r="AP1463" s="37"/>
      <c r="AQ1463" s="27"/>
      <c r="AR1463" s="57"/>
      <c r="AS1463" s="56">
        <f>Tabela4[[#This Row],[Total R$]]-Tabela4[[#This Row],[Total Pago]]</f>
        <v>0</v>
      </c>
      <c r="AT1463" s="36"/>
    </row>
    <row r="1464" spans="2:46" x14ac:dyDescent="0.25">
      <c r="B1464" s="44"/>
      <c r="D1464" s="349"/>
      <c r="E1464" s="33"/>
      <c r="F1464" s="33"/>
      <c r="G1464" s="33"/>
      <c r="H1464" s="33"/>
      <c r="I1464" s="33"/>
      <c r="J1464" s="33"/>
      <c r="K1464" s="33"/>
      <c r="L1464" s="561"/>
      <c r="M1464" s="33"/>
      <c r="N1464" s="33"/>
      <c r="O1464" s="33"/>
      <c r="P1464" s="184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44"/>
      <c r="AP1464" s="37"/>
      <c r="AQ1464" s="27"/>
      <c r="AR1464" s="57"/>
      <c r="AS1464" s="56">
        <f>Tabela4[[#This Row],[Total R$]]-Tabela4[[#This Row],[Total Pago]]</f>
        <v>0</v>
      </c>
      <c r="AT1464" s="36"/>
    </row>
    <row r="1465" spans="2:46" x14ac:dyDescent="0.25">
      <c r="B1465" s="44"/>
      <c r="D1465" s="349"/>
      <c r="E1465" s="33"/>
      <c r="F1465" s="33"/>
      <c r="G1465" s="33"/>
      <c r="H1465" s="33"/>
      <c r="I1465" s="33"/>
      <c r="J1465" s="33"/>
      <c r="K1465" s="33"/>
      <c r="L1465" s="561"/>
      <c r="M1465" s="33"/>
      <c r="N1465" s="33"/>
      <c r="O1465" s="33"/>
      <c r="P1465" s="184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44"/>
      <c r="AP1465" s="37"/>
      <c r="AQ1465" s="27"/>
      <c r="AR1465" s="57"/>
      <c r="AS1465" s="56">
        <f>Tabela4[[#This Row],[Total R$]]-Tabela4[[#This Row],[Total Pago]]</f>
        <v>0</v>
      </c>
      <c r="AT1465" s="36"/>
    </row>
    <row r="1466" spans="2:46" x14ac:dyDescent="0.25">
      <c r="B1466" s="44"/>
      <c r="D1466" s="349"/>
      <c r="E1466" s="33"/>
      <c r="F1466" s="33"/>
      <c r="G1466" s="33"/>
      <c r="H1466" s="33"/>
      <c r="I1466" s="33"/>
      <c r="J1466" s="33"/>
      <c r="K1466" s="33"/>
      <c r="L1466" s="561"/>
      <c r="M1466" s="33"/>
      <c r="N1466" s="33"/>
      <c r="O1466" s="33"/>
      <c r="P1466" s="184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44"/>
      <c r="AP1466" s="37"/>
      <c r="AQ1466" s="27"/>
      <c r="AR1466" s="57"/>
      <c r="AS1466" s="56">
        <f>Tabela4[[#This Row],[Total R$]]-Tabela4[[#This Row],[Total Pago]]</f>
        <v>0</v>
      </c>
      <c r="AT1466" s="36"/>
    </row>
    <row r="1467" spans="2:46" x14ac:dyDescent="0.25">
      <c r="B1467" s="44"/>
      <c r="D1467" s="349"/>
      <c r="E1467" s="33"/>
      <c r="F1467" s="33"/>
      <c r="G1467" s="33"/>
      <c r="H1467" s="33"/>
      <c r="I1467" s="33"/>
      <c r="J1467" s="33"/>
      <c r="K1467" s="33"/>
      <c r="L1467" s="561"/>
      <c r="M1467" s="33"/>
      <c r="N1467" s="33"/>
      <c r="O1467" s="33"/>
      <c r="P1467" s="184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44"/>
      <c r="AP1467" s="37"/>
      <c r="AQ1467" s="27"/>
      <c r="AR1467" s="57"/>
      <c r="AS1467" s="56">
        <f>Tabela4[[#This Row],[Total R$]]-Tabela4[[#This Row],[Total Pago]]</f>
        <v>0</v>
      </c>
      <c r="AT1467" s="36"/>
    </row>
    <row r="1468" spans="2:46" x14ac:dyDescent="0.25">
      <c r="B1468" s="44"/>
      <c r="D1468" s="349"/>
      <c r="E1468" s="33"/>
      <c r="F1468" s="33"/>
      <c r="G1468" s="33"/>
      <c r="H1468" s="33"/>
      <c r="I1468" s="33"/>
      <c r="J1468" s="33"/>
      <c r="K1468" s="33"/>
      <c r="L1468" s="561"/>
      <c r="M1468" s="33"/>
      <c r="N1468" s="33"/>
      <c r="O1468" s="33"/>
      <c r="P1468" s="184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44"/>
      <c r="AP1468" s="37"/>
      <c r="AQ1468" s="27"/>
      <c r="AR1468" s="57"/>
      <c r="AS1468" s="56">
        <f>Tabela4[[#This Row],[Total R$]]-Tabela4[[#This Row],[Total Pago]]</f>
        <v>0</v>
      </c>
      <c r="AT1468" s="36"/>
    </row>
    <row r="1469" spans="2:46" x14ac:dyDescent="0.25">
      <c r="B1469" s="44"/>
      <c r="D1469" s="349"/>
      <c r="E1469" s="33"/>
      <c r="F1469" s="33"/>
      <c r="G1469" s="33"/>
      <c r="H1469" s="33"/>
      <c r="I1469" s="33"/>
      <c r="J1469" s="33"/>
      <c r="K1469" s="33"/>
      <c r="L1469" s="561"/>
      <c r="M1469" s="33"/>
      <c r="N1469" s="33"/>
      <c r="O1469" s="33"/>
      <c r="P1469" s="184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44"/>
      <c r="AP1469" s="37"/>
      <c r="AQ1469" s="27"/>
      <c r="AR1469" s="57"/>
      <c r="AS1469" s="56">
        <f>Tabela4[[#This Row],[Total R$]]-Tabela4[[#This Row],[Total Pago]]</f>
        <v>0</v>
      </c>
      <c r="AT1469" s="36"/>
    </row>
    <row r="1470" spans="2:46" x14ac:dyDescent="0.25">
      <c r="B1470" s="44"/>
      <c r="D1470" s="349"/>
      <c r="E1470" s="33"/>
      <c r="F1470" s="33"/>
      <c r="G1470" s="33"/>
      <c r="H1470" s="33"/>
      <c r="I1470" s="33"/>
      <c r="J1470" s="33"/>
      <c r="K1470" s="33"/>
      <c r="L1470" s="561"/>
      <c r="M1470" s="33"/>
      <c r="N1470" s="33"/>
      <c r="O1470" s="33"/>
      <c r="P1470" s="184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44"/>
      <c r="AP1470" s="37"/>
      <c r="AQ1470" s="27"/>
      <c r="AR1470" s="57"/>
      <c r="AS1470" s="56">
        <f>Tabela4[[#This Row],[Total R$]]-Tabela4[[#This Row],[Total Pago]]</f>
        <v>0</v>
      </c>
      <c r="AT1470" s="36"/>
    </row>
    <row r="1471" spans="2:46" x14ac:dyDescent="0.25">
      <c r="B1471" s="44"/>
      <c r="D1471" s="349"/>
      <c r="E1471" s="33"/>
      <c r="F1471" s="33"/>
      <c r="G1471" s="33"/>
      <c r="H1471" s="33"/>
      <c r="I1471" s="33"/>
      <c r="J1471" s="33"/>
      <c r="K1471" s="33"/>
      <c r="L1471" s="561"/>
      <c r="M1471" s="33"/>
      <c r="N1471" s="33"/>
      <c r="O1471" s="33"/>
      <c r="P1471" s="184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44"/>
      <c r="AP1471" s="37"/>
      <c r="AQ1471" s="27"/>
      <c r="AR1471" s="57"/>
      <c r="AS1471" s="56">
        <f>Tabela4[[#This Row],[Total R$]]-Tabela4[[#This Row],[Total Pago]]</f>
        <v>0</v>
      </c>
      <c r="AT1471" s="36"/>
    </row>
    <row r="1472" spans="2:46" x14ac:dyDescent="0.25">
      <c r="B1472" s="44"/>
      <c r="D1472" s="349"/>
      <c r="E1472" s="33"/>
      <c r="F1472" s="33"/>
      <c r="G1472" s="33"/>
      <c r="H1472" s="33"/>
      <c r="I1472" s="33"/>
      <c r="J1472" s="33"/>
      <c r="K1472" s="33"/>
      <c r="L1472" s="561"/>
      <c r="M1472" s="33"/>
      <c r="N1472" s="33"/>
      <c r="O1472" s="33"/>
      <c r="P1472" s="184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44"/>
      <c r="AP1472" s="37"/>
      <c r="AQ1472" s="27"/>
      <c r="AR1472" s="57"/>
      <c r="AS1472" s="56">
        <f>Tabela4[[#This Row],[Total R$]]-Tabela4[[#This Row],[Total Pago]]</f>
        <v>0</v>
      </c>
      <c r="AT1472" s="36"/>
    </row>
    <row r="1473" spans="2:46" x14ac:dyDescent="0.25">
      <c r="B1473" s="44"/>
      <c r="D1473" s="349"/>
      <c r="E1473" s="33"/>
      <c r="F1473" s="33"/>
      <c r="G1473" s="33"/>
      <c r="H1473" s="33"/>
      <c r="I1473" s="33"/>
      <c r="J1473" s="33"/>
      <c r="K1473" s="33"/>
      <c r="L1473" s="561"/>
      <c r="M1473" s="33"/>
      <c r="N1473" s="33"/>
      <c r="O1473" s="33"/>
      <c r="P1473" s="184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44"/>
      <c r="AP1473" s="37"/>
      <c r="AQ1473" s="27"/>
      <c r="AR1473" s="57"/>
      <c r="AS1473" s="56">
        <f>Tabela4[[#This Row],[Total R$]]-Tabela4[[#This Row],[Total Pago]]</f>
        <v>0</v>
      </c>
      <c r="AT1473" s="36"/>
    </row>
    <row r="1474" spans="2:46" x14ac:dyDescent="0.25">
      <c r="B1474" s="44"/>
      <c r="D1474" s="349"/>
      <c r="E1474" s="33"/>
      <c r="F1474" s="33"/>
      <c r="G1474" s="33"/>
      <c r="H1474" s="33"/>
      <c r="I1474" s="33"/>
      <c r="J1474" s="33"/>
      <c r="K1474" s="33"/>
      <c r="L1474" s="561"/>
      <c r="M1474" s="33"/>
      <c r="N1474" s="33"/>
      <c r="O1474" s="33"/>
      <c r="P1474" s="184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44"/>
      <c r="AP1474" s="37"/>
      <c r="AQ1474" s="27"/>
      <c r="AR1474" s="57"/>
      <c r="AS1474" s="56">
        <f>Tabela4[[#This Row],[Total R$]]-Tabela4[[#This Row],[Total Pago]]</f>
        <v>0</v>
      </c>
      <c r="AT1474" s="36"/>
    </row>
    <row r="1475" spans="2:46" x14ac:dyDescent="0.25">
      <c r="B1475" s="44"/>
      <c r="D1475" s="349"/>
      <c r="E1475" s="33"/>
      <c r="F1475" s="33"/>
      <c r="G1475" s="33"/>
      <c r="H1475" s="33"/>
      <c r="I1475" s="33"/>
      <c r="J1475" s="33"/>
      <c r="K1475" s="33"/>
      <c r="L1475" s="561"/>
      <c r="M1475" s="33"/>
      <c r="N1475" s="33"/>
      <c r="O1475" s="33"/>
      <c r="P1475" s="184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44"/>
      <c r="AP1475" s="37"/>
      <c r="AQ1475" s="27"/>
      <c r="AR1475" s="57"/>
      <c r="AS1475" s="56">
        <f>Tabela4[[#This Row],[Total R$]]-Tabela4[[#This Row],[Total Pago]]</f>
        <v>0</v>
      </c>
      <c r="AT1475" s="36"/>
    </row>
    <row r="1476" spans="2:46" x14ac:dyDescent="0.25">
      <c r="B1476" s="44"/>
      <c r="D1476" s="349"/>
      <c r="E1476" s="33"/>
      <c r="F1476" s="33"/>
      <c r="G1476" s="33"/>
      <c r="H1476" s="33"/>
      <c r="I1476" s="33"/>
      <c r="J1476" s="33"/>
      <c r="K1476" s="33"/>
      <c r="L1476" s="561"/>
      <c r="M1476" s="33"/>
      <c r="N1476" s="33"/>
      <c r="O1476" s="33"/>
      <c r="P1476" s="184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44"/>
      <c r="AP1476" s="37"/>
      <c r="AQ1476" s="27"/>
      <c r="AR1476" s="57"/>
      <c r="AS1476" s="56">
        <f>Tabela4[[#This Row],[Total R$]]-Tabela4[[#This Row],[Total Pago]]</f>
        <v>0</v>
      </c>
      <c r="AT1476" s="36"/>
    </row>
    <row r="1477" spans="2:46" x14ac:dyDescent="0.25">
      <c r="B1477" s="44"/>
      <c r="D1477" s="349"/>
      <c r="E1477" s="33"/>
      <c r="F1477" s="33"/>
      <c r="G1477" s="33"/>
      <c r="H1477" s="33"/>
      <c r="I1477" s="33"/>
      <c r="J1477" s="33"/>
      <c r="K1477" s="33"/>
      <c r="L1477" s="561"/>
      <c r="M1477" s="33"/>
      <c r="N1477" s="33"/>
      <c r="O1477" s="33"/>
      <c r="P1477" s="184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44"/>
      <c r="AP1477" s="37"/>
      <c r="AQ1477" s="27"/>
      <c r="AR1477" s="57"/>
      <c r="AS1477" s="56">
        <f>Tabela4[[#This Row],[Total R$]]-Tabela4[[#This Row],[Total Pago]]</f>
        <v>0</v>
      </c>
      <c r="AT1477" s="36"/>
    </row>
    <row r="1478" spans="2:46" x14ac:dyDescent="0.25">
      <c r="B1478" s="44"/>
      <c r="D1478" s="349"/>
      <c r="E1478" s="33"/>
      <c r="F1478" s="33"/>
      <c r="G1478" s="33"/>
      <c r="H1478" s="33"/>
      <c r="I1478" s="33"/>
      <c r="J1478" s="33"/>
      <c r="K1478" s="33"/>
      <c r="L1478" s="561"/>
      <c r="M1478" s="33"/>
      <c r="N1478" s="33"/>
      <c r="O1478" s="33"/>
      <c r="P1478" s="184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44"/>
      <c r="AP1478" s="37"/>
      <c r="AQ1478" s="27"/>
      <c r="AR1478" s="57"/>
      <c r="AS1478" s="56">
        <f>Tabela4[[#This Row],[Total R$]]-Tabela4[[#This Row],[Total Pago]]</f>
        <v>0</v>
      </c>
      <c r="AT1478" s="36"/>
    </row>
    <row r="1479" spans="2:46" x14ac:dyDescent="0.25">
      <c r="B1479" s="44"/>
      <c r="D1479" s="349"/>
      <c r="E1479" s="33"/>
      <c r="F1479" s="33"/>
      <c r="G1479" s="33"/>
      <c r="H1479" s="33"/>
      <c r="I1479" s="33"/>
      <c r="J1479" s="33"/>
      <c r="K1479" s="33"/>
      <c r="L1479" s="561"/>
      <c r="M1479" s="33"/>
      <c r="N1479" s="33"/>
      <c r="O1479" s="33"/>
      <c r="P1479" s="184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44"/>
      <c r="AP1479" s="37"/>
      <c r="AQ1479" s="27"/>
      <c r="AR1479" s="57"/>
      <c r="AS1479" s="56">
        <f>Tabela4[[#This Row],[Total R$]]-Tabela4[[#This Row],[Total Pago]]</f>
        <v>0</v>
      </c>
      <c r="AT1479" s="36"/>
    </row>
    <row r="1480" spans="2:46" x14ac:dyDescent="0.25">
      <c r="B1480" s="44"/>
      <c r="D1480" s="349"/>
      <c r="E1480" s="33"/>
      <c r="F1480" s="33"/>
      <c r="G1480" s="33"/>
      <c r="H1480" s="33"/>
      <c r="I1480" s="33"/>
      <c r="J1480" s="33"/>
      <c r="K1480" s="33"/>
      <c r="L1480" s="561"/>
      <c r="M1480" s="33"/>
      <c r="N1480" s="33"/>
      <c r="O1480" s="33"/>
      <c r="P1480" s="184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44"/>
      <c r="AP1480" s="37"/>
      <c r="AQ1480" s="27"/>
      <c r="AR1480" s="57"/>
      <c r="AS1480" s="56">
        <f>Tabela4[[#This Row],[Total R$]]-Tabela4[[#This Row],[Total Pago]]</f>
        <v>0</v>
      </c>
      <c r="AT1480" s="36"/>
    </row>
    <row r="1481" spans="2:46" x14ac:dyDescent="0.25">
      <c r="B1481" s="44"/>
      <c r="D1481" s="349"/>
      <c r="E1481" s="33"/>
      <c r="F1481" s="33"/>
      <c r="G1481" s="33"/>
      <c r="H1481" s="33"/>
      <c r="I1481" s="33"/>
      <c r="J1481" s="33"/>
      <c r="K1481" s="33"/>
      <c r="L1481" s="561"/>
      <c r="M1481" s="33"/>
      <c r="N1481" s="33"/>
      <c r="O1481" s="33"/>
      <c r="P1481" s="184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44"/>
      <c r="AP1481" s="37"/>
      <c r="AQ1481" s="27"/>
      <c r="AR1481" s="57"/>
      <c r="AS1481" s="56">
        <f>Tabela4[[#This Row],[Total R$]]-Tabela4[[#This Row],[Total Pago]]</f>
        <v>0</v>
      </c>
      <c r="AT1481" s="36"/>
    </row>
    <row r="1482" spans="2:46" x14ac:dyDescent="0.25">
      <c r="B1482" s="44"/>
      <c r="D1482" s="349"/>
      <c r="E1482" s="33"/>
      <c r="F1482" s="33"/>
      <c r="G1482" s="33"/>
      <c r="H1482" s="33"/>
      <c r="I1482" s="33"/>
      <c r="J1482" s="33"/>
      <c r="K1482" s="33"/>
      <c r="L1482" s="561"/>
      <c r="M1482" s="33"/>
      <c r="N1482" s="33"/>
      <c r="O1482" s="33"/>
      <c r="P1482" s="184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44"/>
      <c r="AP1482" s="37"/>
      <c r="AQ1482" s="27"/>
      <c r="AR1482" s="57"/>
      <c r="AS1482" s="56">
        <f>Tabela4[[#This Row],[Total R$]]-Tabela4[[#This Row],[Total Pago]]</f>
        <v>0</v>
      </c>
      <c r="AT1482" s="36"/>
    </row>
    <row r="1483" spans="2:46" x14ac:dyDescent="0.25">
      <c r="B1483" s="44"/>
      <c r="D1483" s="349"/>
      <c r="E1483" s="33"/>
      <c r="F1483" s="33"/>
      <c r="G1483" s="33"/>
      <c r="H1483" s="33"/>
      <c r="I1483" s="33"/>
      <c r="J1483" s="33"/>
      <c r="K1483" s="33"/>
      <c r="L1483" s="561"/>
      <c r="M1483" s="33"/>
      <c r="N1483" s="33"/>
      <c r="O1483" s="33"/>
      <c r="P1483" s="184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44"/>
      <c r="AP1483" s="37"/>
      <c r="AQ1483" s="27"/>
      <c r="AR1483" s="57"/>
      <c r="AS1483" s="56">
        <f>Tabela4[[#This Row],[Total R$]]-Tabela4[[#This Row],[Total Pago]]</f>
        <v>0</v>
      </c>
      <c r="AT1483" s="36"/>
    </row>
    <row r="1484" spans="2:46" x14ac:dyDescent="0.25">
      <c r="B1484" s="44"/>
      <c r="D1484" s="349"/>
      <c r="E1484" s="33"/>
      <c r="F1484" s="33"/>
      <c r="G1484" s="33"/>
      <c r="H1484" s="33"/>
      <c r="I1484" s="33"/>
      <c r="J1484" s="33"/>
      <c r="K1484" s="33"/>
      <c r="L1484" s="561"/>
      <c r="M1484" s="33"/>
      <c r="N1484" s="33"/>
      <c r="O1484" s="33"/>
      <c r="P1484" s="184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44"/>
      <c r="AP1484" s="37"/>
      <c r="AQ1484" s="27"/>
      <c r="AR1484" s="57"/>
      <c r="AS1484" s="56">
        <f>Tabela4[[#This Row],[Total R$]]-Tabela4[[#This Row],[Total Pago]]</f>
        <v>0</v>
      </c>
      <c r="AT1484" s="36"/>
    </row>
    <row r="1485" spans="2:46" x14ac:dyDescent="0.25">
      <c r="B1485" s="44"/>
      <c r="D1485" s="349"/>
      <c r="E1485" s="33"/>
      <c r="F1485" s="33"/>
      <c r="G1485" s="33"/>
      <c r="H1485" s="33"/>
      <c r="I1485" s="33"/>
      <c r="J1485" s="33"/>
      <c r="K1485" s="33"/>
      <c r="L1485" s="561"/>
      <c r="M1485" s="33"/>
      <c r="N1485" s="33"/>
      <c r="O1485" s="33"/>
      <c r="P1485" s="184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44"/>
      <c r="AP1485" s="37"/>
      <c r="AQ1485" s="27"/>
      <c r="AR1485" s="57"/>
      <c r="AS1485" s="56">
        <f>Tabela4[[#This Row],[Total R$]]-Tabela4[[#This Row],[Total Pago]]</f>
        <v>0</v>
      </c>
      <c r="AT1485" s="36"/>
    </row>
    <row r="1486" spans="2:46" x14ac:dyDescent="0.25">
      <c r="B1486" s="44"/>
      <c r="D1486" s="349"/>
      <c r="E1486" s="33"/>
      <c r="F1486" s="33"/>
      <c r="G1486" s="33"/>
      <c r="H1486" s="33"/>
      <c r="I1486" s="33"/>
      <c r="J1486" s="33"/>
      <c r="K1486" s="33"/>
      <c r="L1486" s="561"/>
      <c r="M1486" s="33"/>
      <c r="N1486" s="33"/>
      <c r="O1486" s="33"/>
      <c r="P1486" s="184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44"/>
      <c r="AP1486" s="37"/>
      <c r="AQ1486" s="27"/>
      <c r="AR1486" s="57"/>
      <c r="AS1486" s="56">
        <f>Tabela4[[#This Row],[Total R$]]-Tabela4[[#This Row],[Total Pago]]</f>
        <v>0</v>
      </c>
      <c r="AT1486" s="36"/>
    </row>
    <row r="1487" spans="2:46" x14ac:dyDescent="0.25">
      <c r="B1487" s="44"/>
      <c r="D1487" s="349"/>
      <c r="E1487" s="33"/>
      <c r="F1487" s="33"/>
      <c r="G1487" s="33"/>
      <c r="H1487" s="33"/>
      <c r="I1487" s="33"/>
      <c r="J1487" s="33"/>
      <c r="K1487" s="33"/>
      <c r="L1487" s="561"/>
      <c r="M1487" s="33"/>
      <c r="N1487" s="33"/>
      <c r="O1487" s="33"/>
      <c r="P1487" s="184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44"/>
      <c r="AP1487" s="37"/>
      <c r="AQ1487" s="27"/>
      <c r="AR1487" s="57"/>
      <c r="AS1487" s="56">
        <f>Tabela4[[#This Row],[Total R$]]-Tabela4[[#This Row],[Total Pago]]</f>
        <v>0</v>
      </c>
      <c r="AT1487" s="36"/>
    </row>
    <row r="1488" spans="2:46" x14ac:dyDescent="0.25">
      <c r="B1488" s="44"/>
      <c r="D1488" s="349"/>
      <c r="E1488" s="33"/>
      <c r="F1488" s="33"/>
      <c r="G1488" s="33"/>
      <c r="H1488" s="33"/>
      <c r="I1488" s="33"/>
      <c r="J1488" s="33"/>
      <c r="K1488" s="33"/>
      <c r="L1488" s="561"/>
      <c r="M1488" s="33"/>
      <c r="N1488" s="33"/>
      <c r="O1488" s="33"/>
      <c r="P1488" s="184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44"/>
      <c r="AP1488" s="37"/>
      <c r="AQ1488" s="27"/>
      <c r="AR1488" s="57"/>
      <c r="AS1488" s="56">
        <f>Tabela4[[#This Row],[Total R$]]-Tabela4[[#This Row],[Total Pago]]</f>
        <v>0</v>
      </c>
      <c r="AT1488" s="36"/>
    </row>
    <row r="1489" spans="2:46" x14ac:dyDescent="0.25">
      <c r="B1489" s="44"/>
      <c r="D1489" s="349"/>
      <c r="E1489" s="33"/>
      <c r="F1489" s="33"/>
      <c r="G1489" s="33"/>
      <c r="H1489" s="33"/>
      <c r="I1489" s="33"/>
      <c r="J1489" s="33"/>
      <c r="K1489" s="33"/>
      <c r="L1489" s="561"/>
      <c r="M1489" s="33"/>
      <c r="N1489" s="33"/>
      <c r="O1489" s="33"/>
      <c r="P1489" s="184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44"/>
      <c r="AP1489" s="37"/>
      <c r="AQ1489" s="27"/>
      <c r="AR1489" s="57"/>
      <c r="AS1489" s="56">
        <f>Tabela4[[#This Row],[Total R$]]-Tabela4[[#This Row],[Total Pago]]</f>
        <v>0</v>
      </c>
      <c r="AT1489" s="36"/>
    </row>
    <row r="1490" spans="2:46" x14ac:dyDescent="0.25">
      <c r="B1490" s="44"/>
      <c r="D1490" s="349"/>
      <c r="E1490" s="33"/>
      <c r="F1490" s="33"/>
      <c r="G1490" s="33"/>
      <c r="H1490" s="33"/>
      <c r="I1490" s="33"/>
      <c r="J1490" s="33"/>
      <c r="K1490" s="33"/>
      <c r="L1490" s="561"/>
      <c r="M1490" s="33"/>
      <c r="N1490" s="33"/>
      <c r="O1490" s="33"/>
      <c r="P1490" s="184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44"/>
      <c r="AP1490" s="37"/>
      <c r="AQ1490" s="27"/>
      <c r="AR1490" s="57"/>
      <c r="AS1490" s="56">
        <f>Tabela4[[#This Row],[Total R$]]-Tabela4[[#This Row],[Total Pago]]</f>
        <v>0</v>
      </c>
      <c r="AT1490" s="36"/>
    </row>
    <row r="1491" spans="2:46" x14ac:dyDescent="0.25">
      <c r="B1491" s="44"/>
      <c r="D1491" s="349"/>
      <c r="E1491" s="33"/>
      <c r="F1491" s="33"/>
      <c r="G1491" s="33"/>
      <c r="H1491" s="33"/>
      <c r="I1491" s="33"/>
      <c r="J1491" s="33"/>
      <c r="K1491" s="33"/>
      <c r="L1491" s="561"/>
      <c r="M1491" s="33"/>
      <c r="N1491" s="33"/>
      <c r="O1491" s="33"/>
      <c r="P1491" s="184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44"/>
      <c r="AP1491" s="37"/>
      <c r="AQ1491" s="27"/>
      <c r="AR1491" s="57"/>
      <c r="AS1491" s="56">
        <f>Tabela4[[#This Row],[Total R$]]-Tabela4[[#This Row],[Total Pago]]</f>
        <v>0</v>
      </c>
      <c r="AT1491" s="36"/>
    </row>
    <row r="1492" spans="2:46" x14ac:dyDescent="0.25">
      <c r="B1492" s="44"/>
      <c r="D1492" s="349"/>
      <c r="E1492" s="33"/>
      <c r="F1492" s="33"/>
      <c r="G1492" s="33"/>
      <c r="H1492" s="33"/>
      <c r="I1492" s="33"/>
      <c r="J1492" s="33"/>
      <c r="K1492" s="33"/>
      <c r="L1492" s="561"/>
      <c r="M1492" s="33"/>
      <c r="N1492" s="33"/>
      <c r="O1492" s="33"/>
      <c r="P1492" s="184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44"/>
      <c r="AP1492" s="37"/>
      <c r="AQ1492" s="27"/>
      <c r="AR1492" s="57"/>
      <c r="AS1492" s="56">
        <f>Tabela4[[#This Row],[Total R$]]-Tabela4[[#This Row],[Total Pago]]</f>
        <v>0</v>
      </c>
      <c r="AT1492" s="36"/>
    </row>
    <row r="1493" spans="2:46" x14ac:dyDescent="0.25">
      <c r="B1493" s="44"/>
      <c r="D1493" s="349"/>
      <c r="E1493" s="33"/>
      <c r="F1493" s="33"/>
      <c r="G1493" s="33"/>
      <c r="H1493" s="33"/>
      <c r="I1493" s="33"/>
      <c r="J1493" s="33"/>
      <c r="K1493" s="33"/>
      <c r="L1493" s="561"/>
      <c r="M1493" s="33"/>
      <c r="N1493" s="33"/>
      <c r="O1493" s="33"/>
      <c r="P1493" s="184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44"/>
      <c r="AP1493" s="37"/>
      <c r="AQ1493" s="27"/>
      <c r="AR1493" s="57"/>
      <c r="AS1493" s="56">
        <f>Tabela4[[#This Row],[Total R$]]-Tabela4[[#This Row],[Total Pago]]</f>
        <v>0</v>
      </c>
      <c r="AT1493" s="36"/>
    </row>
    <row r="1494" spans="2:46" x14ac:dyDescent="0.25">
      <c r="B1494" s="44"/>
      <c r="D1494" s="349"/>
      <c r="E1494" s="33"/>
      <c r="F1494" s="33"/>
      <c r="G1494" s="33"/>
      <c r="H1494" s="33"/>
      <c r="I1494" s="33"/>
      <c r="J1494" s="33"/>
      <c r="K1494" s="33"/>
      <c r="L1494" s="561"/>
      <c r="M1494" s="33"/>
      <c r="N1494" s="33"/>
      <c r="O1494" s="33"/>
      <c r="P1494" s="184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44"/>
      <c r="AP1494" s="37"/>
      <c r="AQ1494" s="27"/>
      <c r="AR1494" s="57"/>
      <c r="AS1494" s="56">
        <f>Tabela4[[#This Row],[Total R$]]-Tabela4[[#This Row],[Total Pago]]</f>
        <v>0</v>
      </c>
      <c r="AT1494" s="36"/>
    </row>
    <row r="1495" spans="2:46" x14ac:dyDescent="0.25">
      <c r="B1495" s="44"/>
      <c r="D1495" s="349"/>
      <c r="E1495" s="33"/>
      <c r="F1495" s="33"/>
      <c r="G1495" s="33"/>
      <c r="H1495" s="33"/>
      <c r="I1495" s="33"/>
      <c r="J1495" s="33"/>
      <c r="K1495" s="33"/>
      <c r="L1495" s="561"/>
      <c r="M1495" s="33"/>
      <c r="N1495" s="33"/>
      <c r="O1495" s="33"/>
      <c r="P1495" s="184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44"/>
      <c r="AP1495" s="37"/>
      <c r="AQ1495" s="27"/>
      <c r="AR1495" s="57"/>
      <c r="AS1495" s="56">
        <f>Tabela4[[#This Row],[Total R$]]-Tabela4[[#This Row],[Total Pago]]</f>
        <v>0</v>
      </c>
      <c r="AT1495" s="36"/>
    </row>
    <row r="1496" spans="2:46" x14ac:dyDescent="0.25">
      <c r="B1496" s="44"/>
      <c r="D1496" s="349"/>
      <c r="E1496" s="33"/>
      <c r="F1496" s="33"/>
      <c r="G1496" s="33"/>
      <c r="H1496" s="33"/>
      <c r="I1496" s="33"/>
      <c r="J1496" s="33"/>
      <c r="K1496" s="33"/>
      <c r="L1496" s="561"/>
      <c r="M1496" s="33"/>
      <c r="N1496" s="33"/>
      <c r="O1496" s="33"/>
      <c r="P1496" s="184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44"/>
      <c r="AP1496" s="37"/>
      <c r="AQ1496" s="27"/>
      <c r="AR1496" s="57"/>
      <c r="AS1496" s="56">
        <f>Tabela4[[#This Row],[Total R$]]-Tabela4[[#This Row],[Total Pago]]</f>
        <v>0</v>
      </c>
      <c r="AT1496" s="36"/>
    </row>
    <row r="1497" spans="2:46" x14ac:dyDescent="0.25">
      <c r="B1497" s="44"/>
      <c r="D1497" s="349"/>
      <c r="E1497" s="33"/>
      <c r="F1497" s="33"/>
      <c r="G1497" s="33"/>
      <c r="H1497" s="33"/>
      <c r="I1497" s="33"/>
      <c r="J1497" s="33"/>
      <c r="K1497" s="33"/>
      <c r="L1497" s="561"/>
      <c r="M1497" s="33"/>
      <c r="N1497" s="33"/>
      <c r="O1497" s="33"/>
      <c r="P1497" s="184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44"/>
      <c r="AP1497" s="37"/>
      <c r="AQ1497" s="27"/>
      <c r="AR1497" s="57"/>
      <c r="AS1497" s="56">
        <f>Tabela4[[#This Row],[Total R$]]-Tabela4[[#This Row],[Total Pago]]</f>
        <v>0</v>
      </c>
      <c r="AT1497" s="36"/>
    </row>
    <row r="1498" spans="2:46" x14ac:dyDescent="0.25">
      <c r="B1498" s="44"/>
      <c r="D1498" s="349"/>
      <c r="E1498" s="33"/>
      <c r="F1498" s="33"/>
      <c r="G1498" s="33"/>
      <c r="H1498" s="33"/>
      <c r="I1498" s="33"/>
      <c r="J1498" s="33"/>
      <c r="K1498" s="33"/>
      <c r="L1498" s="561"/>
      <c r="M1498" s="33"/>
      <c r="N1498" s="33"/>
      <c r="O1498" s="33"/>
      <c r="P1498" s="184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44"/>
      <c r="AP1498" s="37"/>
      <c r="AQ1498" s="27"/>
      <c r="AR1498" s="57"/>
      <c r="AS1498" s="56">
        <f>Tabela4[[#This Row],[Total R$]]-Tabela4[[#This Row],[Total Pago]]</f>
        <v>0</v>
      </c>
      <c r="AT1498" s="36"/>
    </row>
    <row r="1499" spans="2:46" x14ac:dyDescent="0.25">
      <c r="B1499" s="44"/>
      <c r="D1499" s="349"/>
      <c r="E1499" s="33"/>
      <c r="F1499" s="33"/>
      <c r="G1499" s="33"/>
      <c r="H1499" s="33"/>
      <c r="I1499" s="33"/>
      <c r="J1499" s="33"/>
      <c r="K1499" s="33"/>
      <c r="L1499" s="561"/>
      <c r="M1499" s="33"/>
      <c r="N1499" s="33"/>
      <c r="O1499" s="33"/>
      <c r="P1499" s="184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44"/>
      <c r="AP1499" s="37"/>
      <c r="AQ1499" s="27"/>
      <c r="AR1499" s="57"/>
      <c r="AS1499" s="56">
        <f>Tabela4[[#This Row],[Total R$]]-Tabela4[[#This Row],[Total Pago]]</f>
        <v>0</v>
      </c>
      <c r="AT1499" s="36"/>
    </row>
    <row r="1500" spans="2:46" x14ac:dyDescent="0.25">
      <c r="B1500" s="44"/>
      <c r="D1500" s="349"/>
      <c r="E1500" s="33"/>
      <c r="F1500" s="33"/>
      <c r="G1500" s="33"/>
      <c r="H1500" s="33"/>
      <c r="I1500" s="33"/>
      <c r="J1500" s="33"/>
      <c r="K1500" s="33"/>
      <c r="L1500" s="561"/>
      <c r="M1500" s="33"/>
      <c r="N1500" s="33"/>
      <c r="O1500" s="33"/>
      <c r="P1500" s="184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44"/>
      <c r="AP1500" s="37"/>
      <c r="AQ1500" s="27"/>
      <c r="AR1500" s="57"/>
      <c r="AS1500" s="56">
        <f>Tabela4[[#This Row],[Total R$]]-Tabela4[[#This Row],[Total Pago]]</f>
        <v>0</v>
      </c>
      <c r="AT1500" s="36"/>
    </row>
    <row r="1501" spans="2:46" x14ac:dyDescent="0.25">
      <c r="B1501" s="44"/>
      <c r="D1501" s="349"/>
      <c r="E1501" s="33"/>
      <c r="F1501" s="33"/>
      <c r="G1501" s="33"/>
      <c r="H1501" s="33"/>
      <c r="I1501" s="33"/>
      <c r="J1501" s="33"/>
      <c r="K1501" s="33"/>
      <c r="L1501" s="561"/>
      <c r="M1501" s="33"/>
      <c r="N1501" s="33"/>
      <c r="O1501" s="33"/>
      <c r="P1501" s="184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44"/>
      <c r="AP1501" s="37"/>
      <c r="AQ1501" s="27"/>
      <c r="AR1501" s="57"/>
      <c r="AS1501" s="56">
        <f>Tabela4[[#This Row],[Total R$]]-Tabela4[[#This Row],[Total Pago]]</f>
        <v>0</v>
      </c>
      <c r="AT1501" s="36"/>
    </row>
    <row r="1502" spans="2:46" x14ac:dyDescent="0.25">
      <c r="B1502" s="44"/>
      <c r="D1502" s="349"/>
      <c r="E1502" s="33"/>
      <c r="F1502" s="33"/>
      <c r="G1502" s="33"/>
      <c r="H1502" s="33"/>
      <c r="I1502" s="33"/>
      <c r="J1502" s="33"/>
      <c r="K1502" s="33"/>
      <c r="L1502" s="561"/>
      <c r="M1502" s="33"/>
      <c r="N1502" s="33"/>
      <c r="O1502" s="33"/>
      <c r="P1502" s="184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44"/>
      <c r="AP1502" s="37"/>
      <c r="AQ1502" s="27"/>
      <c r="AR1502" s="57"/>
      <c r="AS1502" s="56">
        <f>Tabela4[[#This Row],[Total R$]]-Tabela4[[#This Row],[Total Pago]]</f>
        <v>0</v>
      </c>
      <c r="AT1502" s="36"/>
    </row>
    <row r="1503" spans="2:46" x14ac:dyDescent="0.25">
      <c r="B1503" s="44"/>
      <c r="D1503" s="349"/>
      <c r="E1503" s="33"/>
      <c r="F1503" s="33"/>
      <c r="G1503" s="33"/>
      <c r="H1503" s="33"/>
      <c r="I1503" s="33"/>
      <c r="J1503" s="33"/>
      <c r="K1503" s="33"/>
      <c r="L1503" s="561"/>
      <c r="M1503" s="33"/>
      <c r="N1503" s="33"/>
      <c r="O1503" s="33"/>
      <c r="P1503" s="184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44"/>
      <c r="AP1503" s="37"/>
      <c r="AQ1503" s="27"/>
      <c r="AR1503" s="57"/>
      <c r="AS1503" s="56">
        <f>Tabela4[[#This Row],[Total R$]]-Tabela4[[#This Row],[Total Pago]]</f>
        <v>0</v>
      </c>
      <c r="AT1503" s="36"/>
    </row>
    <row r="1504" spans="2:46" x14ac:dyDescent="0.25">
      <c r="B1504" s="44"/>
      <c r="D1504" s="349"/>
      <c r="E1504" s="33"/>
      <c r="F1504" s="33"/>
      <c r="G1504" s="33"/>
      <c r="H1504" s="33"/>
      <c r="I1504" s="33"/>
      <c r="J1504" s="33"/>
      <c r="K1504" s="33"/>
      <c r="L1504" s="561"/>
      <c r="M1504" s="33"/>
      <c r="N1504" s="33"/>
      <c r="O1504" s="33"/>
      <c r="P1504" s="184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44"/>
      <c r="AP1504" s="37"/>
      <c r="AQ1504" s="27"/>
      <c r="AR1504" s="57"/>
      <c r="AS1504" s="56">
        <f>Tabela4[[#This Row],[Total R$]]-Tabela4[[#This Row],[Total Pago]]</f>
        <v>0</v>
      </c>
      <c r="AT1504" s="36"/>
    </row>
    <row r="1505" spans="2:46" x14ac:dyDescent="0.25">
      <c r="B1505" s="44"/>
      <c r="D1505" s="349"/>
      <c r="E1505" s="33"/>
      <c r="F1505" s="33"/>
      <c r="G1505" s="33"/>
      <c r="H1505" s="33"/>
      <c r="I1505" s="33"/>
      <c r="J1505" s="33"/>
      <c r="K1505" s="33"/>
      <c r="L1505" s="561"/>
      <c r="M1505" s="33"/>
      <c r="N1505" s="33"/>
      <c r="O1505" s="33"/>
      <c r="P1505" s="184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44"/>
      <c r="AP1505" s="37"/>
      <c r="AQ1505" s="27"/>
      <c r="AR1505" s="57"/>
      <c r="AS1505" s="56">
        <f>Tabela4[[#This Row],[Total R$]]-Tabela4[[#This Row],[Total Pago]]</f>
        <v>0</v>
      </c>
      <c r="AT1505" s="36"/>
    </row>
    <row r="1506" spans="2:46" x14ac:dyDescent="0.25">
      <c r="B1506" s="44"/>
      <c r="D1506" s="349"/>
      <c r="E1506" s="33"/>
      <c r="F1506" s="33"/>
      <c r="G1506" s="33"/>
      <c r="H1506" s="33"/>
      <c r="I1506" s="33"/>
      <c r="J1506" s="33"/>
      <c r="K1506" s="33"/>
      <c r="L1506" s="561"/>
      <c r="M1506" s="33"/>
      <c r="N1506" s="33"/>
      <c r="O1506" s="33"/>
      <c r="P1506" s="184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44"/>
      <c r="AP1506" s="37"/>
      <c r="AQ1506" s="27"/>
      <c r="AR1506" s="57"/>
      <c r="AS1506" s="56">
        <f>Tabela4[[#This Row],[Total R$]]-Tabela4[[#This Row],[Total Pago]]</f>
        <v>0</v>
      </c>
      <c r="AT1506" s="36"/>
    </row>
    <row r="1507" spans="2:46" x14ac:dyDescent="0.25">
      <c r="B1507" s="44"/>
      <c r="D1507" s="349"/>
      <c r="E1507" s="33"/>
      <c r="F1507" s="33"/>
      <c r="G1507" s="33"/>
      <c r="H1507" s="33"/>
      <c r="I1507" s="33"/>
      <c r="J1507" s="33"/>
      <c r="K1507" s="33"/>
      <c r="L1507" s="561"/>
      <c r="M1507" s="33"/>
      <c r="N1507" s="33"/>
      <c r="O1507" s="33"/>
      <c r="P1507" s="184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44"/>
      <c r="AP1507" s="37"/>
      <c r="AQ1507" s="27"/>
      <c r="AR1507" s="57"/>
      <c r="AS1507" s="56">
        <f>Tabela4[[#This Row],[Total R$]]-Tabela4[[#This Row],[Total Pago]]</f>
        <v>0</v>
      </c>
      <c r="AT1507" s="36"/>
    </row>
    <row r="1508" spans="2:46" x14ac:dyDescent="0.25">
      <c r="B1508" s="44"/>
      <c r="D1508" s="349"/>
      <c r="E1508" s="33"/>
      <c r="F1508" s="33"/>
      <c r="G1508" s="33"/>
      <c r="H1508" s="33"/>
      <c r="I1508" s="33"/>
      <c r="J1508" s="33"/>
      <c r="K1508" s="33"/>
      <c r="L1508" s="561"/>
      <c r="M1508" s="33"/>
      <c r="N1508" s="33"/>
      <c r="O1508" s="33"/>
      <c r="P1508" s="184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44"/>
      <c r="AP1508" s="37"/>
      <c r="AQ1508" s="27"/>
      <c r="AR1508" s="57"/>
      <c r="AS1508" s="56">
        <f>Tabela4[[#This Row],[Total R$]]-Tabela4[[#This Row],[Total Pago]]</f>
        <v>0</v>
      </c>
      <c r="AT1508" s="36"/>
    </row>
    <row r="1509" spans="2:46" x14ac:dyDescent="0.25">
      <c r="B1509" s="44"/>
      <c r="D1509" s="349"/>
      <c r="E1509" s="33"/>
      <c r="F1509" s="33"/>
      <c r="G1509" s="33"/>
      <c r="H1509" s="33"/>
      <c r="I1509" s="33"/>
      <c r="J1509" s="33"/>
      <c r="K1509" s="33"/>
      <c r="L1509" s="561"/>
      <c r="M1509" s="33"/>
      <c r="N1509" s="33"/>
      <c r="O1509" s="33"/>
      <c r="P1509" s="184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44"/>
      <c r="AP1509" s="37"/>
      <c r="AQ1509" s="27"/>
      <c r="AR1509" s="57"/>
      <c r="AS1509" s="56">
        <f>Tabela4[[#This Row],[Total R$]]-Tabela4[[#This Row],[Total Pago]]</f>
        <v>0</v>
      </c>
      <c r="AT1509" s="36"/>
    </row>
    <row r="1510" spans="2:46" x14ac:dyDescent="0.25">
      <c r="B1510" s="44"/>
      <c r="D1510" s="349"/>
      <c r="E1510" s="33"/>
      <c r="F1510" s="33"/>
      <c r="G1510" s="33"/>
      <c r="H1510" s="33"/>
      <c r="I1510" s="33"/>
      <c r="J1510" s="33"/>
      <c r="K1510" s="33"/>
      <c r="L1510" s="561"/>
      <c r="M1510" s="33"/>
      <c r="N1510" s="33"/>
      <c r="O1510" s="33"/>
      <c r="P1510" s="184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44"/>
      <c r="AP1510" s="37"/>
      <c r="AQ1510" s="27"/>
      <c r="AR1510" s="57"/>
      <c r="AS1510" s="56">
        <f>Tabela4[[#This Row],[Total R$]]-Tabela4[[#This Row],[Total Pago]]</f>
        <v>0</v>
      </c>
      <c r="AT1510" s="36"/>
    </row>
    <row r="1511" spans="2:46" x14ac:dyDescent="0.25">
      <c r="B1511" s="44"/>
      <c r="D1511" s="349"/>
      <c r="E1511" s="33"/>
      <c r="F1511" s="33"/>
      <c r="G1511" s="33"/>
      <c r="H1511" s="33"/>
      <c r="I1511" s="33"/>
      <c r="J1511" s="33"/>
      <c r="K1511" s="33"/>
      <c r="L1511" s="561"/>
      <c r="M1511" s="33"/>
      <c r="N1511" s="33"/>
      <c r="O1511" s="33"/>
      <c r="P1511" s="184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44"/>
      <c r="AP1511" s="37"/>
      <c r="AQ1511" s="27"/>
      <c r="AR1511" s="57"/>
      <c r="AS1511" s="56">
        <f>Tabela4[[#This Row],[Total R$]]-Tabela4[[#This Row],[Total Pago]]</f>
        <v>0</v>
      </c>
      <c r="AT1511" s="36"/>
    </row>
    <row r="1512" spans="2:46" x14ac:dyDescent="0.25">
      <c r="B1512" s="44"/>
      <c r="D1512" s="349"/>
      <c r="E1512" s="33"/>
      <c r="F1512" s="33"/>
      <c r="G1512" s="33"/>
      <c r="H1512" s="33"/>
      <c r="I1512" s="33"/>
      <c r="J1512" s="33"/>
      <c r="K1512" s="33"/>
      <c r="L1512" s="561"/>
      <c r="M1512" s="33"/>
      <c r="N1512" s="33"/>
      <c r="O1512" s="33"/>
      <c r="P1512" s="184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44"/>
      <c r="AP1512" s="37"/>
      <c r="AQ1512" s="27"/>
      <c r="AR1512" s="57"/>
      <c r="AS1512" s="56">
        <f>Tabela4[[#This Row],[Total R$]]-Tabela4[[#This Row],[Total Pago]]</f>
        <v>0</v>
      </c>
      <c r="AT1512" s="36"/>
    </row>
    <row r="1513" spans="2:46" x14ac:dyDescent="0.25">
      <c r="B1513" s="44"/>
      <c r="D1513" s="349"/>
      <c r="E1513" s="33"/>
      <c r="F1513" s="33"/>
      <c r="G1513" s="33"/>
      <c r="H1513" s="33"/>
      <c r="I1513" s="33"/>
      <c r="J1513" s="33"/>
      <c r="K1513" s="33"/>
      <c r="L1513" s="561"/>
      <c r="M1513" s="33"/>
      <c r="N1513" s="33"/>
      <c r="O1513" s="33"/>
      <c r="P1513" s="184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44"/>
      <c r="AP1513" s="37"/>
      <c r="AQ1513" s="27"/>
      <c r="AR1513" s="57"/>
      <c r="AS1513" s="56">
        <f>Tabela4[[#This Row],[Total R$]]-Tabela4[[#This Row],[Total Pago]]</f>
        <v>0</v>
      </c>
      <c r="AT1513" s="36"/>
    </row>
    <row r="1514" spans="2:46" x14ac:dyDescent="0.25">
      <c r="B1514" s="44"/>
      <c r="D1514" s="349"/>
      <c r="E1514" s="33"/>
      <c r="F1514" s="33"/>
      <c r="G1514" s="33"/>
      <c r="H1514" s="33"/>
      <c r="I1514" s="33"/>
      <c r="J1514" s="33"/>
      <c r="K1514" s="33"/>
      <c r="L1514" s="561"/>
      <c r="M1514" s="33"/>
      <c r="N1514" s="33"/>
      <c r="O1514" s="33"/>
      <c r="P1514" s="184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44"/>
      <c r="AP1514" s="37"/>
      <c r="AQ1514" s="27"/>
      <c r="AR1514" s="57"/>
      <c r="AS1514" s="56">
        <f>Tabela4[[#This Row],[Total R$]]-Tabela4[[#This Row],[Total Pago]]</f>
        <v>0</v>
      </c>
      <c r="AT1514" s="36"/>
    </row>
    <row r="1515" spans="2:46" x14ac:dyDescent="0.25">
      <c r="B1515" s="44"/>
      <c r="D1515" s="349"/>
      <c r="E1515" s="33"/>
      <c r="F1515" s="33"/>
      <c r="G1515" s="33"/>
      <c r="H1515" s="33"/>
      <c r="I1515" s="33"/>
      <c r="J1515" s="33"/>
      <c r="K1515" s="33"/>
      <c r="L1515" s="561"/>
      <c r="M1515" s="33"/>
      <c r="N1515" s="33"/>
      <c r="O1515" s="33"/>
      <c r="P1515" s="184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44"/>
      <c r="AP1515" s="37"/>
      <c r="AQ1515" s="27"/>
      <c r="AR1515" s="57"/>
      <c r="AS1515" s="56">
        <f>Tabela4[[#This Row],[Total R$]]-Tabela4[[#This Row],[Total Pago]]</f>
        <v>0</v>
      </c>
      <c r="AT1515" s="36"/>
    </row>
    <row r="1516" spans="2:46" x14ac:dyDescent="0.25">
      <c r="B1516" s="44"/>
      <c r="D1516" s="349"/>
      <c r="E1516" s="33"/>
      <c r="F1516" s="33"/>
      <c r="G1516" s="33"/>
      <c r="H1516" s="33"/>
      <c r="I1516" s="33"/>
      <c r="J1516" s="33"/>
      <c r="K1516" s="33"/>
      <c r="L1516" s="561"/>
      <c r="M1516" s="33"/>
      <c r="N1516" s="33"/>
      <c r="O1516" s="33"/>
      <c r="P1516" s="184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44"/>
      <c r="AP1516" s="37"/>
      <c r="AQ1516" s="27"/>
      <c r="AR1516" s="57"/>
      <c r="AS1516" s="56">
        <f>Tabela4[[#This Row],[Total R$]]-Tabela4[[#This Row],[Total Pago]]</f>
        <v>0</v>
      </c>
      <c r="AT1516" s="36"/>
    </row>
    <row r="1517" spans="2:46" x14ac:dyDescent="0.25">
      <c r="B1517" s="44"/>
      <c r="D1517" s="349"/>
      <c r="E1517" s="33"/>
      <c r="F1517" s="33"/>
      <c r="G1517" s="33"/>
      <c r="H1517" s="33"/>
      <c r="I1517" s="33"/>
      <c r="J1517" s="33"/>
      <c r="K1517" s="33"/>
      <c r="L1517" s="561"/>
      <c r="M1517" s="33"/>
      <c r="N1517" s="33"/>
      <c r="O1517" s="33"/>
      <c r="P1517" s="184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44"/>
      <c r="AP1517" s="37"/>
      <c r="AQ1517" s="27"/>
      <c r="AR1517" s="57"/>
      <c r="AS1517" s="56">
        <f>Tabela4[[#This Row],[Total R$]]-Tabela4[[#This Row],[Total Pago]]</f>
        <v>0</v>
      </c>
      <c r="AT1517" s="36"/>
    </row>
    <row r="1518" spans="2:46" x14ac:dyDescent="0.25">
      <c r="B1518" s="44"/>
      <c r="D1518" s="349"/>
      <c r="E1518" s="33"/>
      <c r="F1518" s="33"/>
      <c r="G1518" s="33"/>
      <c r="H1518" s="33"/>
      <c r="I1518" s="33"/>
      <c r="J1518" s="33"/>
      <c r="K1518" s="33"/>
      <c r="L1518" s="561"/>
      <c r="M1518" s="33"/>
      <c r="N1518" s="33"/>
      <c r="O1518" s="33"/>
      <c r="P1518" s="184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44"/>
      <c r="AP1518" s="37"/>
      <c r="AQ1518" s="27"/>
      <c r="AR1518" s="57"/>
      <c r="AS1518" s="56">
        <f>Tabela4[[#This Row],[Total R$]]-Tabela4[[#This Row],[Total Pago]]</f>
        <v>0</v>
      </c>
      <c r="AT1518" s="36"/>
    </row>
    <row r="1519" spans="2:46" x14ac:dyDescent="0.25">
      <c r="B1519" s="44"/>
      <c r="D1519" s="349"/>
      <c r="E1519" s="33"/>
      <c r="F1519" s="33"/>
      <c r="G1519" s="33"/>
      <c r="H1519" s="33"/>
      <c r="I1519" s="33"/>
      <c r="J1519" s="33"/>
      <c r="K1519" s="33"/>
      <c r="L1519" s="561"/>
      <c r="M1519" s="33"/>
      <c r="N1519" s="33"/>
      <c r="O1519" s="33"/>
      <c r="P1519" s="184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44"/>
      <c r="AP1519" s="37"/>
      <c r="AQ1519" s="27"/>
      <c r="AR1519" s="57"/>
      <c r="AS1519" s="56">
        <f>Tabela4[[#This Row],[Total R$]]-Tabela4[[#This Row],[Total Pago]]</f>
        <v>0</v>
      </c>
      <c r="AT1519" s="36"/>
    </row>
    <row r="1520" spans="2:46" x14ac:dyDescent="0.25">
      <c r="B1520" s="44"/>
      <c r="D1520" s="349"/>
      <c r="E1520" s="33"/>
      <c r="F1520" s="33"/>
      <c r="G1520" s="33"/>
      <c r="H1520" s="33"/>
      <c r="I1520" s="33"/>
      <c r="J1520" s="33"/>
      <c r="K1520" s="33"/>
      <c r="L1520" s="561"/>
      <c r="M1520" s="33"/>
      <c r="N1520" s="33"/>
      <c r="O1520" s="33"/>
      <c r="P1520" s="184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44"/>
      <c r="AP1520" s="37"/>
      <c r="AQ1520" s="27"/>
      <c r="AR1520" s="57"/>
      <c r="AS1520" s="56">
        <f>Tabela4[[#This Row],[Total R$]]-Tabela4[[#This Row],[Total Pago]]</f>
        <v>0</v>
      </c>
      <c r="AT1520" s="36"/>
    </row>
    <row r="1521" spans="2:46" x14ac:dyDescent="0.25">
      <c r="B1521" s="44"/>
      <c r="D1521" s="349"/>
      <c r="E1521" s="33"/>
      <c r="F1521" s="33"/>
      <c r="G1521" s="33"/>
      <c r="H1521" s="33"/>
      <c r="I1521" s="33"/>
      <c r="J1521" s="33"/>
      <c r="K1521" s="33"/>
      <c r="L1521" s="561"/>
      <c r="M1521" s="33"/>
      <c r="N1521" s="33"/>
      <c r="O1521" s="33"/>
      <c r="P1521" s="184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44"/>
      <c r="AP1521" s="37"/>
      <c r="AQ1521" s="27"/>
      <c r="AR1521" s="57"/>
      <c r="AS1521" s="56">
        <f>Tabela4[[#This Row],[Total R$]]-Tabela4[[#This Row],[Total Pago]]</f>
        <v>0</v>
      </c>
      <c r="AT1521" s="36"/>
    </row>
    <row r="1522" spans="2:46" x14ac:dyDescent="0.25">
      <c r="B1522" s="44"/>
      <c r="D1522" s="349"/>
      <c r="E1522" s="33"/>
      <c r="F1522" s="33"/>
      <c r="G1522" s="33"/>
      <c r="H1522" s="33"/>
      <c r="I1522" s="33"/>
      <c r="J1522" s="33"/>
      <c r="K1522" s="33"/>
      <c r="L1522" s="561"/>
      <c r="M1522" s="33"/>
      <c r="N1522" s="33"/>
      <c r="O1522" s="33"/>
      <c r="P1522" s="184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44"/>
      <c r="AP1522" s="37"/>
      <c r="AQ1522" s="27"/>
      <c r="AR1522" s="57"/>
      <c r="AS1522" s="56">
        <f>Tabela4[[#This Row],[Total R$]]-Tabela4[[#This Row],[Total Pago]]</f>
        <v>0</v>
      </c>
      <c r="AT1522" s="36"/>
    </row>
    <row r="1523" spans="2:46" x14ac:dyDescent="0.25">
      <c r="B1523" s="44"/>
      <c r="D1523" s="349"/>
      <c r="E1523" s="33"/>
      <c r="F1523" s="33"/>
      <c r="G1523" s="33"/>
      <c r="H1523" s="33"/>
      <c r="I1523" s="33"/>
      <c r="J1523" s="33"/>
      <c r="K1523" s="33"/>
      <c r="L1523" s="561"/>
      <c r="M1523" s="33"/>
      <c r="N1523" s="33"/>
      <c r="O1523" s="33"/>
      <c r="P1523" s="184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44"/>
      <c r="AP1523" s="37"/>
      <c r="AQ1523" s="27"/>
      <c r="AR1523" s="57"/>
      <c r="AS1523" s="56">
        <f>Tabela4[[#This Row],[Total R$]]-Tabela4[[#This Row],[Total Pago]]</f>
        <v>0</v>
      </c>
      <c r="AT1523" s="36"/>
    </row>
    <row r="1524" spans="2:46" x14ac:dyDescent="0.25">
      <c r="B1524" s="44"/>
      <c r="D1524" s="349"/>
      <c r="E1524" s="33"/>
      <c r="F1524" s="33"/>
      <c r="G1524" s="33"/>
      <c r="H1524" s="33"/>
      <c r="I1524" s="33"/>
      <c r="J1524" s="33"/>
      <c r="K1524" s="33"/>
      <c r="L1524" s="561"/>
      <c r="M1524" s="33"/>
      <c r="N1524" s="33"/>
      <c r="O1524" s="33"/>
      <c r="P1524" s="184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44"/>
      <c r="AP1524" s="37"/>
      <c r="AQ1524" s="27"/>
      <c r="AR1524" s="57"/>
      <c r="AS1524" s="56">
        <f>Tabela4[[#This Row],[Total R$]]-Tabela4[[#This Row],[Total Pago]]</f>
        <v>0</v>
      </c>
      <c r="AT1524" s="36"/>
    </row>
    <row r="1525" spans="2:46" x14ac:dyDescent="0.25">
      <c r="B1525" s="44"/>
      <c r="D1525" s="349"/>
      <c r="E1525" s="33"/>
      <c r="F1525" s="33"/>
      <c r="G1525" s="33"/>
      <c r="H1525" s="33"/>
      <c r="I1525" s="33"/>
      <c r="J1525" s="33"/>
      <c r="K1525" s="33"/>
      <c r="L1525" s="561"/>
      <c r="M1525" s="33"/>
      <c r="N1525" s="33"/>
      <c r="O1525" s="33"/>
      <c r="P1525" s="184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44"/>
      <c r="AP1525" s="37"/>
      <c r="AQ1525" s="27"/>
      <c r="AR1525" s="57"/>
      <c r="AS1525" s="56">
        <f>Tabela4[[#This Row],[Total R$]]-Tabela4[[#This Row],[Total Pago]]</f>
        <v>0</v>
      </c>
      <c r="AT1525" s="36"/>
    </row>
    <row r="1526" spans="2:46" x14ac:dyDescent="0.25">
      <c r="B1526" s="44"/>
      <c r="D1526" s="349"/>
      <c r="E1526" s="33"/>
      <c r="F1526" s="33"/>
      <c r="G1526" s="33"/>
      <c r="H1526" s="33"/>
      <c r="I1526" s="33"/>
      <c r="J1526" s="33"/>
      <c r="K1526" s="33"/>
      <c r="L1526" s="561"/>
      <c r="M1526" s="33"/>
      <c r="N1526" s="33"/>
      <c r="O1526" s="33"/>
      <c r="P1526" s="184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44"/>
      <c r="AP1526" s="37"/>
      <c r="AQ1526" s="27"/>
      <c r="AR1526" s="57"/>
      <c r="AS1526" s="56">
        <f>Tabela4[[#This Row],[Total R$]]-Tabela4[[#This Row],[Total Pago]]</f>
        <v>0</v>
      </c>
      <c r="AT1526" s="36"/>
    </row>
    <row r="1527" spans="2:46" x14ac:dyDescent="0.25">
      <c r="B1527" s="44"/>
      <c r="D1527" s="349"/>
      <c r="E1527" s="33"/>
      <c r="F1527" s="33"/>
      <c r="G1527" s="33"/>
      <c r="H1527" s="33"/>
      <c r="I1527" s="33"/>
      <c r="J1527" s="33"/>
      <c r="K1527" s="33"/>
      <c r="L1527" s="561"/>
      <c r="M1527" s="33"/>
      <c r="N1527" s="33"/>
      <c r="O1527" s="33"/>
      <c r="P1527" s="184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44"/>
      <c r="AP1527" s="37"/>
      <c r="AQ1527" s="27"/>
      <c r="AR1527" s="57"/>
      <c r="AS1527" s="56">
        <f>Tabela4[[#This Row],[Total R$]]-Tabela4[[#This Row],[Total Pago]]</f>
        <v>0</v>
      </c>
      <c r="AT1527" s="36"/>
    </row>
    <row r="1528" spans="2:46" x14ac:dyDescent="0.25">
      <c r="B1528" s="44"/>
      <c r="D1528" s="349"/>
      <c r="E1528" s="33"/>
      <c r="F1528" s="33"/>
      <c r="G1528" s="33"/>
      <c r="H1528" s="33"/>
      <c r="I1528" s="33"/>
      <c r="J1528" s="33"/>
      <c r="K1528" s="33"/>
      <c r="L1528" s="561"/>
      <c r="M1528" s="33"/>
      <c r="N1528" s="33"/>
      <c r="O1528" s="33"/>
      <c r="P1528" s="184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44"/>
      <c r="AP1528" s="37"/>
      <c r="AQ1528" s="27"/>
      <c r="AR1528" s="57"/>
      <c r="AS1528" s="56">
        <f>Tabela4[[#This Row],[Total R$]]-Tabela4[[#This Row],[Total Pago]]</f>
        <v>0</v>
      </c>
      <c r="AT1528" s="36"/>
    </row>
    <row r="1529" spans="2:46" x14ac:dyDescent="0.25">
      <c r="B1529" s="44"/>
      <c r="D1529" s="349"/>
      <c r="E1529" s="33"/>
      <c r="F1529" s="33"/>
      <c r="G1529" s="33"/>
      <c r="H1529" s="33"/>
      <c r="I1529" s="33"/>
      <c r="J1529" s="33"/>
      <c r="K1529" s="33"/>
      <c r="L1529" s="561"/>
      <c r="M1529" s="33"/>
      <c r="N1529" s="33"/>
      <c r="O1529" s="33"/>
      <c r="P1529" s="184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44"/>
      <c r="AP1529" s="37"/>
      <c r="AQ1529" s="27"/>
      <c r="AR1529" s="57"/>
      <c r="AS1529" s="56">
        <f>Tabela4[[#This Row],[Total R$]]-Tabela4[[#This Row],[Total Pago]]</f>
        <v>0</v>
      </c>
      <c r="AT1529" s="36"/>
    </row>
    <row r="1530" spans="2:46" x14ac:dyDescent="0.25">
      <c r="B1530" s="44"/>
      <c r="D1530" s="349"/>
      <c r="E1530" s="33"/>
      <c r="F1530" s="33"/>
      <c r="G1530" s="33"/>
      <c r="H1530" s="33"/>
      <c r="I1530" s="33"/>
      <c r="J1530" s="33"/>
      <c r="K1530" s="33"/>
      <c r="L1530" s="561"/>
      <c r="M1530" s="33"/>
      <c r="N1530" s="33"/>
      <c r="O1530" s="33"/>
      <c r="P1530" s="184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44"/>
      <c r="AP1530" s="37"/>
      <c r="AQ1530" s="27"/>
      <c r="AR1530" s="57"/>
      <c r="AS1530" s="56">
        <f>Tabela4[[#This Row],[Total R$]]-Tabela4[[#This Row],[Total Pago]]</f>
        <v>0</v>
      </c>
      <c r="AT1530" s="36"/>
    </row>
    <row r="1531" spans="2:46" x14ac:dyDescent="0.25">
      <c r="B1531" s="44"/>
      <c r="D1531" s="349"/>
      <c r="E1531" s="33"/>
      <c r="F1531" s="33"/>
      <c r="G1531" s="33"/>
      <c r="H1531" s="33"/>
      <c r="I1531" s="33"/>
      <c r="J1531" s="33"/>
      <c r="K1531" s="33"/>
      <c r="L1531" s="561"/>
      <c r="M1531" s="33"/>
      <c r="N1531" s="33"/>
      <c r="O1531" s="33"/>
      <c r="P1531" s="184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44"/>
      <c r="AP1531" s="37"/>
      <c r="AQ1531" s="27"/>
      <c r="AR1531" s="57"/>
      <c r="AS1531" s="56">
        <f>Tabela4[[#This Row],[Total R$]]-Tabela4[[#This Row],[Total Pago]]</f>
        <v>0</v>
      </c>
      <c r="AT1531" s="36"/>
    </row>
    <row r="1532" spans="2:46" x14ac:dyDescent="0.25">
      <c r="B1532" s="44"/>
      <c r="D1532" s="349"/>
      <c r="E1532" s="33"/>
      <c r="F1532" s="33"/>
      <c r="G1532" s="33"/>
      <c r="H1532" s="33"/>
      <c r="I1532" s="33"/>
      <c r="J1532" s="33"/>
      <c r="K1532" s="33"/>
      <c r="L1532" s="561"/>
      <c r="M1532" s="33"/>
      <c r="N1532" s="33"/>
      <c r="O1532" s="33"/>
      <c r="P1532" s="184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44"/>
      <c r="AP1532" s="37"/>
      <c r="AQ1532" s="27"/>
      <c r="AR1532" s="57"/>
      <c r="AS1532" s="56">
        <f>Tabela4[[#This Row],[Total R$]]-Tabela4[[#This Row],[Total Pago]]</f>
        <v>0</v>
      </c>
      <c r="AT1532" s="36"/>
    </row>
    <row r="1533" spans="2:46" x14ac:dyDescent="0.25">
      <c r="B1533" s="44"/>
      <c r="D1533" s="349"/>
      <c r="E1533" s="33"/>
      <c r="F1533" s="33"/>
      <c r="G1533" s="33"/>
      <c r="H1533" s="33"/>
      <c r="I1533" s="33"/>
      <c r="J1533" s="33"/>
      <c r="K1533" s="33"/>
      <c r="L1533" s="561"/>
      <c r="M1533" s="33"/>
      <c r="N1533" s="33"/>
      <c r="O1533" s="33"/>
      <c r="P1533" s="184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44"/>
      <c r="AP1533" s="37"/>
      <c r="AQ1533" s="27"/>
      <c r="AR1533" s="57"/>
      <c r="AS1533" s="56">
        <f>Tabela4[[#This Row],[Total R$]]-Tabela4[[#This Row],[Total Pago]]</f>
        <v>0</v>
      </c>
      <c r="AT1533" s="36"/>
    </row>
    <row r="1534" spans="2:46" x14ac:dyDescent="0.25">
      <c r="B1534" s="44"/>
      <c r="D1534" s="349"/>
      <c r="E1534" s="33"/>
      <c r="F1534" s="33"/>
      <c r="G1534" s="33"/>
      <c r="H1534" s="33"/>
      <c r="I1534" s="33"/>
      <c r="J1534" s="33"/>
      <c r="K1534" s="33"/>
      <c r="L1534" s="561"/>
      <c r="M1534" s="33"/>
      <c r="N1534" s="33"/>
      <c r="O1534" s="33"/>
      <c r="P1534" s="184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44"/>
      <c r="AP1534" s="37"/>
      <c r="AQ1534" s="27"/>
      <c r="AR1534" s="57"/>
      <c r="AS1534" s="56">
        <f>Tabela4[[#This Row],[Total R$]]-Tabela4[[#This Row],[Total Pago]]</f>
        <v>0</v>
      </c>
      <c r="AT1534" s="36"/>
    </row>
    <row r="1535" spans="2:46" x14ac:dyDescent="0.25">
      <c r="B1535" s="44"/>
      <c r="D1535" s="349"/>
      <c r="E1535" s="33"/>
      <c r="F1535" s="33"/>
      <c r="G1535" s="33"/>
      <c r="H1535" s="33"/>
      <c r="I1535" s="33"/>
      <c r="J1535" s="33"/>
      <c r="K1535" s="33"/>
      <c r="L1535" s="561"/>
      <c r="M1535" s="33"/>
      <c r="N1535" s="33"/>
      <c r="O1535" s="33"/>
      <c r="P1535" s="184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44"/>
      <c r="AP1535" s="37"/>
      <c r="AQ1535" s="27"/>
      <c r="AR1535" s="57"/>
      <c r="AS1535" s="56">
        <f>Tabela4[[#This Row],[Total R$]]-Tabela4[[#This Row],[Total Pago]]</f>
        <v>0</v>
      </c>
      <c r="AT1535" s="36"/>
    </row>
    <row r="1536" spans="2:46" x14ac:dyDescent="0.25">
      <c r="B1536" s="44"/>
      <c r="D1536" s="349"/>
      <c r="E1536" s="33"/>
      <c r="F1536" s="33"/>
      <c r="G1536" s="33"/>
      <c r="H1536" s="33"/>
      <c r="I1536" s="33"/>
      <c r="J1536" s="33"/>
      <c r="K1536" s="33"/>
      <c r="L1536" s="561"/>
      <c r="M1536" s="33"/>
      <c r="N1536" s="33"/>
      <c r="O1536" s="33"/>
      <c r="P1536" s="184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44"/>
      <c r="AP1536" s="37"/>
      <c r="AQ1536" s="27"/>
      <c r="AR1536" s="57"/>
      <c r="AS1536" s="56">
        <f>Tabela4[[#This Row],[Total R$]]-Tabela4[[#This Row],[Total Pago]]</f>
        <v>0</v>
      </c>
      <c r="AT1536" s="36"/>
    </row>
    <row r="1537" spans="2:46" x14ac:dyDescent="0.25">
      <c r="B1537" s="44"/>
      <c r="D1537" s="349"/>
      <c r="E1537" s="33"/>
      <c r="F1537" s="33"/>
      <c r="G1537" s="33"/>
      <c r="H1537" s="33"/>
      <c r="I1537" s="33"/>
      <c r="J1537" s="33"/>
      <c r="K1537" s="33"/>
      <c r="L1537" s="561"/>
      <c r="M1537" s="33"/>
      <c r="N1537" s="33"/>
      <c r="O1537" s="33"/>
      <c r="P1537" s="184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44"/>
      <c r="AP1537" s="37"/>
      <c r="AQ1537" s="27"/>
      <c r="AR1537" s="57"/>
      <c r="AS1537" s="56">
        <f>Tabela4[[#This Row],[Total R$]]-Tabela4[[#This Row],[Total Pago]]</f>
        <v>0</v>
      </c>
      <c r="AT1537" s="36"/>
    </row>
    <row r="1538" spans="2:46" x14ac:dyDescent="0.25">
      <c r="B1538" s="44"/>
      <c r="D1538" s="349"/>
      <c r="E1538" s="33"/>
      <c r="F1538" s="33"/>
      <c r="G1538" s="33"/>
      <c r="H1538" s="33"/>
      <c r="I1538" s="33"/>
      <c r="J1538" s="33"/>
      <c r="K1538" s="33"/>
      <c r="L1538" s="561"/>
      <c r="M1538" s="33"/>
      <c r="N1538" s="33"/>
      <c r="O1538" s="33"/>
      <c r="P1538" s="184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44"/>
      <c r="AP1538" s="37"/>
      <c r="AQ1538" s="27"/>
      <c r="AR1538" s="57"/>
      <c r="AS1538" s="56">
        <f>Tabela4[[#This Row],[Total R$]]-Tabela4[[#This Row],[Total Pago]]</f>
        <v>0</v>
      </c>
      <c r="AT1538" s="36"/>
    </row>
    <row r="1539" spans="2:46" x14ac:dyDescent="0.25">
      <c r="B1539" s="44"/>
      <c r="D1539" s="349"/>
      <c r="E1539" s="33"/>
      <c r="F1539" s="33"/>
      <c r="G1539" s="33"/>
      <c r="H1539" s="33"/>
      <c r="I1539" s="33"/>
      <c r="J1539" s="33"/>
      <c r="K1539" s="33"/>
      <c r="L1539" s="561"/>
      <c r="M1539" s="33"/>
      <c r="N1539" s="33"/>
      <c r="O1539" s="33"/>
      <c r="P1539" s="184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44"/>
      <c r="AP1539" s="37"/>
      <c r="AQ1539" s="27"/>
      <c r="AR1539" s="57"/>
      <c r="AS1539" s="56">
        <f>Tabela4[[#This Row],[Total R$]]-Tabela4[[#This Row],[Total Pago]]</f>
        <v>0</v>
      </c>
      <c r="AT1539" s="36"/>
    </row>
    <row r="1540" spans="2:46" x14ac:dyDescent="0.25">
      <c r="B1540" s="44"/>
      <c r="D1540" s="349"/>
      <c r="E1540" s="33"/>
      <c r="F1540" s="33"/>
      <c r="G1540" s="33"/>
      <c r="H1540" s="33"/>
      <c r="I1540" s="33"/>
      <c r="J1540" s="33"/>
      <c r="K1540" s="33"/>
      <c r="L1540" s="561"/>
      <c r="M1540" s="33"/>
      <c r="N1540" s="33"/>
      <c r="O1540" s="33"/>
      <c r="P1540" s="184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44"/>
      <c r="AP1540" s="37"/>
      <c r="AQ1540" s="27"/>
      <c r="AR1540" s="57"/>
      <c r="AS1540" s="56">
        <f>Tabela4[[#This Row],[Total R$]]-Tabela4[[#This Row],[Total Pago]]</f>
        <v>0</v>
      </c>
      <c r="AT1540" s="36"/>
    </row>
    <row r="1541" spans="2:46" x14ac:dyDescent="0.25">
      <c r="B1541" s="44"/>
      <c r="D1541" s="349"/>
      <c r="E1541" s="33"/>
      <c r="F1541" s="33"/>
      <c r="G1541" s="33"/>
      <c r="H1541" s="33"/>
      <c r="I1541" s="33"/>
      <c r="J1541" s="33"/>
      <c r="K1541" s="33"/>
      <c r="L1541" s="561"/>
      <c r="M1541" s="33"/>
      <c r="N1541" s="33"/>
      <c r="O1541" s="33"/>
      <c r="P1541" s="184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44"/>
      <c r="AP1541" s="37"/>
      <c r="AQ1541" s="27"/>
      <c r="AR1541" s="57"/>
      <c r="AS1541" s="56">
        <f>Tabela4[[#This Row],[Total R$]]-Tabela4[[#This Row],[Total Pago]]</f>
        <v>0</v>
      </c>
      <c r="AT1541" s="36"/>
    </row>
    <row r="1542" spans="2:46" x14ac:dyDescent="0.25">
      <c r="B1542" s="44"/>
      <c r="D1542" s="349"/>
      <c r="E1542" s="33"/>
      <c r="F1542" s="33"/>
      <c r="G1542" s="33"/>
      <c r="H1542" s="33"/>
      <c r="I1542" s="33"/>
      <c r="J1542" s="33"/>
      <c r="K1542" s="33"/>
      <c r="L1542" s="561"/>
      <c r="M1542" s="33"/>
      <c r="N1542" s="33"/>
      <c r="O1542" s="33"/>
      <c r="P1542" s="184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44"/>
      <c r="AP1542" s="37"/>
      <c r="AQ1542" s="27"/>
      <c r="AR1542" s="57"/>
      <c r="AS1542" s="56">
        <f>Tabela4[[#This Row],[Total R$]]-Tabela4[[#This Row],[Total Pago]]</f>
        <v>0</v>
      </c>
      <c r="AT1542" s="36"/>
    </row>
    <row r="1543" spans="2:46" x14ac:dyDescent="0.25">
      <c r="B1543" s="44"/>
      <c r="D1543" s="349"/>
      <c r="E1543" s="33"/>
      <c r="F1543" s="33"/>
      <c r="G1543" s="33"/>
      <c r="H1543" s="33"/>
      <c r="I1543" s="33"/>
      <c r="J1543" s="33"/>
      <c r="K1543" s="33"/>
      <c r="L1543" s="561"/>
      <c r="M1543" s="33"/>
      <c r="N1543" s="33"/>
      <c r="O1543" s="33"/>
      <c r="P1543" s="184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44"/>
      <c r="AP1543" s="37"/>
      <c r="AQ1543" s="27"/>
      <c r="AR1543" s="57"/>
      <c r="AS1543" s="56">
        <f>Tabela4[[#This Row],[Total R$]]-Tabela4[[#This Row],[Total Pago]]</f>
        <v>0</v>
      </c>
      <c r="AT1543" s="36"/>
    </row>
    <row r="1544" spans="2:46" x14ac:dyDescent="0.25">
      <c r="B1544" s="44"/>
      <c r="D1544" s="349"/>
      <c r="E1544" s="33"/>
      <c r="F1544" s="33"/>
      <c r="G1544" s="33"/>
      <c r="H1544" s="33"/>
      <c r="I1544" s="33"/>
      <c r="J1544" s="33"/>
      <c r="K1544" s="33"/>
      <c r="L1544" s="561"/>
      <c r="M1544" s="33"/>
      <c r="N1544" s="33"/>
      <c r="O1544" s="33"/>
      <c r="P1544" s="184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44"/>
      <c r="AP1544" s="37"/>
      <c r="AQ1544" s="27"/>
      <c r="AR1544" s="57"/>
      <c r="AS1544" s="56">
        <f>Tabela4[[#This Row],[Total R$]]-Tabela4[[#This Row],[Total Pago]]</f>
        <v>0</v>
      </c>
      <c r="AT1544" s="36"/>
    </row>
    <row r="1545" spans="2:46" x14ac:dyDescent="0.25">
      <c r="B1545" s="44"/>
      <c r="D1545" s="349"/>
      <c r="E1545" s="33"/>
      <c r="F1545" s="33"/>
      <c r="G1545" s="33"/>
      <c r="H1545" s="33"/>
      <c r="I1545" s="33"/>
      <c r="J1545" s="33"/>
      <c r="K1545" s="33"/>
      <c r="L1545" s="561"/>
      <c r="M1545" s="33"/>
      <c r="N1545" s="33"/>
      <c r="O1545" s="33"/>
      <c r="P1545" s="184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44"/>
      <c r="AP1545" s="37"/>
      <c r="AQ1545" s="27"/>
      <c r="AR1545" s="57"/>
      <c r="AS1545" s="56">
        <f>Tabela4[[#This Row],[Total R$]]-Tabela4[[#This Row],[Total Pago]]</f>
        <v>0</v>
      </c>
      <c r="AT1545" s="36"/>
    </row>
    <row r="1546" spans="2:46" x14ac:dyDescent="0.25">
      <c r="B1546" s="44"/>
      <c r="D1546" s="349"/>
      <c r="E1546" s="33"/>
      <c r="F1546" s="33"/>
      <c r="G1546" s="33"/>
      <c r="H1546" s="33"/>
      <c r="I1546" s="33"/>
      <c r="J1546" s="33"/>
      <c r="K1546" s="33"/>
      <c r="L1546" s="561"/>
      <c r="M1546" s="33"/>
      <c r="N1546" s="33"/>
      <c r="O1546" s="33"/>
      <c r="P1546" s="184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44"/>
      <c r="AP1546" s="37"/>
      <c r="AQ1546" s="27"/>
      <c r="AR1546" s="57"/>
      <c r="AS1546" s="56">
        <f>Tabela4[[#This Row],[Total R$]]-Tabela4[[#This Row],[Total Pago]]</f>
        <v>0</v>
      </c>
      <c r="AT1546" s="36"/>
    </row>
    <row r="1547" spans="2:46" x14ac:dyDescent="0.25">
      <c r="B1547" s="44"/>
      <c r="D1547" s="349"/>
      <c r="E1547" s="33"/>
      <c r="F1547" s="33"/>
      <c r="G1547" s="33"/>
      <c r="H1547" s="33"/>
      <c r="I1547" s="33"/>
      <c r="J1547" s="33"/>
      <c r="K1547" s="33"/>
      <c r="L1547" s="561"/>
      <c r="M1547" s="33"/>
      <c r="N1547" s="33"/>
      <c r="O1547" s="33"/>
      <c r="P1547" s="184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44"/>
      <c r="AP1547" s="37"/>
      <c r="AQ1547" s="27"/>
      <c r="AR1547" s="57"/>
      <c r="AS1547" s="56">
        <f>Tabela4[[#This Row],[Total R$]]-Tabela4[[#This Row],[Total Pago]]</f>
        <v>0</v>
      </c>
      <c r="AT1547" s="36"/>
    </row>
    <row r="1548" spans="2:46" x14ac:dyDescent="0.25">
      <c r="B1548" s="44"/>
      <c r="D1548" s="349"/>
      <c r="E1548" s="33"/>
      <c r="F1548" s="33"/>
      <c r="G1548" s="33"/>
      <c r="H1548" s="33"/>
      <c r="I1548" s="33"/>
      <c r="J1548" s="33"/>
      <c r="K1548" s="33"/>
      <c r="L1548" s="561"/>
      <c r="M1548" s="33"/>
      <c r="N1548" s="33"/>
      <c r="O1548" s="33"/>
      <c r="P1548" s="184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44"/>
      <c r="AP1548" s="37"/>
      <c r="AQ1548" s="27"/>
      <c r="AR1548" s="57"/>
      <c r="AS1548" s="56">
        <f>Tabela4[[#This Row],[Total R$]]-Tabela4[[#This Row],[Total Pago]]</f>
        <v>0</v>
      </c>
      <c r="AT1548" s="36"/>
    </row>
    <row r="1549" spans="2:46" x14ac:dyDescent="0.25">
      <c r="B1549" s="44"/>
      <c r="D1549" s="349"/>
      <c r="E1549" s="33"/>
      <c r="F1549" s="33"/>
      <c r="G1549" s="33"/>
      <c r="H1549" s="33"/>
      <c r="I1549" s="33"/>
      <c r="J1549" s="33"/>
      <c r="K1549" s="33"/>
      <c r="L1549" s="561"/>
      <c r="M1549" s="33"/>
      <c r="N1549" s="33"/>
      <c r="O1549" s="33"/>
      <c r="P1549" s="184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44"/>
      <c r="AP1549" s="37"/>
      <c r="AQ1549" s="27"/>
      <c r="AR1549" s="57"/>
      <c r="AS1549" s="56">
        <f>Tabela4[[#This Row],[Total R$]]-Tabela4[[#This Row],[Total Pago]]</f>
        <v>0</v>
      </c>
      <c r="AT1549" s="36"/>
    </row>
    <row r="1550" spans="2:46" x14ac:dyDescent="0.25">
      <c r="B1550" s="44"/>
      <c r="D1550" s="349"/>
      <c r="E1550" s="33"/>
      <c r="F1550" s="33"/>
      <c r="G1550" s="33"/>
      <c r="H1550" s="33"/>
      <c r="I1550" s="33"/>
      <c r="J1550" s="33"/>
      <c r="K1550" s="33"/>
      <c r="L1550" s="561"/>
      <c r="M1550" s="33"/>
      <c r="N1550" s="33"/>
      <c r="O1550" s="33"/>
      <c r="P1550" s="184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44"/>
      <c r="AP1550" s="37"/>
      <c r="AQ1550" s="27"/>
      <c r="AR1550" s="57"/>
      <c r="AS1550" s="56">
        <f>Tabela4[[#This Row],[Total R$]]-Tabela4[[#This Row],[Total Pago]]</f>
        <v>0</v>
      </c>
      <c r="AT1550" s="36"/>
    </row>
    <row r="1551" spans="2:46" x14ac:dyDescent="0.25">
      <c r="B1551" s="44"/>
      <c r="D1551" s="349"/>
      <c r="E1551" s="33"/>
      <c r="F1551" s="33"/>
      <c r="G1551" s="33"/>
      <c r="H1551" s="33"/>
      <c r="I1551" s="33"/>
      <c r="J1551" s="33"/>
      <c r="K1551" s="33"/>
      <c r="L1551" s="561"/>
      <c r="M1551" s="33"/>
      <c r="N1551" s="33"/>
      <c r="O1551" s="33"/>
      <c r="P1551" s="184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44"/>
      <c r="AP1551" s="37"/>
      <c r="AQ1551" s="27"/>
      <c r="AR1551" s="57"/>
      <c r="AS1551" s="56">
        <f>Tabela4[[#This Row],[Total R$]]-Tabela4[[#This Row],[Total Pago]]</f>
        <v>0</v>
      </c>
      <c r="AT1551" s="36"/>
    </row>
    <row r="1552" spans="2:46" x14ac:dyDescent="0.25">
      <c r="B1552" s="44"/>
      <c r="D1552" s="349"/>
      <c r="E1552" s="33"/>
      <c r="F1552" s="33"/>
      <c r="G1552" s="33"/>
      <c r="H1552" s="33"/>
      <c r="I1552" s="33"/>
      <c r="J1552" s="33"/>
      <c r="K1552" s="33"/>
      <c r="L1552" s="561"/>
      <c r="M1552" s="33"/>
      <c r="N1552" s="33"/>
      <c r="O1552" s="33"/>
      <c r="P1552" s="184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44"/>
      <c r="AP1552" s="37"/>
      <c r="AQ1552" s="27"/>
      <c r="AR1552" s="57"/>
      <c r="AS1552" s="56">
        <f>Tabela4[[#This Row],[Total R$]]-Tabela4[[#This Row],[Total Pago]]</f>
        <v>0</v>
      </c>
      <c r="AT1552" s="36"/>
    </row>
    <row r="1553" spans="2:46" x14ac:dyDescent="0.25">
      <c r="B1553" s="44"/>
      <c r="D1553" s="349"/>
      <c r="E1553" s="33"/>
      <c r="F1553" s="33"/>
      <c r="G1553" s="33"/>
      <c r="H1553" s="33"/>
      <c r="I1553" s="33"/>
      <c r="J1553" s="33"/>
      <c r="K1553" s="33"/>
      <c r="L1553" s="561"/>
      <c r="M1553" s="33"/>
      <c r="N1553" s="33"/>
      <c r="O1553" s="33"/>
      <c r="P1553" s="184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44"/>
      <c r="AP1553" s="37"/>
      <c r="AQ1553" s="27"/>
      <c r="AR1553" s="57"/>
      <c r="AS1553" s="56">
        <f>Tabela4[[#This Row],[Total R$]]-Tabela4[[#This Row],[Total Pago]]</f>
        <v>0</v>
      </c>
      <c r="AT1553" s="36"/>
    </row>
    <row r="1554" spans="2:46" x14ac:dyDescent="0.25">
      <c r="B1554" s="44"/>
      <c r="D1554" s="349"/>
      <c r="E1554" s="33"/>
      <c r="F1554" s="33"/>
      <c r="G1554" s="33"/>
      <c r="H1554" s="33"/>
      <c r="I1554" s="33"/>
      <c r="J1554" s="33"/>
      <c r="K1554" s="33"/>
      <c r="L1554" s="561"/>
      <c r="M1554" s="33"/>
      <c r="N1554" s="33"/>
      <c r="O1554" s="33"/>
      <c r="P1554" s="184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44"/>
      <c r="AP1554" s="37"/>
      <c r="AQ1554" s="27"/>
      <c r="AR1554" s="57"/>
      <c r="AS1554" s="56">
        <f>Tabela4[[#This Row],[Total R$]]-Tabela4[[#This Row],[Total Pago]]</f>
        <v>0</v>
      </c>
      <c r="AT1554" s="36"/>
    </row>
    <row r="1555" spans="2:46" x14ac:dyDescent="0.25">
      <c r="B1555" s="44"/>
      <c r="D1555" s="349"/>
      <c r="E1555" s="33"/>
      <c r="F1555" s="33"/>
      <c r="G1555" s="33"/>
      <c r="H1555" s="33"/>
      <c r="I1555" s="33"/>
      <c r="J1555" s="33"/>
      <c r="K1555" s="33"/>
      <c r="L1555" s="561"/>
      <c r="M1555" s="33"/>
      <c r="N1555" s="33"/>
      <c r="O1555" s="33"/>
      <c r="P1555" s="184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44"/>
      <c r="AP1555" s="37"/>
      <c r="AQ1555" s="27"/>
      <c r="AR1555" s="57"/>
      <c r="AS1555" s="56">
        <f>Tabela4[[#This Row],[Total R$]]-Tabela4[[#This Row],[Total Pago]]</f>
        <v>0</v>
      </c>
      <c r="AT1555" s="36"/>
    </row>
    <row r="1556" spans="2:46" x14ac:dyDescent="0.25">
      <c r="B1556" s="44"/>
      <c r="D1556" s="349"/>
      <c r="E1556" s="33"/>
      <c r="F1556" s="33"/>
      <c r="G1556" s="33"/>
      <c r="H1556" s="33"/>
      <c r="I1556" s="33"/>
      <c r="J1556" s="33"/>
      <c r="K1556" s="33"/>
      <c r="L1556" s="561"/>
      <c r="M1556" s="33"/>
      <c r="N1556" s="33"/>
      <c r="O1556" s="33"/>
      <c r="P1556" s="184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44"/>
      <c r="AP1556" s="37"/>
      <c r="AQ1556" s="27"/>
      <c r="AR1556" s="57"/>
      <c r="AS1556" s="56">
        <f>Tabela4[[#This Row],[Total R$]]-Tabela4[[#This Row],[Total Pago]]</f>
        <v>0</v>
      </c>
      <c r="AT1556" s="36"/>
    </row>
    <row r="1557" spans="2:46" x14ac:dyDescent="0.25">
      <c r="B1557" s="44"/>
      <c r="D1557" s="349"/>
      <c r="E1557" s="33"/>
      <c r="F1557" s="33"/>
      <c r="G1557" s="33"/>
      <c r="H1557" s="33"/>
      <c r="I1557" s="33"/>
      <c r="J1557" s="33"/>
      <c r="K1557" s="33"/>
      <c r="L1557" s="561"/>
      <c r="M1557" s="33"/>
      <c r="N1557" s="33"/>
      <c r="O1557" s="33"/>
      <c r="P1557" s="184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44"/>
      <c r="AP1557" s="37"/>
      <c r="AQ1557" s="27"/>
      <c r="AR1557" s="57"/>
      <c r="AS1557" s="56">
        <f>Tabela4[[#This Row],[Total R$]]-Tabela4[[#This Row],[Total Pago]]</f>
        <v>0</v>
      </c>
      <c r="AT1557" s="36"/>
    </row>
    <row r="1558" spans="2:46" x14ac:dyDescent="0.25">
      <c r="B1558" s="44"/>
      <c r="D1558" s="349"/>
      <c r="E1558" s="33"/>
      <c r="F1558" s="33"/>
      <c r="G1558" s="33"/>
      <c r="H1558" s="33"/>
      <c r="I1558" s="33"/>
      <c r="J1558" s="33"/>
      <c r="K1558" s="33"/>
      <c r="L1558" s="561"/>
      <c r="M1558" s="33"/>
      <c r="N1558" s="33"/>
      <c r="O1558" s="33"/>
      <c r="P1558" s="184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44"/>
      <c r="AP1558" s="37"/>
      <c r="AQ1558" s="27"/>
      <c r="AR1558" s="57"/>
      <c r="AS1558" s="56">
        <f>Tabela4[[#This Row],[Total R$]]-Tabela4[[#This Row],[Total Pago]]</f>
        <v>0</v>
      </c>
      <c r="AT1558" s="36"/>
    </row>
    <row r="1559" spans="2:46" x14ac:dyDescent="0.25">
      <c r="B1559" s="44"/>
      <c r="D1559" s="349"/>
      <c r="E1559" s="33"/>
      <c r="F1559" s="33"/>
      <c r="G1559" s="33"/>
      <c r="H1559" s="33"/>
      <c r="I1559" s="33"/>
      <c r="J1559" s="33"/>
      <c r="K1559" s="33"/>
      <c r="L1559" s="561"/>
      <c r="M1559" s="33"/>
      <c r="N1559" s="33"/>
      <c r="O1559" s="33"/>
      <c r="P1559" s="184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44"/>
      <c r="AP1559" s="37"/>
      <c r="AQ1559" s="27"/>
      <c r="AR1559" s="57"/>
      <c r="AS1559" s="56">
        <f>Tabela4[[#This Row],[Total R$]]-Tabela4[[#This Row],[Total Pago]]</f>
        <v>0</v>
      </c>
      <c r="AT1559" s="36"/>
    </row>
    <row r="1560" spans="2:46" x14ac:dyDescent="0.25">
      <c r="B1560" s="44"/>
      <c r="D1560" s="349"/>
      <c r="E1560" s="33"/>
      <c r="F1560" s="33"/>
      <c r="G1560" s="33"/>
      <c r="H1560" s="33"/>
      <c r="I1560" s="33"/>
      <c r="J1560" s="33"/>
      <c r="K1560" s="33"/>
      <c r="L1560" s="561"/>
      <c r="M1560" s="33"/>
      <c r="N1560" s="33"/>
      <c r="O1560" s="33"/>
      <c r="P1560" s="184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44"/>
      <c r="AP1560" s="37"/>
      <c r="AQ1560" s="27"/>
      <c r="AR1560" s="57"/>
      <c r="AS1560" s="56">
        <f>Tabela4[[#This Row],[Total R$]]-Tabela4[[#This Row],[Total Pago]]</f>
        <v>0</v>
      </c>
      <c r="AT1560" s="36"/>
    </row>
    <row r="1561" spans="2:46" x14ac:dyDescent="0.25">
      <c r="B1561" s="44"/>
      <c r="D1561" s="349"/>
      <c r="E1561" s="33"/>
      <c r="F1561" s="33"/>
      <c r="G1561" s="33"/>
      <c r="H1561" s="33"/>
      <c r="I1561" s="33"/>
      <c r="J1561" s="33"/>
      <c r="K1561" s="33"/>
      <c r="L1561" s="561"/>
      <c r="M1561" s="33"/>
      <c r="N1561" s="33"/>
      <c r="O1561" s="33"/>
      <c r="P1561" s="184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44"/>
      <c r="AP1561" s="37"/>
      <c r="AQ1561" s="27"/>
      <c r="AR1561" s="57"/>
      <c r="AS1561" s="56">
        <f>Tabela4[[#This Row],[Total R$]]-Tabela4[[#This Row],[Total Pago]]</f>
        <v>0</v>
      </c>
      <c r="AT1561" s="36"/>
    </row>
    <row r="1562" spans="2:46" x14ac:dyDescent="0.25">
      <c r="B1562" s="44"/>
      <c r="D1562" s="349"/>
      <c r="E1562" s="33"/>
      <c r="F1562" s="33"/>
      <c r="G1562" s="33"/>
      <c r="H1562" s="33"/>
      <c r="I1562" s="33"/>
      <c r="J1562" s="33"/>
      <c r="K1562" s="33"/>
      <c r="L1562" s="561"/>
      <c r="M1562" s="33"/>
      <c r="N1562" s="33"/>
      <c r="O1562" s="33"/>
      <c r="P1562" s="184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44"/>
      <c r="AP1562" s="37"/>
      <c r="AQ1562" s="27"/>
      <c r="AR1562" s="57"/>
      <c r="AS1562" s="56">
        <f>Tabela4[[#This Row],[Total R$]]-Tabela4[[#This Row],[Total Pago]]</f>
        <v>0</v>
      </c>
      <c r="AT1562" s="36"/>
    </row>
    <row r="1563" spans="2:46" x14ac:dyDescent="0.25">
      <c r="B1563" s="44"/>
      <c r="D1563" s="349"/>
      <c r="E1563" s="33"/>
      <c r="F1563" s="33"/>
      <c r="G1563" s="33"/>
      <c r="H1563" s="33"/>
      <c r="I1563" s="33"/>
      <c r="J1563" s="33"/>
      <c r="K1563" s="33"/>
      <c r="L1563" s="561"/>
      <c r="M1563" s="33"/>
      <c r="N1563" s="33"/>
      <c r="O1563" s="33"/>
      <c r="P1563" s="184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44"/>
      <c r="AP1563" s="37"/>
      <c r="AQ1563" s="27"/>
      <c r="AR1563" s="57"/>
      <c r="AS1563" s="56">
        <f>Tabela4[[#This Row],[Total R$]]-Tabela4[[#This Row],[Total Pago]]</f>
        <v>0</v>
      </c>
      <c r="AT1563" s="36"/>
    </row>
    <row r="1564" spans="2:46" x14ac:dyDescent="0.25">
      <c r="B1564" s="44"/>
      <c r="D1564" s="349"/>
      <c r="E1564" s="33"/>
      <c r="F1564" s="33"/>
      <c r="G1564" s="33"/>
      <c r="H1564" s="33"/>
      <c r="I1564" s="33"/>
      <c r="J1564" s="33"/>
      <c r="K1564" s="33"/>
      <c r="L1564" s="561"/>
      <c r="M1564" s="33"/>
      <c r="N1564" s="33"/>
      <c r="O1564" s="33"/>
      <c r="P1564" s="184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44"/>
      <c r="AP1564" s="37"/>
      <c r="AQ1564" s="27"/>
      <c r="AR1564" s="57"/>
      <c r="AS1564" s="56">
        <f>Tabela4[[#This Row],[Total R$]]-Tabela4[[#This Row],[Total Pago]]</f>
        <v>0</v>
      </c>
      <c r="AT1564" s="36"/>
    </row>
    <row r="1565" spans="2:46" x14ac:dyDescent="0.25">
      <c r="B1565" s="44"/>
      <c r="D1565" s="349"/>
      <c r="E1565" s="33"/>
      <c r="F1565" s="33"/>
      <c r="G1565" s="33"/>
      <c r="H1565" s="33"/>
      <c r="I1565" s="33"/>
      <c r="J1565" s="33"/>
      <c r="K1565" s="33"/>
      <c r="L1565" s="561"/>
      <c r="M1565" s="33"/>
      <c r="N1565" s="33"/>
      <c r="O1565" s="33"/>
      <c r="P1565" s="184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44"/>
      <c r="AP1565" s="37"/>
      <c r="AQ1565" s="27"/>
      <c r="AR1565" s="57"/>
      <c r="AS1565" s="56">
        <f>Tabela4[[#This Row],[Total R$]]-Tabela4[[#This Row],[Total Pago]]</f>
        <v>0</v>
      </c>
      <c r="AT1565" s="36"/>
    </row>
    <row r="1566" spans="2:46" x14ac:dyDescent="0.25">
      <c r="B1566" s="44"/>
      <c r="D1566" s="349"/>
      <c r="E1566" s="33"/>
      <c r="F1566" s="33"/>
      <c r="G1566" s="33"/>
      <c r="H1566" s="33"/>
      <c r="I1566" s="33"/>
      <c r="J1566" s="33"/>
      <c r="K1566" s="33"/>
      <c r="L1566" s="561"/>
      <c r="M1566" s="33"/>
      <c r="N1566" s="33"/>
      <c r="O1566" s="33"/>
      <c r="P1566" s="184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44"/>
      <c r="AP1566" s="37"/>
      <c r="AQ1566" s="27"/>
      <c r="AR1566" s="57"/>
      <c r="AS1566" s="56">
        <f>Tabela4[[#This Row],[Total R$]]-Tabela4[[#This Row],[Total Pago]]</f>
        <v>0</v>
      </c>
      <c r="AT1566" s="36"/>
    </row>
    <row r="1567" spans="2:46" x14ac:dyDescent="0.25">
      <c r="B1567" s="44"/>
      <c r="D1567" s="349"/>
      <c r="E1567" s="33"/>
      <c r="F1567" s="33"/>
      <c r="G1567" s="33"/>
      <c r="H1567" s="33"/>
      <c r="I1567" s="33"/>
      <c r="J1567" s="33"/>
      <c r="K1567" s="33"/>
      <c r="L1567" s="561"/>
      <c r="M1567" s="33"/>
      <c r="N1567" s="33"/>
      <c r="O1567" s="33"/>
      <c r="P1567" s="184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44"/>
      <c r="AP1567" s="37"/>
      <c r="AQ1567" s="27"/>
      <c r="AR1567" s="57"/>
      <c r="AS1567" s="56">
        <f>Tabela4[[#This Row],[Total R$]]-Tabela4[[#This Row],[Total Pago]]</f>
        <v>0</v>
      </c>
      <c r="AT1567" s="36"/>
    </row>
    <row r="1568" spans="2:46" x14ac:dyDescent="0.25">
      <c r="B1568" s="44"/>
      <c r="D1568" s="349"/>
      <c r="E1568" s="33"/>
      <c r="F1568" s="33"/>
      <c r="G1568" s="33"/>
      <c r="H1568" s="33"/>
      <c r="I1568" s="33"/>
      <c r="J1568" s="33"/>
      <c r="K1568" s="33"/>
      <c r="L1568" s="561"/>
      <c r="M1568" s="33"/>
      <c r="N1568" s="33"/>
      <c r="O1568" s="33"/>
      <c r="P1568" s="184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44"/>
      <c r="AP1568" s="37"/>
      <c r="AQ1568" s="27"/>
      <c r="AR1568" s="57"/>
      <c r="AS1568" s="56">
        <f>Tabela4[[#This Row],[Total R$]]-Tabela4[[#This Row],[Total Pago]]</f>
        <v>0</v>
      </c>
      <c r="AT1568" s="36"/>
    </row>
    <row r="1569" spans="2:46" x14ac:dyDescent="0.25">
      <c r="B1569" s="44"/>
      <c r="D1569" s="349"/>
      <c r="E1569" s="33"/>
      <c r="F1569" s="33"/>
      <c r="G1569" s="33"/>
      <c r="H1569" s="33"/>
      <c r="I1569" s="33"/>
      <c r="J1569" s="33"/>
      <c r="K1569" s="33"/>
      <c r="L1569" s="561"/>
      <c r="M1569" s="33"/>
      <c r="N1569" s="33"/>
      <c r="O1569" s="33"/>
      <c r="P1569" s="184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44"/>
      <c r="AP1569" s="37"/>
      <c r="AQ1569" s="27"/>
      <c r="AR1569" s="57"/>
      <c r="AS1569" s="56">
        <f>Tabela4[[#This Row],[Total R$]]-Tabela4[[#This Row],[Total Pago]]</f>
        <v>0</v>
      </c>
      <c r="AT1569" s="36"/>
    </row>
    <row r="1570" spans="2:46" x14ac:dyDescent="0.25">
      <c r="B1570" s="44"/>
      <c r="D1570" s="349"/>
      <c r="E1570" s="33"/>
      <c r="F1570" s="33"/>
      <c r="G1570" s="33"/>
      <c r="H1570" s="33"/>
      <c r="I1570" s="33"/>
      <c r="J1570" s="33"/>
      <c r="K1570" s="33"/>
      <c r="L1570" s="561"/>
      <c r="M1570" s="33"/>
      <c r="N1570" s="33"/>
      <c r="O1570" s="33"/>
      <c r="P1570" s="184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44"/>
      <c r="AP1570" s="37"/>
      <c r="AQ1570" s="27"/>
      <c r="AR1570" s="57"/>
      <c r="AS1570" s="56">
        <f>Tabela4[[#This Row],[Total R$]]-Tabela4[[#This Row],[Total Pago]]</f>
        <v>0</v>
      </c>
      <c r="AT1570" s="36"/>
    </row>
    <row r="1571" spans="2:46" x14ac:dyDescent="0.25">
      <c r="B1571" s="44"/>
      <c r="D1571" s="349"/>
      <c r="E1571" s="33"/>
      <c r="F1571" s="33"/>
      <c r="G1571" s="33"/>
      <c r="H1571" s="33"/>
      <c r="I1571" s="33"/>
      <c r="J1571" s="33"/>
      <c r="K1571" s="33"/>
      <c r="L1571" s="561"/>
      <c r="M1571" s="33"/>
      <c r="N1571" s="33"/>
      <c r="O1571" s="33"/>
      <c r="P1571" s="184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44"/>
      <c r="AP1571" s="37"/>
      <c r="AQ1571" s="27"/>
      <c r="AR1571" s="57"/>
      <c r="AS1571" s="56">
        <f>Tabela4[[#This Row],[Total R$]]-Tabela4[[#This Row],[Total Pago]]</f>
        <v>0</v>
      </c>
      <c r="AT1571" s="36"/>
    </row>
    <row r="1572" spans="2:46" x14ac:dyDescent="0.25">
      <c r="B1572" s="44"/>
      <c r="D1572" s="349"/>
      <c r="E1572" s="33"/>
      <c r="F1572" s="33"/>
      <c r="G1572" s="33"/>
      <c r="H1572" s="33"/>
      <c r="I1572" s="33"/>
      <c r="J1572" s="33"/>
      <c r="K1572" s="33"/>
      <c r="L1572" s="561"/>
      <c r="M1572" s="33"/>
      <c r="N1572" s="33"/>
      <c r="O1572" s="33"/>
      <c r="P1572" s="184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44"/>
      <c r="AP1572" s="37"/>
      <c r="AQ1572" s="27"/>
      <c r="AR1572" s="57"/>
      <c r="AS1572" s="56">
        <f>Tabela4[[#This Row],[Total R$]]-Tabela4[[#This Row],[Total Pago]]</f>
        <v>0</v>
      </c>
      <c r="AT1572" s="36"/>
    </row>
    <row r="1573" spans="2:46" x14ac:dyDescent="0.25">
      <c r="B1573" s="44"/>
      <c r="D1573" s="349"/>
      <c r="E1573" s="33"/>
      <c r="F1573" s="33"/>
      <c r="G1573" s="33"/>
      <c r="H1573" s="33"/>
      <c r="I1573" s="33"/>
      <c r="J1573" s="33"/>
      <c r="K1573" s="33"/>
      <c r="L1573" s="561"/>
      <c r="M1573" s="33"/>
      <c r="N1573" s="33"/>
      <c r="O1573" s="33"/>
      <c r="P1573" s="184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44"/>
      <c r="AP1573" s="37"/>
      <c r="AQ1573" s="27"/>
      <c r="AR1573" s="57"/>
      <c r="AS1573" s="56">
        <f>Tabela4[[#This Row],[Total R$]]-Tabela4[[#This Row],[Total Pago]]</f>
        <v>0</v>
      </c>
      <c r="AT1573" s="36"/>
    </row>
    <row r="1574" spans="2:46" x14ac:dyDescent="0.25">
      <c r="B1574" s="44"/>
      <c r="D1574" s="349"/>
      <c r="E1574" s="33"/>
      <c r="F1574" s="33"/>
      <c r="G1574" s="33"/>
      <c r="H1574" s="33"/>
      <c r="I1574" s="33"/>
      <c r="J1574" s="33"/>
      <c r="K1574" s="33"/>
      <c r="L1574" s="561"/>
      <c r="M1574" s="33"/>
      <c r="N1574" s="33"/>
      <c r="O1574" s="33"/>
      <c r="P1574" s="184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44"/>
      <c r="AP1574" s="37"/>
      <c r="AQ1574" s="27"/>
      <c r="AR1574" s="57"/>
      <c r="AS1574" s="56">
        <f>Tabela4[[#This Row],[Total R$]]-Tabela4[[#This Row],[Total Pago]]</f>
        <v>0</v>
      </c>
      <c r="AT1574" s="36"/>
    </row>
    <row r="1575" spans="2:46" x14ac:dyDescent="0.25">
      <c r="B1575" s="44"/>
      <c r="D1575" s="349"/>
      <c r="E1575" s="33"/>
      <c r="F1575" s="33"/>
      <c r="G1575" s="33"/>
      <c r="H1575" s="33"/>
      <c r="I1575" s="33"/>
      <c r="J1575" s="33"/>
      <c r="K1575" s="33"/>
      <c r="L1575" s="561"/>
      <c r="M1575" s="33"/>
      <c r="N1575" s="33"/>
      <c r="O1575" s="33"/>
      <c r="P1575" s="184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44"/>
      <c r="AP1575" s="37"/>
      <c r="AQ1575" s="27"/>
      <c r="AR1575" s="57"/>
      <c r="AS1575" s="56">
        <f>Tabela4[[#This Row],[Total R$]]-Tabela4[[#This Row],[Total Pago]]</f>
        <v>0</v>
      </c>
      <c r="AT1575" s="36"/>
    </row>
    <row r="1576" spans="2:46" x14ac:dyDescent="0.25">
      <c r="B1576" s="44"/>
      <c r="D1576" s="349"/>
      <c r="E1576" s="33"/>
      <c r="F1576" s="33"/>
      <c r="G1576" s="33"/>
      <c r="H1576" s="33"/>
      <c r="I1576" s="33"/>
      <c r="J1576" s="33"/>
      <c r="K1576" s="33"/>
      <c r="L1576" s="561"/>
      <c r="M1576" s="33"/>
      <c r="N1576" s="33"/>
      <c r="O1576" s="33"/>
      <c r="P1576" s="184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44"/>
      <c r="AP1576" s="37"/>
      <c r="AQ1576" s="27"/>
      <c r="AR1576" s="57"/>
      <c r="AS1576" s="56">
        <f>Tabela4[[#This Row],[Total R$]]-Tabela4[[#This Row],[Total Pago]]</f>
        <v>0</v>
      </c>
      <c r="AT1576" s="36"/>
    </row>
    <row r="1577" spans="2:46" x14ac:dyDescent="0.25">
      <c r="B1577" s="44"/>
      <c r="D1577" s="349"/>
      <c r="E1577" s="33"/>
      <c r="F1577" s="33"/>
      <c r="G1577" s="33"/>
      <c r="H1577" s="33"/>
      <c r="I1577" s="33"/>
      <c r="J1577" s="33"/>
      <c r="K1577" s="33"/>
      <c r="L1577" s="561"/>
      <c r="M1577" s="33"/>
      <c r="N1577" s="33"/>
      <c r="O1577" s="33"/>
      <c r="P1577" s="184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44"/>
      <c r="AP1577" s="37"/>
      <c r="AQ1577" s="27"/>
      <c r="AR1577" s="57"/>
      <c r="AS1577" s="56">
        <f>Tabela4[[#This Row],[Total R$]]-Tabela4[[#This Row],[Total Pago]]</f>
        <v>0</v>
      </c>
      <c r="AT1577" s="36"/>
    </row>
    <row r="1578" spans="2:46" x14ac:dyDescent="0.25">
      <c r="B1578" s="44"/>
      <c r="D1578" s="349"/>
      <c r="E1578" s="33"/>
      <c r="F1578" s="33"/>
      <c r="G1578" s="33"/>
      <c r="H1578" s="33"/>
      <c r="I1578" s="33"/>
      <c r="J1578" s="33"/>
      <c r="K1578" s="33"/>
      <c r="L1578" s="561"/>
      <c r="M1578" s="33"/>
      <c r="N1578" s="33"/>
      <c r="O1578" s="33"/>
      <c r="P1578" s="184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44"/>
      <c r="AP1578" s="37"/>
      <c r="AQ1578" s="27"/>
      <c r="AR1578" s="57"/>
      <c r="AS1578" s="56">
        <f>Tabela4[[#This Row],[Total R$]]-Tabela4[[#This Row],[Total Pago]]</f>
        <v>0</v>
      </c>
      <c r="AT1578" s="36"/>
    </row>
    <row r="1579" spans="2:46" x14ac:dyDescent="0.25">
      <c r="B1579" s="44"/>
      <c r="D1579" s="349"/>
      <c r="E1579" s="33"/>
      <c r="F1579" s="33"/>
      <c r="G1579" s="33"/>
      <c r="H1579" s="33"/>
      <c r="I1579" s="33"/>
      <c r="J1579" s="33"/>
      <c r="K1579" s="33"/>
      <c r="L1579" s="561"/>
      <c r="M1579" s="33"/>
      <c r="N1579" s="33"/>
      <c r="O1579" s="33"/>
      <c r="P1579" s="184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44"/>
      <c r="AP1579" s="37"/>
      <c r="AQ1579" s="27"/>
      <c r="AR1579" s="57"/>
      <c r="AS1579" s="56">
        <f>Tabela4[[#This Row],[Total R$]]-Tabela4[[#This Row],[Total Pago]]</f>
        <v>0</v>
      </c>
      <c r="AT1579" s="36"/>
    </row>
    <row r="1580" spans="2:46" x14ac:dyDescent="0.25">
      <c r="B1580" s="44"/>
      <c r="D1580" s="349"/>
      <c r="E1580" s="33"/>
      <c r="F1580" s="33"/>
      <c r="G1580" s="33"/>
      <c r="H1580" s="33"/>
      <c r="I1580" s="33"/>
      <c r="J1580" s="33"/>
      <c r="K1580" s="33"/>
      <c r="L1580" s="561"/>
      <c r="M1580" s="33"/>
      <c r="N1580" s="33"/>
      <c r="O1580" s="33"/>
      <c r="P1580" s="184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44"/>
      <c r="AP1580" s="37"/>
      <c r="AQ1580" s="27"/>
      <c r="AR1580" s="57"/>
      <c r="AS1580" s="56">
        <f>Tabela4[[#This Row],[Total R$]]-Tabela4[[#This Row],[Total Pago]]</f>
        <v>0</v>
      </c>
      <c r="AT1580" s="36"/>
    </row>
    <row r="1581" spans="2:46" x14ac:dyDescent="0.25">
      <c r="B1581" s="44"/>
      <c r="D1581" s="349"/>
      <c r="E1581" s="33"/>
      <c r="F1581" s="33"/>
      <c r="G1581" s="33"/>
      <c r="H1581" s="33"/>
      <c r="I1581" s="33"/>
      <c r="J1581" s="33"/>
      <c r="K1581" s="33"/>
      <c r="L1581" s="561"/>
      <c r="M1581" s="33"/>
      <c r="N1581" s="33"/>
      <c r="O1581" s="33"/>
      <c r="P1581" s="184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44"/>
      <c r="AP1581" s="37"/>
      <c r="AQ1581" s="27"/>
      <c r="AR1581" s="57"/>
      <c r="AS1581" s="56">
        <f>Tabela4[[#This Row],[Total R$]]-Tabela4[[#This Row],[Total Pago]]</f>
        <v>0</v>
      </c>
      <c r="AT1581" s="36"/>
    </row>
    <row r="1582" spans="2:46" x14ac:dyDescent="0.25">
      <c r="B1582" s="44"/>
      <c r="D1582" s="349"/>
      <c r="E1582" s="33"/>
      <c r="F1582" s="33"/>
      <c r="G1582" s="33"/>
      <c r="H1582" s="33"/>
      <c r="I1582" s="33"/>
      <c r="J1582" s="33"/>
      <c r="K1582" s="33"/>
      <c r="L1582" s="561"/>
      <c r="M1582" s="33"/>
      <c r="N1582" s="33"/>
      <c r="O1582" s="33"/>
      <c r="P1582" s="184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44"/>
      <c r="AP1582" s="37"/>
      <c r="AQ1582" s="27"/>
      <c r="AR1582" s="57"/>
      <c r="AS1582" s="56">
        <f>Tabela4[[#This Row],[Total R$]]-Tabela4[[#This Row],[Total Pago]]</f>
        <v>0</v>
      </c>
      <c r="AT1582" s="36"/>
    </row>
    <row r="1583" spans="2:46" x14ac:dyDescent="0.25">
      <c r="B1583" s="44"/>
      <c r="D1583" s="349"/>
      <c r="E1583" s="33"/>
      <c r="F1583" s="33"/>
      <c r="G1583" s="33"/>
      <c r="H1583" s="33"/>
      <c r="I1583" s="33"/>
      <c r="J1583" s="33"/>
      <c r="K1583" s="33"/>
      <c r="L1583" s="561"/>
      <c r="M1583" s="33"/>
      <c r="N1583" s="33"/>
      <c r="O1583" s="33"/>
      <c r="P1583" s="184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44"/>
      <c r="AP1583" s="37"/>
      <c r="AQ1583" s="27"/>
      <c r="AR1583" s="57"/>
      <c r="AS1583" s="56">
        <f>Tabela4[[#This Row],[Total R$]]-Tabela4[[#This Row],[Total Pago]]</f>
        <v>0</v>
      </c>
      <c r="AT1583" s="36"/>
    </row>
    <row r="1584" spans="2:46" x14ac:dyDescent="0.25">
      <c r="B1584" s="44"/>
      <c r="D1584" s="349"/>
      <c r="E1584" s="33"/>
      <c r="F1584" s="33"/>
      <c r="G1584" s="33"/>
      <c r="H1584" s="33"/>
      <c r="I1584" s="33"/>
      <c r="J1584" s="33"/>
      <c r="K1584" s="33"/>
      <c r="L1584" s="561"/>
      <c r="M1584" s="33"/>
      <c r="N1584" s="33"/>
      <c r="O1584" s="33"/>
      <c r="P1584" s="184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44"/>
      <c r="AP1584" s="37"/>
      <c r="AQ1584" s="27"/>
      <c r="AR1584" s="57"/>
      <c r="AS1584" s="56">
        <f>Tabela4[[#This Row],[Total R$]]-Tabela4[[#This Row],[Total Pago]]</f>
        <v>0</v>
      </c>
      <c r="AT1584" s="36"/>
    </row>
    <row r="1585" spans="2:46" x14ac:dyDescent="0.25">
      <c r="B1585" s="44"/>
      <c r="D1585" s="349"/>
      <c r="E1585" s="33"/>
      <c r="F1585" s="33"/>
      <c r="G1585" s="33"/>
      <c r="H1585" s="33"/>
      <c r="I1585" s="33"/>
      <c r="J1585" s="33"/>
      <c r="K1585" s="33"/>
      <c r="L1585" s="561"/>
      <c r="M1585" s="33"/>
      <c r="N1585" s="33"/>
      <c r="O1585" s="33"/>
      <c r="P1585" s="184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44"/>
      <c r="AP1585" s="37"/>
      <c r="AQ1585" s="27"/>
      <c r="AR1585" s="57"/>
      <c r="AS1585" s="56">
        <f>Tabela4[[#This Row],[Total R$]]-Tabela4[[#This Row],[Total Pago]]</f>
        <v>0</v>
      </c>
      <c r="AT1585" s="36"/>
    </row>
    <row r="1586" spans="2:46" x14ac:dyDescent="0.25">
      <c r="B1586" s="44"/>
      <c r="D1586" s="349"/>
      <c r="E1586" s="33"/>
      <c r="F1586" s="33"/>
      <c r="G1586" s="33"/>
      <c r="H1586" s="33"/>
      <c r="I1586" s="33"/>
      <c r="J1586" s="33"/>
      <c r="K1586" s="33"/>
      <c r="L1586" s="561"/>
      <c r="M1586" s="33"/>
      <c r="N1586" s="33"/>
      <c r="O1586" s="33"/>
      <c r="P1586" s="184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44"/>
      <c r="AP1586" s="37"/>
      <c r="AQ1586" s="27"/>
      <c r="AR1586" s="57"/>
      <c r="AS1586" s="56">
        <f>Tabela4[[#This Row],[Total R$]]-Tabela4[[#This Row],[Total Pago]]</f>
        <v>0</v>
      </c>
      <c r="AT1586" s="36"/>
    </row>
    <row r="1587" spans="2:46" x14ac:dyDescent="0.25">
      <c r="B1587" s="44"/>
      <c r="D1587" s="349"/>
      <c r="E1587" s="33"/>
      <c r="F1587" s="33"/>
      <c r="G1587" s="33"/>
      <c r="H1587" s="33"/>
      <c r="I1587" s="33"/>
      <c r="J1587" s="33"/>
      <c r="K1587" s="33"/>
      <c r="L1587" s="561"/>
      <c r="M1587" s="33"/>
      <c r="N1587" s="33"/>
      <c r="O1587" s="33"/>
      <c r="P1587" s="184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44"/>
      <c r="AP1587" s="37"/>
      <c r="AQ1587" s="27"/>
      <c r="AR1587" s="57"/>
      <c r="AS1587" s="56">
        <f>Tabela4[[#This Row],[Total R$]]-Tabela4[[#This Row],[Total Pago]]</f>
        <v>0</v>
      </c>
      <c r="AT1587" s="36"/>
    </row>
    <row r="1588" spans="2:46" x14ac:dyDescent="0.25">
      <c r="B1588" s="44"/>
      <c r="D1588" s="349"/>
      <c r="E1588" s="33"/>
      <c r="F1588" s="33"/>
      <c r="G1588" s="33"/>
      <c r="H1588" s="33"/>
      <c r="I1588" s="33"/>
      <c r="J1588" s="33"/>
      <c r="K1588" s="33"/>
      <c r="L1588" s="561"/>
      <c r="M1588" s="33"/>
      <c r="N1588" s="33"/>
      <c r="O1588" s="33"/>
      <c r="P1588" s="184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44"/>
      <c r="AP1588" s="37"/>
      <c r="AQ1588" s="27"/>
      <c r="AR1588" s="57"/>
      <c r="AS1588" s="56">
        <f>Tabela4[[#This Row],[Total R$]]-Tabela4[[#This Row],[Total Pago]]</f>
        <v>0</v>
      </c>
      <c r="AT1588" s="36"/>
    </row>
    <row r="1589" spans="2:46" x14ac:dyDescent="0.25">
      <c r="B1589" s="44"/>
      <c r="D1589" s="349"/>
      <c r="E1589" s="33"/>
      <c r="F1589" s="33"/>
      <c r="G1589" s="33"/>
      <c r="H1589" s="33"/>
      <c r="I1589" s="33"/>
      <c r="J1589" s="33"/>
      <c r="K1589" s="33"/>
      <c r="L1589" s="561"/>
      <c r="M1589" s="33"/>
      <c r="N1589" s="33"/>
      <c r="O1589" s="33"/>
      <c r="P1589" s="184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44"/>
      <c r="AP1589" s="37"/>
      <c r="AQ1589" s="27"/>
      <c r="AR1589" s="57"/>
      <c r="AS1589" s="56">
        <f>Tabela4[[#This Row],[Total R$]]-Tabela4[[#This Row],[Total Pago]]</f>
        <v>0</v>
      </c>
      <c r="AT1589" s="36"/>
    </row>
    <row r="1590" spans="2:46" x14ac:dyDescent="0.25">
      <c r="B1590" s="44"/>
      <c r="D1590" s="349"/>
      <c r="E1590" s="33"/>
      <c r="F1590" s="33"/>
      <c r="G1590" s="33"/>
      <c r="H1590" s="33"/>
      <c r="I1590" s="33"/>
      <c r="J1590" s="33"/>
      <c r="K1590" s="33"/>
      <c r="L1590" s="561"/>
      <c r="M1590" s="33"/>
      <c r="N1590" s="33"/>
      <c r="O1590" s="33"/>
      <c r="P1590" s="184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44"/>
      <c r="AP1590" s="37"/>
      <c r="AQ1590" s="27"/>
      <c r="AR1590" s="57"/>
      <c r="AS1590" s="56">
        <f>Tabela4[[#This Row],[Total R$]]-Tabela4[[#This Row],[Total Pago]]</f>
        <v>0</v>
      </c>
      <c r="AT1590" s="36"/>
    </row>
    <row r="1591" spans="2:46" x14ac:dyDescent="0.25">
      <c r="B1591" s="44"/>
      <c r="D1591" s="349"/>
      <c r="E1591" s="33"/>
      <c r="F1591" s="33"/>
      <c r="G1591" s="33"/>
      <c r="H1591" s="33"/>
      <c r="I1591" s="33"/>
      <c r="J1591" s="33"/>
      <c r="K1591" s="33"/>
      <c r="L1591" s="561"/>
      <c r="M1591" s="33"/>
      <c r="N1591" s="33"/>
      <c r="O1591" s="33"/>
      <c r="P1591" s="184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44"/>
      <c r="AP1591" s="37"/>
      <c r="AQ1591" s="27"/>
      <c r="AR1591" s="57"/>
      <c r="AS1591" s="56">
        <f>Tabela4[[#This Row],[Total R$]]-Tabela4[[#This Row],[Total Pago]]</f>
        <v>0</v>
      </c>
      <c r="AT1591" s="36"/>
    </row>
    <row r="1592" spans="2:46" x14ac:dyDescent="0.25">
      <c r="B1592" s="44"/>
      <c r="D1592" s="349"/>
      <c r="E1592" s="33"/>
      <c r="F1592" s="33"/>
      <c r="G1592" s="33"/>
      <c r="H1592" s="33"/>
      <c r="I1592" s="33"/>
      <c r="J1592" s="33"/>
      <c r="K1592" s="33"/>
      <c r="L1592" s="561"/>
      <c r="M1592" s="33"/>
      <c r="N1592" s="33"/>
      <c r="O1592" s="33"/>
      <c r="P1592" s="184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44"/>
      <c r="AP1592" s="37"/>
      <c r="AQ1592" s="27"/>
      <c r="AR1592" s="57"/>
      <c r="AS1592" s="56">
        <f>Tabela4[[#This Row],[Total R$]]-Tabela4[[#This Row],[Total Pago]]</f>
        <v>0</v>
      </c>
      <c r="AT1592" s="36"/>
    </row>
    <row r="1593" spans="2:46" x14ac:dyDescent="0.25">
      <c r="B1593" s="44"/>
      <c r="D1593" s="349"/>
      <c r="E1593" s="33"/>
      <c r="F1593" s="33"/>
      <c r="G1593" s="33"/>
      <c r="H1593" s="33"/>
      <c r="I1593" s="33"/>
      <c r="J1593" s="33"/>
      <c r="K1593" s="33"/>
      <c r="L1593" s="561"/>
      <c r="M1593" s="33"/>
      <c r="N1593" s="33"/>
      <c r="O1593" s="33"/>
      <c r="P1593" s="184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44"/>
      <c r="AP1593" s="37"/>
      <c r="AQ1593" s="27"/>
      <c r="AR1593" s="57"/>
      <c r="AS1593" s="56">
        <f>Tabela4[[#This Row],[Total R$]]-Tabela4[[#This Row],[Total Pago]]</f>
        <v>0</v>
      </c>
      <c r="AT1593" s="36"/>
    </row>
    <row r="1594" spans="2:46" x14ac:dyDescent="0.25">
      <c r="B1594" s="44"/>
      <c r="D1594" s="349"/>
      <c r="E1594" s="33"/>
      <c r="F1594" s="33"/>
      <c r="G1594" s="33"/>
      <c r="H1594" s="33"/>
      <c r="I1594" s="33"/>
      <c r="J1594" s="33"/>
      <c r="K1594" s="33"/>
      <c r="L1594" s="561"/>
      <c r="M1594" s="33"/>
      <c r="N1594" s="33"/>
      <c r="O1594" s="33"/>
      <c r="P1594" s="184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44"/>
      <c r="AP1594" s="37"/>
      <c r="AQ1594" s="27"/>
      <c r="AR1594" s="57"/>
      <c r="AS1594" s="56">
        <f>Tabela4[[#This Row],[Total R$]]-Tabela4[[#This Row],[Total Pago]]</f>
        <v>0</v>
      </c>
      <c r="AT1594" s="36"/>
    </row>
    <row r="1595" spans="2:46" x14ac:dyDescent="0.25">
      <c r="B1595" s="44"/>
      <c r="D1595" s="349"/>
      <c r="E1595" s="33"/>
      <c r="F1595" s="33"/>
      <c r="G1595" s="33"/>
      <c r="H1595" s="33"/>
      <c r="I1595" s="33"/>
      <c r="J1595" s="33"/>
      <c r="K1595" s="33"/>
      <c r="L1595" s="561"/>
      <c r="M1595" s="33"/>
      <c r="N1595" s="33"/>
      <c r="O1595" s="33"/>
      <c r="P1595" s="184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44"/>
      <c r="AP1595" s="37"/>
      <c r="AQ1595" s="27"/>
      <c r="AR1595" s="57"/>
      <c r="AS1595" s="56">
        <f>Tabela4[[#This Row],[Total R$]]-Tabela4[[#This Row],[Total Pago]]</f>
        <v>0</v>
      </c>
      <c r="AT1595" s="36"/>
    </row>
    <row r="1596" spans="2:46" x14ac:dyDescent="0.25">
      <c r="B1596" s="44"/>
      <c r="D1596" s="349"/>
      <c r="E1596" s="33"/>
      <c r="F1596" s="33"/>
      <c r="G1596" s="33"/>
      <c r="H1596" s="33"/>
      <c r="I1596" s="33"/>
      <c r="J1596" s="33"/>
      <c r="K1596" s="33"/>
      <c r="L1596" s="561"/>
      <c r="M1596" s="33"/>
      <c r="N1596" s="33"/>
      <c r="O1596" s="33"/>
      <c r="P1596" s="184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44"/>
      <c r="AP1596" s="37"/>
      <c r="AQ1596" s="27"/>
      <c r="AR1596" s="57"/>
      <c r="AS1596" s="56">
        <f>Tabela4[[#This Row],[Total R$]]-Tabela4[[#This Row],[Total Pago]]</f>
        <v>0</v>
      </c>
      <c r="AT1596" s="36"/>
    </row>
    <row r="1597" spans="2:46" x14ac:dyDescent="0.25">
      <c r="B1597" s="44"/>
      <c r="D1597" s="349"/>
      <c r="E1597" s="33"/>
      <c r="F1597" s="33"/>
      <c r="G1597" s="33"/>
      <c r="H1597" s="33"/>
      <c r="I1597" s="33"/>
      <c r="J1597" s="33"/>
      <c r="K1597" s="33"/>
      <c r="L1597" s="561"/>
      <c r="M1597" s="33"/>
      <c r="N1597" s="33"/>
      <c r="O1597" s="33"/>
      <c r="P1597" s="184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44"/>
      <c r="AP1597" s="37"/>
      <c r="AQ1597" s="27"/>
      <c r="AR1597" s="57"/>
      <c r="AS1597" s="56">
        <f>Tabela4[[#This Row],[Total R$]]-Tabela4[[#This Row],[Total Pago]]</f>
        <v>0</v>
      </c>
      <c r="AT1597" s="36"/>
    </row>
    <row r="1598" spans="2:46" x14ac:dyDescent="0.25">
      <c r="B1598" s="44"/>
      <c r="D1598" s="349"/>
      <c r="E1598" s="33"/>
      <c r="F1598" s="33"/>
      <c r="G1598" s="33"/>
      <c r="H1598" s="33"/>
      <c r="I1598" s="33"/>
      <c r="J1598" s="33"/>
      <c r="K1598" s="33"/>
      <c r="L1598" s="561"/>
      <c r="M1598" s="33"/>
      <c r="N1598" s="33"/>
      <c r="O1598" s="33"/>
      <c r="P1598" s="184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44"/>
      <c r="AP1598" s="37"/>
      <c r="AQ1598" s="27"/>
      <c r="AR1598" s="57"/>
      <c r="AS1598" s="56">
        <f>Tabela4[[#This Row],[Total R$]]-Tabela4[[#This Row],[Total Pago]]</f>
        <v>0</v>
      </c>
      <c r="AT1598" s="36"/>
    </row>
    <row r="1599" spans="2:46" x14ac:dyDescent="0.25">
      <c r="B1599" s="44"/>
      <c r="D1599" s="349"/>
      <c r="E1599" s="33"/>
      <c r="F1599" s="33"/>
      <c r="G1599" s="33"/>
      <c r="H1599" s="33"/>
      <c r="I1599" s="33"/>
      <c r="J1599" s="33"/>
      <c r="K1599" s="33"/>
      <c r="L1599" s="561"/>
      <c r="M1599" s="33"/>
      <c r="N1599" s="33"/>
      <c r="O1599" s="33"/>
      <c r="P1599" s="184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44"/>
      <c r="AP1599" s="37"/>
      <c r="AQ1599" s="27"/>
      <c r="AR1599" s="57"/>
      <c r="AS1599" s="56">
        <f>Tabela4[[#This Row],[Total R$]]-Tabela4[[#This Row],[Total Pago]]</f>
        <v>0</v>
      </c>
      <c r="AT1599" s="36"/>
    </row>
    <row r="1600" spans="2:46" x14ac:dyDescent="0.25">
      <c r="B1600" s="44"/>
      <c r="D1600" s="349"/>
      <c r="E1600" s="33"/>
      <c r="F1600" s="33"/>
      <c r="G1600" s="33"/>
      <c r="H1600" s="33"/>
      <c r="I1600" s="33"/>
      <c r="J1600" s="33"/>
      <c r="K1600" s="33"/>
      <c r="L1600" s="561"/>
      <c r="M1600" s="33"/>
      <c r="N1600" s="33"/>
      <c r="O1600" s="33"/>
      <c r="P1600" s="184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44"/>
      <c r="AP1600" s="37"/>
      <c r="AQ1600" s="27"/>
      <c r="AR1600" s="57"/>
      <c r="AS1600" s="56">
        <f>Tabela4[[#This Row],[Total R$]]-Tabela4[[#This Row],[Total Pago]]</f>
        <v>0</v>
      </c>
      <c r="AT1600" s="36"/>
    </row>
    <row r="1601" spans="2:46" x14ac:dyDescent="0.25">
      <c r="B1601" s="44"/>
      <c r="D1601" s="349"/>
      <c r="E1601" s="33"/>
      <c r="F1601" s="33"/>
      <c r="G1601" s="33"/>
      <c r="H1601" s="33"/>
      <c r="I1601" s="33"/>
      <c r="J1601" s="33"/>
      <c r="K1601" s="33"/>
      <c r="L1601" s="561"/>
      <c r="M1601" s="33"/>
      <c r="N1601" s="33"/>
      <c r="O1601" s="33"/>
      <c r="P1601" s="184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44"/>
      <c r="AP1601" s="37"/>
      <c r="AQ1601" s="27"/>
      <c r="AR1601" s="57"/>
      <c r="AS1601" s="56">
        <f>Tabela4[[#This Row],[Total R$]]-Tabela4[[#This Row],[Total Pago]]</f>
        <v>0</v>
      </c>
      <c r="AT1601" s="36"/>
    </row>
    <row r="1602" spans="2:46" x14ac:dyDescent="0.25">
      <c r="B1602" s="44"/>
      <c r="D1602" s="349"/>
      <c r="E1602" s="33"/>
      <c r="F1602" s="33"/>
      <c r="G1602" s="33"/>
      <c r="H1602" s="33"/>
      <c r="I1602" s="33"/>
      <c r="J1602" s="33"/>
      <c r="K1602" s="33"/>
      <c r="L1602" s="561"/>
      <c r="M1602" s="33"/>
      <c r="N1602" s="33"/>
      <c r="O1602" s="33"/>
      <c r="P1602" s="184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44"/>
      <c r="AP1602" s="37"/>
      <c r="AQ1602" s="27"/>
      <c r="AR1602" s="57"/>
      <c r="AS1602" s="56">
        <f>Tabela4[[#This Row],[Total R$]]-Tabela4[[#This Row],[Total Pago]]</f>
        <v>0</v>
      </c>
      <c r="AT1602" s="36"/>
    </row>
    <row r="1603" spans="2:46" x14ac:dyDescent="0.25">
      <c r="B1603" s="44"/>
      <c r="D1603" s="349"/>
      <c r="E1603" s="33"/>
      <c r="F1603" s="33"/>
      <c r="G1603" s="33"/>
      <c r="H1603" s="33"/>
      <c r="I1603" s="33"/>
      <c r="J1603" s="33"/>
      <c r="K1603" s="33"/>
      <c r="L1603" s="561"/>
      <c r="M1603" s="33"/>
      <c r="N1603" s="33"/>
      <c r="O1603" s="33"/>
      <c r="P1603" s="184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44"/>
      <c r="AP1603" s="37"/>
      <c r="AQ1603" s="27"/>
      <c r="AR1603" s="57"/>
      <c r="AS1603" s="56">
        <f>Tabela4[[#This Row],[Total R$]]-Tabela4[[#This Row],[Total Pago]]</f>
        <v>0</v>
      </c>
      <c r="AT1603" s="36"/>
    </row>
    <row r="1604" spans="2:46" x14ac:dyDescent="0.25">
      <c r="B1604" s="44"/>
      <c r="D1604" s="349"/>
      <c r="E1604" s="33"/>
      <c r="F1604" s="33"/>
      <c r="G1604" s="33"/>
      <c r="H1604" s="33"/>
      <c r="I1604" s="33"/>
      <c r="J1604" s="33"/>
      <c r="K1604" s="33"/>
      <c r="L1604" s="561"/>
      <c r="M1604" s="33"/>
      <c r="N1604" s="33"/>
      <c r="O1604" s="33"/>
      <c r="P1604" s="184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44"/>
      <c r="AP1604" s="37"/>
      <c r="AQ1604" s="27"/>
      <c r="AR1604" s="57"/>
      <c r="AS1604" s="56">
        <f>Tabela4[[#This Row],[Total R$]]-Tabela4[[#This Row],[Total Pago]]</f>
        <v>0</v>
      </c>
      <c r="AT1604" s="36"/>
    </row>
    <row r="1605" spans="2:46" x14ac:dyDescent="0.25">
      <c r="B1605" s="44"/>
      <c r="D1605" s="349"/>
      <c r="E1605" s="33"/>
      <c r="F1605" s="33"/>
      <c r="G1605" s="33"/>
      <c r="H1605" s="33"/>
      <c r="I1605" s="33"/>
      <c r="J1605" s="33"/>
      <c r="K1605" s="33"/>
      <c r="L1605" s="561"/>
      <c r="M1605" s="33"/>
      <c r="N1605" s="33"/>
      <c r="O1605" s="33"/>
      <c r="P1605" s="184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44"/>
      <c r="AP1605" s="37"/>
      <c r="AQ1605" s="27"/>
      <c r="AR1605" s="57"/>
      <c r="AS1605" s="56">
        <f>Tabela4[[#This Row],[Total R$]]-Tabela4[[#This Row],[Total Pago]]</f>
        <v>0</v>
      </c>
      <c r="AT1605" s="36"/>
    </row>
    <row r="1606" spans="2:46" x14ac:dyDescent="0.25">
      <c r="B1606" s="44"/>
      <c r="D1606" s="349"/>
      <c r="E1606" s="33"/>
      <c r="F1606" s="33"/>
      <c r="G1606" s="33"/>
      <c r="H1606" s="33"/>
      <c r="I1606" s="33"/>
      <c r="J1606" s="33"/>
      <c r="K1606" s="33"/>
      <c r="L1606" s="561"/>
      <c r="M1606" s="33"/>
      <c r="N1606" s="33"/>
      <c r="O1606" s="33"/>
      <c r="P1606" s="184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44"/>
      <c r="AP1606" s="37"/>
      <c r="AQ1606" s="27"/>
      <c r="AR1606" s="57"/>
      <c r="AS1606" s="56">
        <f>Tabela4[[#This Row],[Total R$]]-Tabela4[[#This Row],[Total Pago]]</f>
        <v>0</v>
      </c>
      <c r="AT1606" s="36"/>
    </row>
    <row r="1607" spans="2:46" x14ac:dyDescent="0.25">
      <c r="B1607" s="44"/>
      <c r="D1607" s="349"/>
      <c r="E1607" s="33"/>
      <c r="F1607" s="33"/>
      <c r="G1607" s="33"/>
      <c r="H1607" s="33"/>
      <c r="I1607" s="33"/>
      <c r="J1607" s="33"/>
      <c r="K1607" s="33"/>
      <c r="L1607" s="561"/>
      <c r="M1607" s="33"/>
      <c r="N1607" s="33"/>
      <c r="O1607" s="33"/>
      <c r="P1607" s="184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44"/>
      <c r="AP1607" s="37"/>
      <c r="AQ1607" s="27"/>
      <c r="AR1607" s="57"/>
      <c r="AS1607" s="56">
        <f>Tabela4[[#This Row],[Total R$]]-Tabela4[[#This Row],[Total Pago]]</f>
        <v>0</v>
      </c>
      <c r="AT1607" s="36"/>
    </row>
    <row r="1608" spans="2:46" x14ac:dyDescent="0.25">
      <c r="B1608" s="44"/>
      <c r="D1608" s="349"/>
      <c r="E1608" s="33"/>
      <c r="F1608" s="33"/>
      <c r="G1608" s="33"/>
      <c r="H1608" s="33"/>
      <c r="I1608" s="33"/>
      <c r="J1608" s="33"/>
      <c r="K1608" s="33"/>
      <c r="L1608" s="561"/>
      <c r="M1608" s="33"/>
      <c r="N1608" s="33"/>
      <c r="O1608" s="33"/>
      <c r="P1608" s="184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44"/>
      <c r="AP1608" s="37"/>
      <c r="AQ1608" s="27"/>
      <c r="AR1608" s="57"/>
      <c r="AS1608" s="56">
        <f>Tabela4[[#This Row],[Total R$]]-Tabela4[[#This Row],[Total Pago]]</f>
        <v>0</v>
      </c>
      <c r="AT1608" s="36"/>
    </row>
    <row r="1609" spans="2:46" x14ac:dyDescent="0.25">
      <c r="B1609" s="44"/>
      <c r="D1609" s="349"/>
      <c r="E1609" s="33"/>
      <c r="F1609" s="33"/>
      <c r="G1609" s="33"/>
      <c r="H1609" s="33"/>
      <c r="I1609" s="33"/>
      <c r="J1609" s="33"/>
      <c r="K1609" s="33"/>
      <c r="L1609" s="561"/>
      <c r="M1609" s="33"/>
      <c r="N1609" s="33"/>
      <c r="O1609" s="33"/>
      <c r="P1609" s="184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44"/>
      <c r="AP1609" s="37"/>
      <c r="AQ1609" s="27"/>
      <c r="AR1609" s="57"/>
      <c r="AS1609" s="56">
        <f>Tabela4[[#This Row],[Total R$]]-Tabela4[[#This Row],[Total Pago]]</f>
        <v>0</v>
      </c>
      <c r="AT1609" s="36"/>
    </row>
    <row r="1610" spans="2:46" x14ac:dyDescent="0.25">
      <c r="B1610" s="44"/>
      <c r="D1610" s="349"/>
      <c r="E1610" s="33"/>
      <c r="F1610" s="33"/>
      <c r="G1610" s="33"/>
      <c r="H1610" s="33"/>
      <c r="I1610" s="33"/>
      <c r="J1610" s="33"/>
      <c r="K1610" s="33"/>
      <c r="L1610" s="561"/>
      <c r="M1610" s="33"/>
      <c r="N1610" s="33"/>
      <c r="O1610" s="33"/>
      <c r="P1610" s="184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44"/>
      <c r="AP1610" s="37"/>
      <c r="AQ1610" s="27"/>
      <c r="AR1610" s="57"/>
      <c r="AS1610" s="56">
        <f>Tabela4[[#This Row],[Total R$]]-Tabela4[[#This Row],[Total Pago]]</f>
        <v>0</v>
      </c>
      <c r="AT1610" s="36"/>
    </row>
    <row r="1611" spans="2:46" x14ac:dyDescent="0.25">
      <c r="B1611" s="44"/>
      <c r="D1611" s="349"/>
      <c r="E1611" s="33"/>
      <c r="F1611" s="33"/>
      <c r="G1611" s="33"/>
      <c r="H1611" s="33"/>
      <c r="I1611" s="33"/>
      <c r="J1611" s="33"/>
      <c r="K1611" s="33"/>
      <c r="L1611" s="561"/>
      <c r="M1611" s="33"/>
      <c r="N1611" s="33"/>
      <c r="O1611" s="33"/>
      <c r="P1611" s="184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44"/>
      <c r="AP1611" s="37"/>
      <c r="AQ1611" s="27"/>
      <c r="AR1611" s="57"/>
      <c r="AS1611" s="56">
        <f>Tabela4[[#This Row],[Total R$]]-Tabela4[[#This Row],[Total Pago]]</f>
        <v>0</v>
      </c>
      <c r="AT1611" s="36"/>
    </row>
    <row r="1612" spans="2:46" x14ac:dyDescent="0.25">
      <c r="B1612" s="44"/>
      <c r="D1612" s="349"/>
      <c r="E1612" s="33"/>
      <c r="F1612" s="33"/>
      <c r="G1612" s="33"/>
      <c r="H1612" s="33"/>
      <c r="I1612" s="33"/>
      <c r="J1612" s="33"/>
      <c r="K1612" s="33"/>
      <c r="L1612" s="561"/>
      <c r="M1612" s="33"/>
      <c r="N1612" s="33"/>
      <c r="O1612" s="33"/>
      <c r="P1612" s="184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44"/>
      <c r="AP1612" s="37"/>
      <c r="AQ1612" s="27"/>
      <c r="AR1612" s="57"/>
      <c r="AS1612" s="56">
        <f>Tabela4[[#This Row],[Total R$]]-Tabela4[[#This Row],[Total Pago]]</f>
        <v>0</v>
      </c>
      <c r="AT1612" s="36"/>
    </row>
    <row r="1613" spans="2:46" x14ac:dyDescent="0.25">
      <c r="B1613" s="44"/>
      <c r="D1613" s="349"/>
      <c r="E1613" s="33"/>
      <c r="F1613" s="33"/>
      <c r="G1613" s="33"/>
      <c r="H1613" s="33"/>
      <c r="I1613" s="33"/>
      <c r="J1613" s="33"/>
      <c r="K1613" s="33"/>
      <c r="L1613" s="561"/>
      <c r="M1613" s="33"/>
      <c r="N1613" s="33"/>
      <c r="O1613" s="33"/>
      <c r="P1613" s="184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44"/>
      <c r="AP1613" s="37"/>
      <c r="AQ1613" s="27"/>
      <c r="AR1613" s="57"/>
      <c r="AS1613" s="56">
        <f>Tabela4[[#This Row],[Total R$]]-Tabela4[[#This Row],[Total Pago]]</f>
        <v>0</v>
      </c>
      <c r="AT1613" s="36"/>
    </row>
    <row r="1614" spans="2:46" x14ac:dyDescent="0.25">
      <c r="B1614" s="44"/>
      <c r="D1614" s="349"/>
      <c r="E1614" s="33"/>
      <c r="F1614" s="33"/>
      <c r="G1614" s="33"/>
      <c r="H1614" s="33"/>
      <c r="I1614" s="33"/>
      <c r="J1614" s="33"/>
      <c r="K1614" s="33"/>
      <c r="L1614" s="561"/>
      <c r="M1614" s="33"/>
      <c r="N1614" s="33"/>
      <c r="O1614" s="33"/>
      <c r="P1614" s="184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44"/>
      <c r="AP1614" s="37"/>
      <c r="AQ1614" s="27"/>
      <c r="AR1614" s="57"/>
      <c r="AS1614" s="56">
        <f>Tabela4[[#This Row],[Total R$]]-Tabela4[[#This Row],[Total Pago]]</f>
        <v>0</v>
      </c>
      <c r="AT1614" s="36"/>
    </row>
    <row r="1615" spans="2:46" x14ac:dyDescent="0.25">
      <c r="B1615" s="44"/>
      <c r="D1615" s="349"/>
      <c r="E1615" s="33"/>
      <c r="F1615" s="33"/>
      <c r="G1615" s="33"/>
      <c r="H1615" s="33"/>
      <c r="I1615" s="33"/>
      <c r="J1615" s="33"/>
      <c r="K1615" s="33"/>
      <c r="L1615" s="561"/>
      <c r="M1615" s="33"/>
      <c r="N1615" s="33"/>
      <c r="O1615" s="33"/>
      <c r="P1615" s="184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44"/>
      <c r="AP1615" s="37"/>
      <c r="AQ1615" s="27"/>
      <c r="AR1615" s="57"/>
      <c r="AS1615" s="56">
        <f>Tabela4[[#This Row],[Total R$]]-Tabela4[[#This Row],[Total Pago]]</f>
        <v>0</v>
      </c>
      <c r="AT1615" s="36"/>
    </row>
    <row r="1616" spans="2:46" x14ac:dyDescent="0.25">
      <c r="B1616" s="44"/>
      <c r="D1616" s="349"/>
      <c r="E1616" s="33"/>
      <c r="F1616" s="33"/>
      <c r="G1616" s="33"/>
      <c r="H1616" s="33"/>
      <c r="I1616" s="33"/>
      <c r="J1616" s="33"/>
      <c r="K1616" s="33"/>
      <c r="L1616" s="561"/>
      <c r="M1616" s="33"/>
      <c r="N1616" s="33"/>
      <c r="O1616" s="33"/>
      <c r="P1616" s="184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44"/>
      <c r="AP1616" s="37"/>
      <c r="AQ1616" s="27"/>
      <c r="AR1616" s="57"/>
      <c r="AS1616" s="56">
        <f>Tabela4[[#This Row],[Total R$]]-Tabela4[[#This Row],[Total Pago]]</f>
        <v>0</v>
      </c>
      <c r="AT1616" s="36"/>
    </row>
    <row r="1617" spans="2:46" x14ac:dyDescent="0.25">
      <c r="B1617" s="44"/>
      <c r="D1617" s="349"/>
      <c r="E1617" s="33"/>
      <c r="F1617" s="33"/>
      <c r="G1617" s="33"/>
      <c r="H1617" s="33"/>
      <c r="I1617" s="33"/>
      <c r="J1617" s="33"/>
      <c r="K1617" s="33"/>
      <c r="L1617" s="561"/>
      <c r="M1617" s="33"/>
      <c r="N1617" s="33"/>
      <c r="O1617" s="33"/>
      <c r="P1617" s="184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44"/>
      <c r="AP1617" s="37"/>
      <c r="AQ1617" s="27"/>
      <c r="AR1617" s="57"/>
      <c r="AS1617" s="56">
        <f>Tabela4[[#This Row],[Total R$]]-Tabela4[[#This Row],[Total Pago]]</f>
        <v>0</v>
      </c>
      <c r="AT1617" s="36"/>
    </row>
    <row r="1618" spans="2:46" x14ac:dyDescent="0.25">
      <c r="B1618" s="44"/>
      <c r="D1618" s="349"/>
      <c r="E1618" s="33"/>
      <c r="F1618" s="33"/>
      <c r="G1618" s="33"/>
      <c r="H1618" s="33"/>
      <c r="I1618" s="33"/>
      <c r="J1618" s="33"/>
      <c r="K1618" s="33"/>
      <c r="L1618" s="561"/>
      <c r="M1618" s="33"/>
      <c r="N1618" s="33"/>
      <c r="O1618" s="33"/>
      <c r="P1618" s="184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44"/>
      <c r="AP1618" s="37"/>
      <c r="AQ1618" s="27"/>
      <c r="AR1618" s="57"/>
      <c r="AS1618" s="56">
        <f>Tabela4[[#This Row],[Total R$]]-Tabela4[[#This Row],[Total Pago]]</f>
        <v>0</v>
      </c>
      <c r="AT1618" s="36"/>
    </row>
    <row r="1619" spans="2:46" x14ac:dyDescent="0.25">
      <c r="B1619" s="44"/>
      <c r="D1619" s="349"/>
      <c r="E1619" s="33"/>
      <c r="F1619" s="33"/>
      <c r="G1619" s="33"/>
      <c r="H1619" s="33"/>
      <c r="I1619" s="33"/>
      <c r="J1619" s="33"/>
      <c r="K1619" s="33"/>
      <c r="L1619" s="561"/>
      <c r="M1619" s="33"/>
      <c r="N1619" s="33"/>
      <c r="O1619" s="33"/>
      <c r="P1619" s="184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44"/>
      <c r="AP1619" s="37"/>
      <c r="AQ1619" s="27"/>
      <c r="AR1619" s="57"/>
      <c r="AS1619" s="56">
        <f>Tabela4[[#This Row],[Total R$]]-Tabela4[[#This Row],[Total Pago]]</f>
        <v>0</v>
      </c>
      <c r="AT1619" s="36"/>
    </row>
    <row r="1620" spans="2:46" x14ac:dyDescent="0.25">
      <c r="B1620" s="44"/>
      <c r="D1620" s="349"/>
      <c r="E1620" s="33"/>
      <c r="F1620" s="33"/>
      <c r="G1620" s="33"/>
      <c r="H1620" s="33"/>
      <c r="I1620" s="33"/>
      <c r="J1620" s="33"/>
      <c r="K1620" s="33"/>
      <c r="L1620" s="561"/>
      <c r="M1620" s="33"/>
      <c r="N1620" s="33"/>
      <c r="O1620" s="33"/>
      <c r="P1620" s="184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44"/>
      <c r="AP1620" s="37"/>
      <c r="AQ1620" s="27"/>
      <c r="AR1620" s="57"/>
      <c r="AS1620" s="56">
        <f>Tabela4[[#This Row],[Total R$]]-Tabela4[[#This Row],[Total Pago]]</f>
        <v>0</v>
      </c>
      <c r="AT1620" s="36"/>
    </row>
    <row r="1621" spans="2:46" x14ac:dyDescent="0.25">
      <c r="B1621" s="44"/>
      <c r="D1621" s="349"/>
      <c r="E1621" s="33"/>
      <c r="F1621" s="33"/>
      <c r="G1621" s="33"/>
      <c r="H1621" s="33"/>
      <c r="I1621" s="33"/>
      <c r="J1621" s="33"/>
      <c r="K1621" s="33"/>
      <c r="L1621" s="561"/>
      <c r="M1621" s="33"/>
      <c r="N1621" s="33"/>
      <c r="O1621" s="33"/>
      <c r="P1621" s="184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44"/>
      <c r="AP1621" s="37"/>
      <c r="AQ1621" s="27"/>
      <c r="AR1621" s="57"/>
      <c r="AS1621" s="56">
        <f>Tabela4[[#This Row],[Total R$]]-Tabela4[[#This Row],[Total Pago]]</f>
        <v>0</v>
      </c>
      <c r="AT1621" s="36"/>
    </row>
    <row r="1622" spans="2:46" x14ac:dyDescent="0.25">
      <c r="B1622" s="44"/>
      <c r="D1622" s="349"/>
      <c r="E1622" s="33"/>
      <c r="F1622" s="33"/>
      <c r="G1622" s="33"/>
      <c r="H1622" s="33"/>
      <c r="I1622" s="33"/>
      <c r="J1622" s="33"/>
      <c r="K1622" s="33"/>
      <c r="L1622" s="561"/>
      <c r="M1622" s="33"/>
      <c r="N1622" s="33"/>
      <c r="O1622" s="33"/>
      <c r="P1622" s="184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44"/>
      <c r="AP1622" s="37"/>
      <c r="AQ1622" s="27"/>
      <c r="AR1622" s="57"/>
      <c r="AS1622" s="56">
        <f>Tabela4[[#This Row],[Total R$]]-Tabela4[[#This Row],[Total Pago]]</f>
        <v>0</v>
      </c>
      <c r="AT1622" s="36"/>
    </row>
    <row r="1623" spans="2:46" x14ac:dyDescent="0.25">
      <c r="B1623" s="44"/>
      <c r="D1623" s="349"/>
      <c r="E1623" s="33"/>
      <c r="F1623" s="33"/>
      <c r="G1623" s="33"/>
      <c r="H1623" s="33"/>
      <c r="I1623" s="33"/>
      <c r="J1623" s="33"/>
      <c r="K1623" s="33"/>
      <c r="L1623" s="561"/>
      <c r="M1623" s="33"/>
      <c r="N1623" s="33"/>
      <c r="O1623" s="33"/>
      <c r="P1623" s="184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44"/>
      <c r="AP1623" s="37"/>
      <c r="AQ1623" s="27"/>
      <c r="AR1623" s="57"/>
      <c r="AS1623" s="56">
        <f>Tabela4[[#This Row],[Total R$]]-Tabela4[[#This Row],[Total Pago]]</f>
        <v>0</v>
      </c>
      <c r="AT1623" s="36"/>
    </row>
    <row r="1624" spans="2:46" x14ac:dyDescent="0.25">
      <c r="B1624" s="44"/>
      <c r="D1624" s="349"/>
      <c r="E1624" s="33"/>
      <c r="F1624" s="33"/>
      <c r="G1624" s="33"/>
      <c r="H1624" s="33"/>
      <c r="I1624" s="33"/>
      <c r="J1624" s="33"/>
      <c r="K1624" s="33"/>
      <c r="L1624" s="561"/>
      <c r="M1624" s="33"/>
      <c r="N1624" s="33"/>
      <c r="O1624" s="33"/>
      <c r="P1624" s="184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44"/>
      <c r="AP1624" s="37"/>
      <c r="AQ1624" s="27"/>
      <c r="AR1624" s="57"/>
      <c r="AS1624" s="56">
        <f>Tabela4[[#This Row],[Total R$]]-Tabela4[[#This Row],[Total Pago]]</f>
        <v>0</v>
      </c>
      <c r="AT1624" s="36"/>
    </row>
    <row r="1625" spans="2:46" x14ac:dyDescent="0.25">
      <c r="B1625" s="44"/>
      <c r="D1625" s="349"/>
      <c r="E1625" s="33"/>
      <c r="F1625" s="33"/>
      <c r="G1625" s="33"/>
      <c r="H1625" s="33"/>
      <c r="I1625" s="33"/>
      <c r="J1625" s="33"/>
      <c r="K1625" s="33"/>
      <c r="L1625" s="561"/>
      <c r="M1625" s="33"/>
      <c r="N1625" s="33"/>
      <c r="O1625" s="33"/>
      <c r="P1625" s="184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44"/>
      <c r="AP1625" s="37"/>
      <c r="AQ1625" s="27"/>
      <c r="AR1625" s="57"/>
      <c r="AS1625" s="56">
        <f>Tabela4[[#This Row],[Total R$]]-Tabela4[[#This Row],[Total Pago]]</f>
        <v>0</v>
      </c>
      <c r="AT1625" s="36"/>
    </row>
    <row r="1626" spans="2:46" x14ac:dyDescent="0.25">
      <c r="B1626" s="44"/>
      <c r="D1626" s="349"/>
      <c r="E1626" s="33"/>
      <c r="F1626" s="33"/>
      <c r="G1626" s="33"/>
      <c r="H1626" s="33"/>
      <c r="I1626" s="33"/>
      <c r="J1626" s="33"/>
      <c r="K1626" s="33"/>
      <c r="L1626" s="561"/>
      <c r="M1626" s="33"/>
      <c r="N1626" s="33"/>
      <c r="O1626" s="33"/>
      <c r="P1626" s="184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44"/>
      <c r="AP1626" s="37"/>
      <c r="AQ1626" s="27"/>
      <c r="AR1626" s="57"/>
      <c r="AS1626" s="56">
        <f>Tabela4[[#This Row],[Total R$]]-Tabela4[[#This Row],[Total Pago]]</f>
        <v>0</v>
      </c>
      <c r="AT1626" s="36"/>
    </row>
    <row r="1627" spans="2:46" x14ac:dyDescent="0.25">
      <c r="B1627" s="44"/>
      <c r="D1627" s="349"/>
      <c r="E1627" s="33"/>
      <c r="F1627" s="33"/>
      <c r="G1627" s="33"/>
      <c r="H1627" s="33"/>
      <c r="I1627" s="33"/>
      <c r="J1627" s="33"/>
      <c r="K1627" s="33"/>
      <c r="L1627" s="561"/>
      <c r="M1627" s="33"/>
      <c r="N1627" s="33"/>
      <c r="O1627" s="33"/>
      <c r="P1627" s="184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44"/>
      <c r="AP1627" s="37"/>
      <c r="AQ1627" s="27"/>
      <c r="AR1627" s="57"/>
      <c r="AS1627" s="56">
        <f>Tabela4[[#This Row],[Total R$]]-Tabela4[[#This Row],[Total Pago]]</f>
        <v>0</v>
      </c>
      <c r="AT1627" s="36"/>
    </row>
    <row r="1628" spans="2:46" x14ac:dyDescent="0.25">
      <c r="B1628" s="44"/>
      <c r="D1628" s="349"/>
      <c r="E1628" s="33"/>
      <c r="F1628" s="33"/>
      <c r="G1628" s="33"/>
      <c r="H1628" s="33"/>
      <c r="I1628" s="33"/>
      <c r="J1628" s="33"/>
      <c r="K1628" s="33"/>
      <c r="L1628" s="561"/>
      <c r="M1628" s="33"/>
      <c r="N1628" s="33"/>
      <c r="O1628" s="33"/>
      <c r="P1628" s="184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44"/>
      <c r="AP1628" s="37"/>
      <c r="AQ1628" s="27"/>
      <c r="AR1628" s="57"/>
      <c r="AS1628" s="56">
        <f>Tabela4[[#This Row],[Total R$]]-Tabela4[[#This Row],[Total Pago]]</f>
        <v>0</v>
      </c>
      <c r="AT1628" s="36"/>
    </row>
    <row r="1629" spans="2:46" x14ac:dyDescent="0.25">
      <c r="B1629" s="44"/>
      <c r="D1629" s="349"/>
      <c r="E1629" s="33"/>
      <c r="F1629" s="33"/>
      <c r="G1629" s="33"/>
      <c r="H1629" s="33"/>
      <c r="I1629" s="33"/>
      <c r="J1629" s="33"/>
      <c r="K1629" s="33"/>
      <c r="L1629" s="561"/>
      <c r="M1629" s="33"/>
      <c r="N1629" s="33"/>
      <c r="O1629" s="33"/>
      <c r="P1629" s="184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44"/>
      <c r="AP1629" s="37"/>
      <c r="AQ1629" s="27"/>
      <c r="AR1629" s="57"/>
      <c r="AS1629" s="56">
        <f>Tabela4[[#This Row],[Total R$]]-Tabela4[[#This Row],[Total Pago]]</f>
        <v>0</v>
      </c>
      <c r="AT1629" s="36"/>
    </row>
    <row r="1630" spans="2:46" x14ac:dyDescent="0.25">
      <c r="B1630" s="44"/>
      <c r="D1630" s="349"/>
      <c r="E1630" s="33"/>
      <c r="F1630" s="33"/>
      <c r="G1630" s="33"/>
      <c r="H1630" s="33"/>
      <c r="I1630" s="33"/>
      <c r="J1630" s="33"/>
      <c r="K1630" s="33"/>
      <c r="L1630" s="561"/>
      <c r="M1630" s="33"/>
      <c r="N1630" s="33"/>
      <c r="O1630" s="33"/>
      <c r="P1630" s="184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44"/>
      <c r="AP1630" s="37"/>
      <c r="AQ1630" s="27"/>
      <c r="AR1630" s="57"/>
      <c r="AS1630" s="56">
        <f>Tabela4[[#This Row],[Total R$]]-Tabela4[[#This Row],[Total Pago]]</f>
        <v>0</v>
      </c>
      <c r="AT1630" s="36"/>
    </row>
    <row r="1631" spans="2:46" x14ac:dyDescent="0.25">
      <c r="B1631" s="44"/>
      <c r="D1631" s="349"/>
      <c r="E1631" s="33"/>
      <c r="F1631" s="33"/>
      <c r="G1631" s="33"/>
      <c r="H1631" s="33"/>
      <c r="I1631" s="33"/>
      <c r="J1631" s="33"/>
      <c r="K1631" s="33"/>
      <c r="L1631" s="561"/>
      <c r="M1631" s="33"/>
      <c r="N1631" s="33"/>
      <c r="O1631" s="33"/>
      <c r="P1631" s="184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44"/>
      <c r="AP1631" s="37"/>
      <c r="AQ1631" s="27"/>
      <c r="AR1631" s="57"/>
      <c r="AS1631" s="56">
        <f>Tabela4[[#This Row],[Total R$]]-Tabela4[[#This Row],[Total Pago]]</f>
        <v>0</v>
      </c>
      <c r="AT1631" s="36"/>
    </row>
    <row r="1632" spans="2:46" x14ac:dyDescent="0.25">
      <c r="B1632" s="44"/>
      <c r="D1632" s="349"/>
      <c r="E1632" s="33"/>
      <c r="F1632" s="33"/>
      <c r="G1632" s="33"/>
      <c r="H1632" s="33"/>
      <c r="I1632" s="33"/>
      <c r="J1632" s="33"/>
      <c r="K1632" s="33"/>
      <c r="L1632" s="561"/>
      <c r="M1632" s="33"/>
      <c r="N1632" s="33"/>
      <c r="O1632" s="33"/>
      <c r="P1632" s="184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44"/>
      <c r="AP1632" s="37"/>
      <c r="AQ1632" s="27"/>
      <c r="AR1632" s="57"/>
      <c r="AS1632" s="56">
        <f>Tabela4[[#This Row],[Total R$]]-Tabela4[[#This Row],[Total Pago]]</f>
        <v>0</v>
      </c>
      <c r="AT1632" s="36"/>
    </row>
    <row r="1633" spans="2:46" x14ac:dyDescent="0.25">
      <c r="B1633" s="44"/>
      <c r="D1633" s="349"/>
      <c r="E1633" s="33"/>
      <c r="F1633" s="33"/>
      <c r="G1633" s="33"/>
      <c r="H1633" s="33"/>
      <c r="I1633" s="33"/>
      <c r="J1633" s="33"/>
      <c r="K1633" s="33"/>
      <c r="L1633" s="561"/>
      <c r="M1633" s="33"/>
      <c r="N1633" s="33"/>
      <c r="O1633" s="33"/>
      <c r="P1633" s="184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44"/>
      <c r="AP1633" s="37"/>
      <c r="AQ1633" s="27"/>
      <c r="AR1633" s="57"/>
      <c r="AS1633" s="56">
        <f>Tabela4[[#This Row],[Total R$]]-Tabela4[[#This Row],[Total Pago]]</f>
        <v>0</v>
      </c>
      <c r="AT1633" s="36"/>
    </row>
    <row r="1634" spans="2:46" x14ac:dyDescent="0.25">
      <c r="B1634" s="44"/>
      <c r="D1634" s="349"/>
      <c r="E1634" s="33"/>
      <c r="F1634" s="33"/>
      <c r="G1634" s="33"/>
      <c r="H1634" s="33"/>
      <c r="I1634" s="33"/>
      <c r="J1634" s="33"/>
      <c r="K1634" s="33"/>
      <c r="L1634" s="561"/>
      <c r="M1634" s="33"/>
      <c r="N1634" s="33"/>
      <c r="O1634" s="33"/>
      <c r="P1634" s="184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44"/>
      <c r="AP1634" s="37"/>
      <c r="AQ1634" s="27"/>
      <c r="AR1634" s="57"/>
      <c r="AS1634" s="56">
        <f>Tabela4[[#This Row],[Total R$]]-Tabela4[[#This Row],[Total Pago]]</f>
        <v>0</v>
      </c>
      <c r="AT1634" s="36"/>
    </row>
    <row r="1635" spans="2:46" x14ac:dyDescent="0.25">
      <c r="B1635" s="44"/>
      <c r="D1635" s="349"/>
      <c r="E1635" s="33"/>
      <c r="F1635" s="33"/>
      <c r="G1635" s="33"/>
      <c r="H1635" s="33"/>
      <c r="I1635" s="33"/>
      <c r="J1635" s="33"/>
      <c r="K1635" s="33"/>
      <c r="L1635" s="561"/>
      <c r="M1635" s="33"/>
      <c r="N1635" s="33"/>
      <c r="O1635" s="33"/>
      <c r="P1635" s="184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44"/>
      <c r="AP1635" s="37"/>
      <c r="AQ1635" s="27"/>
      <c r="AR1635" s="57"/>
      <c r="AS1635" s="56">
        <f>Tabela4[[#This Row],[Total R$]]-Tabela4[[#This Row],[Total Pago]]</f>
        <v>0</v>
      </c>
      <c r="AT1635" s="36"/>
    </row>
    <row r="1636" spans="2:46" x14ac:dyDescent="0.25">
      <c r="B1636" s="44"/>
      <c r="D1636" s="349"/>
      <c r="E1636" s="33"/>
      <c r="F1636" s="33"/>
      <c r="G1636" s="33"/>
      <c r="H1636" s="33"/>
      <c r="I1636" s="33"/>
      <c r="J1636" s="33"/>
      <c r="K1636" s="33"/>
      <c r="L1636" s="561"/>
      <c r="M1636" s="33"/>
      <c r="N1636" s="33"/>
      <c r="O1636" s="33"/>
      <c r="P1636" s="184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44"/>
      <c r="AP1636" s="37"/>
      <c r="AQ1636" s="27"/>
      <c r="AR1636" s="57"/>
      <c r="AS1636" s="56">
        <f>Tabela4[[#This Row],[Total R$]]-Tabela4[[#This Row],[Total Pago]]</f>
        <v>0</v>
      </c>
      <c r="AT1636" s="36"/>
    </row>
    <row r="1637" spans="2:46" x14ac:dyDescent="0.25">
      <c r="B1637" s="44"/>
      <c r="D1637" s="349"/>
      <c r="E1637" s="33"/>
      <c r="F1637" s="33"/>
      <c r="G1637" s="33"/>
      <c r="H1637" s="33"/>
      <c r="I1637" s="33"/>
      <c r="J1637" s="33"/>
      <c r="K1637" s="33"/>
      <c r="L1637" s="561"/>
      <c r="M1637" s="33"/>
      <c r="N1637" s="33"/>
      <c r="O1637" s="33"/>
      <c r="P1637" s="184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44"/>
      <c r="AP1637" s="37"/>
      <c r="AQ1637" s="27"/>
      <c r="AR1637" s="57"/>
      <c r="AS1637" s="56">
        <f>Tabela4[[#This Row],[Total R$]]-Tabela4[[#This Row],[Total Pago]]</f>
        <v>0</v>
      </c>
      <c r="AT1637" s="36"/>
    </row>
    <row r="1638" spans="2:46" x14ac:dyDescent="0.25">
      <c r="B1638" s="44"/>
      <c r="D1638" s="349"/>
      <c r="E1638" s="33"/>
      <c r="F1638" s="33"/>
      <c r="G1638" s="33"/>
      <c r="H1638" s="33"/>
      <c r="I1638" s="33"/>
      <c r="J1638" s="33"/>
      <c r="K1638" s="33"/>
      <c r="L1638" s="561"/>
      <c r="M1638" s="33"/>
      <c r="N1638" s="33"/>
      <c r="O1638" s="33"/>
      <c r="P1638" s="184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44"/>
      <c r="AP1638" s="37"/>
      <c r="AQ1638" s="27"/>
      <c r="AR1638" s="57"/>
      <c r="AS1638" s="56">
        <f>Tabela4[[#This Row],[Total R$]]-Tabela4[[#This Row],[Total Pago]]</f>
        <v>0</v>
      </c>
      <c r="AT1638" s="36"/>
    </row>
    <row r="1639" spans="2:46" x14ac:dyDescent="0.25">
      <c r="B1639" s="44"/>
      <c r="D1639" s="349"/>
      <c r="E1639" s="33"/>
      <c r="F1639" s="33"/>
      <c r="G1639" s="33"/>
      <c r="H1639" s="33"/>
      <c r="I1639" s="33"/>
      <c r="J1639" s="33"/>
      <c r="K1639" s="33"/>
      <c r="L1639" s="561"/>
      <c r="M1639" s="33"/>
      <c r="N1639" s="33"/>
      <c r="O1639" s="33"/>
      <c r="P1639" s="184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44"/>
      <c r="AP1639" s="37"/>
      <c r="AQ1639" s="27"/>
      <c r="AR1639" s="57"/>
      <c r="AS1639" s="56">
        <f>Tabela4[[#This Row],[Total R$]]-Tabela4[[#This Row],[Total Pago]]</f>
        <v>0</v>
      </c>
      <c r="AT1639" s="36"/>
    </row>
    <row r="1640" spans="2:46" x14ac:dyDescent="0.25">
      <c r="B1640" s="44"/>
      <c r="D1640" s="349"/>
      <c r="E1640" s="33"/>
      <c r="F1640" s="33"/>
      <c r="G1640" s="33"/>
      <c r="H1640" s="33"/>
      <c r="I1640" s="33"/>
      <c r="J1640" s="33"/>
      <c r="K1640" s="33"/>
      <c r="L1640" s="561"/>
      <c r="M1640" s="33"/>
      <c r="N1640" s="33"/>
      <c r="O1640" s="33"/>
      <c r="P1640" s="184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44"/>
      <c r="AP1640" s="37"/>
      <c r="AQ1640" s="27"/>
      <c r="AR1640" s="57"/>
      <c r="AS1640" s="56">
        <f>Tabela4[[#This Row],[Total R$]]-Tabela4[[#This Row],[Total Pago]]</f>
        <v>0</v>
      </c>
      <c r="AT1640" s="36"/>
    </row>
    <row r="1641" spans="2:46" x14ac:dyDescent="0.25">
      <c r="B1641" s="44"/>
      <c r="D1641" s="349"/>
      <c r="E1641" s="33"/>
      <c r="F1641" s="33"/>
      <c r="G1641" s="33"/>
      <c r="H1641" s="33"/>
      <c r="I1641" s="33"/>
      <c r="J1641" s="33"/>
      <c r="K1641" s="33"/>
      <c r="L1641" s="561"/>
      <c r="M1641" s="33"/>
      <c r="N1641" s="33"/>
      <c r="O1641" s="33"/>
      <c r="P1641" s="184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44"/>
      <c r="AP1641" s="37"/>
      <c r="AQ1641" s="27"/>
      <c r="AR1641" s="57"/>
      <c r="AS1641" s="56">
        <f>Tabela4[[#This Row],[Total R$]]-Tabela4[[#This Row],[Total Pago]]</f>
        <v>0</v>
      </c>
      <c r="AT1641" s="36"/>
    </row>
    <row r="1642" spans="2:46" x14ac:dyDescent="0.25">
      <c r="B1642" s="44"/>
      <c r="D1642" s="349"/>
      <c r="E1642" s="33"/>
      <c r="F1642" s="33"/>
      <c r="G1642" s="33"/>
      <c r="H1642" s="33"/>
      <c r="I1642" s="33"/>
      <c r="J1642" s="33"/>
      <c r="K1642" s="33"/>
      <c r="L1642" s="561"/>
      <c r="M1642" s="33"/>
      <c r="N1642" s="33"/>
      <c r="O1642" s="33"/>
      <c r="P1642" s="184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44"/>
      <c r="AP1642" s="37"/>
      <c r="AQ1642" s="27"/>
      <c r="AR1642" s="57"/>
      <c r="AS1642" s="56">
        <f>Tabela4[[#This Row],[Total R$]]-Tabela4[[#This Row],[Total Pago]]</f>
        <v>0</v>
      </c>
      <c r="AT1642" s="36"/>
    </row>
    <row r="1643" spans="2:46" x14ac:dyDescent="0.25">
      <c r="B1643" s="44"/>
      <c r="D1643" s="349"/>
      <c r="E1643" s="33"/>
      <c r="F1643" s="33"/>
      <c r="G1643" s="33"/>
      <c r="H1643" s="33"/>
      <c r="I1643" s="33"/>
      <c r="J1643" s="33"/>
      <c r="K1643" s="33"/>
      <c r="L1643" s="561"/>
      <c r="M1643" s="33"/>
      <c r="N1643" s="33"/>
      <c r="O1643" s="33"/>
      <c r="P1643" s="184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44"/>
      <c r="AP1643" s="37"/>
      <c r="AQ1643" s="27"/>
      <c r="AR1643" s="57"/>
      <c r="AS1643" s="56">
        <f>Tabela4[[#This Row],[Total R$]]-Tabela4[[#This Row],[Total Pago]]</f>
        <v>0</v>
      </c>
      <c r="AT1643" s="36"/>
    </row>
    <row r="1644" spans="2:46" x14ac:dyDescent="0.25">
      <c r="B1644" s="44"/>
      <c r="D1644" s="349"/>
      <c r="E1644" s="33"/>
      <c r="F1644" s="33"/>
      <c r="G1644" s="33"/>
      <c r="H1644" s="33"/>
      <c r="I1644" s="33"/>
      <c r="J1644" s="33"/>
      <c r="K1644" s="33"/>
      <c r="L1644" s="561"/>
      <c r="M1644" s="33"/>
      <c r="N1644" s="33"/>
      <c r="O1644" s="33"/>
      <c r="P1644" s="184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44"/>
      <c r="AP1644" s="37"/>
      <c r="AQ1644" s="27"/>
      <c r="AR1644" s="57"/>
      <c r="AS1644" s="56">
        <f>Tabela4[[#This Row],[Total R$]]-Tabela4[[#This Row],[Total Pago]]</f>
        <v>0</v>
      </c>
      <c r="AT1644" s="36"/>
    </row>
    <row r="1645" spans="2:46" x14ac:dyDescent="0.25">
      <c r="B1645" s="44"/>
      <c r="D1645" s="349"/>
      <c r="E1645" s="33"/>
      <c r="F1645" s="33"/>
      <c r="G1645" s="33"/>
      <c r="H1645" s="33"/>
      <c r="I1645" s="33"/>
      <c r="J1645" s="33"/>
      <c r="K1645" s="33"/>
      <c r="L1645" s="561"/>
      <c r="M1645" s="33"/>
      <c r="N1645" s="33"/>
      <c r="O1645" s="33"/>
      <c r="P1645" s="184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44"/>
      <c r="AP1645" s="37"/>
      <c r="AQ1645" s="27"/>
      <c r="AR1645" s="57"/>
      <c r="AS1645" s="56">
        <f>Tabela4[[#This Row],[Total R$]]-Tabela4[[#This Row],[Total Pago]]</f>
        <v>0</v>
      </c>
      <c r="AT1645" s="36"/>
    </row>
    <row r="1646" spans="2:46" x14ac:dyDescent="0.25">
      <c r="B1646" s="44"/>
      <c r="D1646" s="349"/>
      <c r="E1646" s="33"/>
      <c r="F1646" s="33"/>
      <c r="G1646" s="33"/>
      <c r="H1646" s="33"/>
      <c r="I1646" s="33"/>
      <c r="J1646" s="33"/>
      <c r="K1646" s="33"/>
      <c r="L1646" s="561"/>
      <c r="M1646" s="33"/>
      <c r="N1646" s="33"/>
      <c r="O1646" s="33"/>
      <c r="P1646" s="184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44"/>
      <c r="AP1646" s="37"/>
      <c r="AQ1646" s="27"/>
      <c r="AR1646" s="57"/>
      <c r="AS1646" s="56">
        <f>Tabela4[[#This Row],[Total R$]]-Tabela4[[#This Row],[Total Pago]]</f>
        <v>0</v>
      </c>
      <c r="AT1646" s="36"/>
    </row>
    <row r="1647" spans="2:46" x14ac:dyDescent="0.25">
      <c r="B1647" s="44"/>
      <c r="D1647" s="349"/>
      <c r="E1647" s="33"/>
      <c r="F1647" s="33"/>
      <c r="G1647" s="33"/>
      <c r="H1647" s="33"/>
      <c r="I1647" s="33"/>
      <c r="J1647" s="33"/>
      <c r="K1647" s="33"/>
      <c r="L1647" s="561"/>
      <c r="M1647" s="33"/>
      <c r="N1647" s="33"/>
      <c r="O1647" s="33"/>
      <c r="P1647" s="184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44"/>
      <c r="AP1647" s="37"/>
      <c r="AQ1647" s="27"/>
      <c r="AR1647" s="57"/>
      <c r="AS1647" s="56">
        <f>Tabela4[[#This Row],[Total R$]]-Tabela4[[#This Row],[Total Pago]]</f>
        <v>0</v>
      </c>
      <c r="AT1647" s="36"/>
    </row>
    <row r="1648" spans="2:46" x14ac:dyDescent="0.25">
      <c r="B1648" s="44"/>
      <c r="D1648" s="349"/>
      <c r="E1648" s="33"/>
      <c r="F1648" s="33"/>
      <c r="G1648" s="33"/>
      <c r="H1648" s="33"/>
      <c r="I1648" s="33"/>
      <c r="J1648" s="33"/>
      <c r="K1648" s="33"/>
      <c r="L1648" s="561"/>
      <c r="M1648" s="33"/>
      <c r="N1648" s="33"/>
      <c r="O1648" s="33"/>
      <c r="P1648" s="184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44"/>
      <c r="AP1648" s="37"/>
      <c r="AQ1648" s="27"/>
      <c r="AR1648" s="57"/>
      <c r="AS1648" s="56">
        <f>Tabela4[[#This Row],[Total R$]]-Tabela4[[#This Row],[Total Pago]]</f>
        <v>0</v>
      </c>
      <c r="AT1648" s="36"/>
    </row>
    <row r="1649" spans="2:46" x14ac:dyDescent="0.25">
      <c r="B1649" s="44"/>
      <c r="D1649" s="349"/>
      <c r="E1649" s="33"/>
      <c r="F1649" s="33"/>
      <c r="G1649" s="33"/>
      <c r="H1649" s="33"/>
      <c r="I1649" s="33"/>
      <c r="J1649" s="33"/>
      <c r="K1649" s="33"/>
      <c r="L1649" s="561"/>
      <c r="M1649" s="33"/>
      <c r="N1649" s="33"/>
      <c r="O1649" s="33"/>
      <c r="P1649" s="184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44"/>
      <c r="AP1649" s="37"/>
      <c r="AQ1649" s="27"/>
      <c r="AR1649" s="57"/>
      <c r="AS1649" s="56">
        <f>Tabela4[[#This Row],[Total R$]]-Tabela4[[#This Row],[Total Pago]]</f>
        <v>0</v>
      </c>
      <c r="AT1649" s="36"/>
    </row>
    <row r="1650" spans="2:46" x14ac:dyDescent="0.25">
      <c r="B1650" s="44"/>
      <c r="D1650" s="349"/>
      <c r="E1650" s="33"/>
      <c r="F1650" s="33"/>
      <c r="G1650" s="33"/>
      <c r="H1650" s="33"/>
      <c r="I1650" s="33"/>
      <c r="J1650" s="33"/>
      <c r="K1650" s="33"/>
      <c r="L1650" s="561"/>
      <c r="M1650" s="33"/>
      <c r="N1650" s="33"/>
      <c r="O1650" s="33"/>
      <c r="P1650" s="184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44"/>
      <c r="AP1650" s="37"/>
      <c r="AQ1650" s="27"/>
      <c r="AR1650" s="57"/>
      <c r="AS1650" s="56">
        <f>Tabela4[[#This Row],[Total R$]]-Tabela4[[#This Row],[Total Pago]]</f>
        <v>0</v>
      </c>
      <c r="AT1650" s="36"/>
    </row>
    <row r="1651" spans="2:46" x14ac:dyDescent="0.25">
      <c r="B1651" s="44"/>
      <c r="D1651" s="349"/>
      <c r="E1651" s="33"/>
      <c r="F1651" s="33"/>
      <c r="G1651" s="33"/>
      <c r="H1651" s="33"/>
      <c r="I1651" s="33"/>
      <c r="J1651" s="33"/>
      <c r="K1651" s="33"/>
      <c r="L1651" s="561"/>
      <c r="M1651" s="33"/>
      <c r="N1651" s="33"/>
      <c r="O1651" s="33"/>
      <c r="P1651" s="184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44"/>
      <c r="AP1651" s="37"/>
      <c r="AQ1651" s="27"/>
      <c r="AR1651" s="57"/>
      <c r="AS1651" s="56">
        <f>Tabela4[[#This Row],[Total R$]]-Tabela4[[#This Row],[Total Pago]]</f>
        <v>0</v>
      </c>
      <c r="AT1651" s="36"/>
    </row>
    <row r="1652" spans="2:46" x14ac:dyDescent="0.25">
      <c r="B1652" s="44"/>
      <c r="D1652" s="349"/>
      <c r="E1652" s="33"/>
      <c r="F1652" s="33"/>
      <c r="G1652" s="33"/>
      <c r="H1652" s="33"/>
      <c r="I1652" s="33"/>
      <c r="J1652" s="33"/>
      <c r="K1652" s="33"/>
      <c r="L1652" s="561"/>
      <c r="M1652" s="33"/>
      <c r="N1652" s="33"/>
      <c r="O1652" s="33"/>
      <c r="P1652" s="184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44"/>
      <c r="AP1652" s="37"/>
      <c r="AQ1652" s="27"/>
      <c r="AR1652" s="57"/>
      <c r="AS1652" s="56">
        <f>Tabela4[[#This Row],[Total R$]]-Tabela4[[#This Row],[Total Pago]]</f>
        <v>0</v>
      </c>
      <c r="AT1652" s="36"/>
    </row>
    <row r="1653" spans="2:46" x14ac:dyDescent="0.25">
      <c r="B1653" s="44"/>
      <c r="D1653" s="349"/>
      <c r="E1653" s="33"/>
      <c r="F1653" s="33"/>
      <c r="G1653" s="33"/>
      <c r="H1653" s="33"/>
      <c r="I1653" s="33"/>
      <c r="J1653" s="33"/>
      <c r="K1653" s="33"/>
      <c r="L1653" s="561"/>
      <c r="M1653" s="33"/>
      <c r="N1653" s="33"/>
      <c r="O1653" s="33"/>
      <c r="P1653" s="184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44"/>
      <c r="AP1653" s="37"/>
      <c r="AQ1653" s="27"/>
      <c r="AR1653" s="57"/>
      <c r="AS1653" s="56">
        <f>Tabela4[[#This Row],[Total R$]]-Tabela4[[#This Row],[Total Pago]]</f>
        <v>0</v>
      </c>
      <c r="AT1653" s="36"/>
    </row>
    <row r="1654" spans="2:46" x14ac:dyDescent="0.25">
      <c r="B1654" s="44"/>
      <c r="D1654" s="349"/>
      <c r="E1654" s="33"/>
      <c r="F1654" s="33"/>
      <c r="G1654" s="33"/>
      <c r="H1654" s="33"/>
      <c r="I1654" s="33"/>
      <c r="J1654" s="33"/>
      <c r="K1654" s="33"/>
      <c r="L1654" s="561"/>
      <c r="M1654" s="33"/>
      <c r="N1654" s="33"/>
      <c r="O1654" s="33"/>
      <c r="P1654" s="184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44"/>
      <c r="AP1654" s="37"/>
      <c r="AQ1654" s="27"/>
      <c r="AR1654" s="57"/>
      <c r="AS1654" s="56">
        <f>Tabela4[[#This Row],[Total R$]]-Tabela4[[#This Row],[Total Pago]]</f>
        <v>0</v>
      </c>
      <c r="AT1654" s="36"/>
    </row>
    <row r="1655" spans="2:46" x14ac:dyDescent="0.25">
      <c r="B1655" s="44"/>
      <c r="D1655" s="349"/>
      <c r="E1655" s="33"/>
      <c r="F1655" s="33"/>
      <c r="G1655" s="33"/>
      <c r="H1655" s="33"/>
      <c r="I1655" s="33"/>
      <c r="J1655" s="33"/>
      <c r="K1655" s="33"/>
      <c r="L1655" s="561"/>
      <c r="M1655" s="33"/>
      <c r="N1655" s="33"/>
      <c r="O1655" s="33"/>
      <c r="P1655" s="184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44"/>
      <c r="AP1655" s="37"/>
      <c r="AQ1655" s="27"/>
      <c r="AR1655" s="57"/>
      <c r="AS1655" s="56">
        <f>Tabela4[[#This Row],[Total R$]]-Tabela4[[#This Row],[Total Pago]]</f>
        <v>0</v>
      </c>
      <c r="AT1655" s="36"/>
    </row>
    <row r="1656" spans="2:46" x14ac:dyDescent="0.25">
      <c r="B1656" s="44"/>
      <c r="D1656" s="349"/>
      <c r="E1656" s="33"/>
      <c r="F1656" s="33"/>
      <c r="G1656" s="33"/>
      <c r="H1656" s="33"/>
      <c r="I1656" s="33"/>
      <c r="J1656" s="33"/>
      <c r="K1656" s="33"/>
      <c r="L1656" s="561"/>
      <c r="M1656" s="33"/>
      <c r="N1656" s="33"/>
      <c r="O1656" s="33"/>
      <c r="P1656" s="184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44"/>
      <c r="AP1656" s="37"/>
      <c r="AQ1656" s="27"/>
      <c r="AR1656" s="57"/>
      <c r="AS1656" s="56">
        <f>Tabela4[[#This Row],[Total R$]]-Tabela4[[#This Row],[Total Pago]]</f>
        <v>0</v>
      </c>
      <c r="AT1656" s="36"/>
    </row>
    <row r="1657" spans="2:46" x14ac:dyDescent="0.25">
      <c r="B1657" s="44"/>
      <c r="D1657" s="349"/>
      <c r="E1657" s="33"/>
      <c r="F1657" s="33"/>
      <c r="G1657" s="33"/>
      <c r="H1657" s="33"/>
      <c r="I1657" s="33"/>
      <c r="J1657" s="33"/>
      <c r="K1657" s="33"/>
      <c r="L1657" s="561"/>
      <c r="M1657" s="33"/>
      <c r="N1657" s="33"/>
      <c r="O1657" s="33"/>
      <c r="P1657" s="184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44"/>
      <c r="AP1657" s="37"/>
      <c r="AQ1657" s="27"/>
      <c r="AR1657" s="57"/>
      <c r="AS1657" s="56">
        <f>Tabela4[[#This Row],[Total R$]]-Tabela4[[#This Row],[Total Pago]]</f>
        <v>0</v>
      </c>
      <c r="AT1657" s="36"/>
    </row>
    <row r="1658" spans="2:46" x14ac:dyDescent="0.25">
      <c r="B1658" s="44"/>
      <c r="D1658" s="349"/>
      <c r="E1658" s="33"/>
      <c r="F1658" s="33"/>
      <c r="G1658" s="33"/>
      <c r="H1658" s="33"/>
      <c r="I1658" s="33"/>
      <c r="J1658" s="33"/>
      <c r="K1658" s="33"/>
      <c r="L1658" s="561"/>
      <c r="M1658" s="33"/>
      <c r="N1658" s="33"/>
      <c r="O1658" s="33"/>
      <c r="P1658" s="184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44"/>
      <c r="AP1658" s="37"/>
      <c r="AQ1658" s="27"/>
      <c r="AR1658" s="57"/>
      <c r="AS1658" s="56">
        <f>Tabela4[[#This Row],[Total R$]]-Tabela4[[#This Row],[Total Pago]]</f>
        <v>0</v>
      </c>
      <c r="AT1658" s="36"/>
    </row>
    <row r="1659" spans="2:46" x14ac:dyDescent="0.25">
      <c r="B1659" s="44"/>
      <c r="D1659" s="349"/>
      <c r="E1659" s="33"/>
      <c r="F1659" s="33"/>
      <c r="G1659" s="33"/>
      <c r="H1659" s="33"/>
      <c r="I1659" s="33"/>
      <c r="J1659" s="33"/>
      <c r="K1659" s="33"/>
      <c r="L1659" s="561"/>
      <c r="M1659" s="33"/>
      <c r="N1659" s="33"/>
      <c r="O1659" s="33"/>
      <c r="P1659" s="184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44"/>
      <c r="AP1659" s="37"/>
      <c r="AQ1659" s="27"/>
      <c r="AR1659" s="57"/>
      <c r="AS1659" s="56">
        <f>Tabela4[[#This Row],[Total R$]]-Tabela4[[#This Row],[Total Pago]]</f>
        <v>0</v>
      </c>
      <c r="AT1659" s="36"/>
    </row>
    <row r="1660" spans="2:46" x14ac:dyDescent="0.25">
      <c r="B1660" s="44"/>
      <c r="D1660" s="349"/>
      <c r="E1660" s="33"/>
      <c r="F1660" s="33"/>
      <c r="G1660" s="33"/>
      <c r="H1660" s="33"/>
      <c r="I1660" s="33"/>
      <c r="J1660" s="33"/>
      <c r="K1660" s="33"/>
      <c r="L1660" s="561"/>
      <c r="M1660" s="33"/>
      <c r="N1660" s="33"/>
      <c r="O1660" s="33"/>
      <c r="P1660" s="184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44"/>
      <c r="AP1660" s="37"/>
      <c r="AQ1660" s="27"/>
      <c r="AR1660" s="57"/>
      <c r="AS1660" s="56">
        <f>Tabela4[[#This Row],[Total R$]]-Tabela4[[#This Row],[Total Pago]]</f>
        <v>0</v>
      </c>
      <c r="AT1660" s="36"/>
    </row>
    <row r="1661" spans="2:46" x14ac:dyDescent="0.25">
      <c r="B1661" s="44"/>
      <c r="D1661" s="349"/>
      <c r="E1661" s="33"/>
      <c r="F1661" s="33"/>
      <c r="G1661" s="33"/>
      <c r="H1661" s="33"/>
      <c r="I1661" s="33"/>
      <c r="J1661" s="33"/>
      <c r="K1661" s="33"/>
      <c r="L1661" s="561"/>
      <c r="M1661" s="33"/>
      <c r="N1661" s="33"/>
      <c r="O1661" s="33"/>
      <c r="P1661" s="184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44"/>
      <c r="AP1661" s="37"/>
      <c r="AQ1661" s="27"/>
      <c r="AR1661" s="57"/>
      <c r="AS1661" s="56">
        <f>Tabela4[[#This Row],[Total R$]]-Tabela4[[#This Row],[Total Pago]]</f>
        <v>0</v>
      </c>
      <c r="AT1661" s="36"/>
    </row>
    <row r="1662" spans="2:46" x14ac:dyDescent="0.25">
      <c r="B1662" s="44"/>
      <c r="D1662" s="349"/>
      <c r="E1662" s="33"/>
      <c r="F1662" s="33"/>
      <c r="G1662" s="33"/>
      <c r="H1662" s="33"/>
      <c r="I1662" s="33"/>
      <c r="J1662" s="33"/>
      <c r="K1662" s="33"/>
      <c r="L1662" s="561"/>
      <c r="M1662" s="33"/>
      <c r="N1662" s="33"/>
      <c r="O1662" s="33"/>
      <c r="P1662" s="184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44"/>
      <c r="AP1662" s="37"/>
      <c r="AQ1662" s="27"/>
      <c r="AR1662" s="57"/>
      <c r="AS1662" s="56">
        <f>Tabela4[[#This Row],[Total R$]]-Tabela4[[#This Row],[Total Pago]]</f>
        <v>0</v>
      </c>
      <c r="AT1662" s="36"/>
    </row>
    <row r="1663" spans="2:46" x14ac:dyDescent="0.25">
      <c r="B1663" s="44"/>
      <c r="D1663" s="349"/>
      <c r="E1663" s="33"/>
      <c r="F1663" s="33"/>
      <c r="G1663" s="33"/>
      <c r="H1663" s="33"/>
      <c r="I1663" s="33"/>
      <c r="J1663" s="33"/>
      <c r="K1663" s="33"/>
      <c r="L1663" s="561"/>
      <c r="M1663" s="33"/>
      <c r="N1663" s="33"/>
      <c r="O1663" s="33"/>
      <c r="P1663" s="184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44"/>
      <c r="AP1663" s="37"/>
      <c r="AQ1663" s="27"/>
      <c r="AR1663" s="57"/>
      <c r="AS1663" s="56">
        <f>Tabela4[[#This Row],[Total R$]]-Tabela4[[#This Row],[Total Pago]]</f>
        <v>0</v>
      </c>
      <c r="AT1663" s="36"/>
    </row>
    <row r="1664" spans="2:46" x14ac:dyDescent="0.25">
      <c r="B1664" s="44"/>
      <c r="D1664" s="349"/>
      <c r="E1664" s="33"/>
      <c r="F1664" s="33"/>
      <c r="G1664" s="33"/>
      <c r="H1664" s="33"/>
      <c r="I1664" s="33"/>
      <c r="J1664" s="33"/>
      <c r="K1664" s="33"/>
      <c r="L1664" s="561"/>
      <c r="M1664" s="33"/>
      <c r="N1664" s="33"/>
      <c r="O1664" s="33"/>
      <c r="P1664" s="184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44"/>
      <c r="AP1664" s="37"/>
      <c r="AQ1664" s="27"/>
      <c r="AR1664" s="57"/>
      <c r="AS1664" s="56">
        <f>Tabela4[[#This Row],[Total R$]]-Tabela4[[#This Row],[Total Pago]]</f>
        <v>0</v>
      </c>
      <c r="AT1664" s="36"/>
    </row>
    <row r="1665" spans="2:46" x14ac:dyDescent="0.25">
      <c r="B1665" s="44"/>
      <c r="D1665" s="349"/>
      <c r="E1665" s="33"/>
      <c r="F1665" s="33"/>
      <c r="G1665" s="33"/>
      <c r="H1665" s="33"/>
      <c r="I1665" s="33"/>
      <c r="J1665" s="33"/>
      <c r="K1665" s="33"/>
      <c r="L1665" s="561"/>
      <c r="M1665" s="33"/>
      <c r="N1665" s="33"/>
      <c r="O1665" s="33"/>
      <c r="P1665" s="184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44"/>
      <c r="AP1665" s="37"/>
      <c r="AQ1665" s="27"/>
      <c r="AR1665" s="57"/>
      <c r="AS1665" s="56">
        <f>Tabela4[[#This Row],[Total R$]]-Tabela4[[#This Row],[Total Pago]]</f>
        <v>0</v>
      </c>
      <c r="AT1665" s="36"/>
    </row>
    <row r="1666" spans="2:46" x14ac:dyDescent="0.25">
      <c r="B1666" s="44"/>
      <c r="D1666" s="349"/>
      <c r="E1666" s="33"/>
      <c r="F1666" s="33"/>
      <c r="G1666" s="33"/>
      <c r="H1666" s="33"/>
      <c r="I1666" s="33"/>
      <c r="J1666" s="33"/>
      <c r="K1666" s="33"/>
      <c r="L1666" s="561"/>
      <c r="M1666" s="33"/>
      <c r="N1666" s="33"/>
      <c r="O1666" s="33"/>
      <c r="P1666" s="184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44"/>
      <c r="AP1666" s="37"/>
      <c r="AQ1666" s="27"/>
      <c r="AR1666" s="57"/>
      <c r="AS1666" s="56">
        <f>Tabela4[[#This Row],[Total R$]]-Tabela4[[#This Row],[Total Pago]]</f>
        <v>0</v>
      </c>
      <c r="AT1666" s="36"/>
    </row>
    <row r="1667" spans="2:46" x14ac:dyDescent="0.25">
      <c r="B1667" s="44"/>
      <c r="D1667" s="349"/>
      <c r="E1667" s="33"/>
      <c r="F1667" s="33"/>
      <c r="G1667" s="33"/>
      <c r="H1667" s="33"/>
      <c r="I1667" s="33"/>
      <c r="J1667" s="33"/>
      <c r="K1667" s="33"/>
      <c r="L1667" s="561"/>
      <c r="M1667" s="33"/>
      <c r="N1667" s="33"/>
      <c r="O1667" s="33"/>
      <c r="P1667" s="184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44"/>
      <c r="AP1667" s="37"/>
      <c r="AQ1667" s="27"/>
      <c r="AR1667" s="57"/>
      <c r="AS1667" s="56">
        <f>Tabela4[[#This Row],[Total R$]]-Tabela4[[#This Row],[Total Pago]]</f>
        <v>0</v>
      </c>
      <c r="AT1667" s="36"/>
    </row>
    <row r="1668" spans="2:46" x14ac:dyDescent="0.25">
      <c r="B1668" s="44"/>
      <c r="D1668" s="349"/>
      <c r="E1668" s="33"/>
      <c r="F1668" s="33"/>
      <c r="G1668" s="33"/>
      <c r="H1668" s="33"/>
      <c r="I1668" s="33"/>
      <c r="J1668" s="33"/>
      <c r="K1668" s="33"/>
      <c r="L1668" s="561"/>
      <c r="M1668" s="33"/>
      <c r="N1668" s="33"/>
      <c r="O1668" s="33"/>
      <c r="P1668" s="184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44"/>
      <c r="AP1668" s="37"/>
      <c r="AQ1668" s="27"/>
      <c r="AR1668" s="57"/>
      <c r="AS1668" s="56">
        <f>Tabela4[[#This Row],[Total R$]]-Tabela4[[#This Row],[Total Pago]]</f>
        <v>0</v>
      </c>
      <c r="AT1668" s="36"/>
    </row>
    <row r="1669" spans="2:46" x14ac:dyDescent="0.25">
      <c r="B1669" s="44"/>
      <c r="D1669" s="349"/>
      <c r="E1669" s="33"/>
      <c r="F1669" s="33"/>
      <c r="G1669" s="33"/>
      <c r="H1669" s="33"/>
      <c r="I1669" s="33"/>
      <c r="J1669" s="33"/>
      <c r="K1669" s="33"/>
      <c r="L1669" s="561"/>
      <c r="M1669" s="33"/>
      <c r="N1669" s="33"/>
      <c r="O1669" s="33"/>
      <c r="P1669" s="184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44"/>
      <c r="AP1669" s="37"/>
      <c r="AQ1669" s="27"/>
      <c r="AR1669" s="57"/>
      <c r="AS1669" s="56">
        <f>Tabela4[[#This Row],[Total R$]]-Tabela4[[#This Row],[Total Pago]]</f>
        <v>0</v>
      </c>
      <c r="AT1669" s="36"/>
    </row>
    <row r="1670" spans="2:46" x14ac:dyDescent="0.25">
      <c r="B1670" s="44"/>
      <c r="D1670" s="349"/>
      <c r="E1670" s="33"/>
      <c r="F1670" s="33"/>
      <c r="G1670" s="33"/>
      <c r="H1670" s="33"/>
      <c r="I1670" s="33"/>
      <c r="J1670" s="33"/>
      <c r="K1670" s="33"/>
      <c r="L1670" s="561"/>
      <c r="M1670" s="33"/>
      <c r="N1670" s="33"/>
      <c r="O1670" s="33"/>
      <c r="P1670" s="184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44"/>
      <c r="AP1670" s="37"/>
      <c r="AQ1670" s="27"/>
      <c r="AR1670" s="57"/>
      <c r="AS1670" s="56">
        <f>Tabela4[[#This Row],[Total R$]]-Tabela4[[#This Row],[Total Pago]]</f>
        <v>0</v>
      </c>
      <c r="AT1670" s="36"/>
    </row>
    <row r="1671" spans="2:46" x14ac:dyDescent="0.25">
      <c r="B1671" s="44"/>
      <c r="D1671" s="349"/>
      <c r="E1671" s="33"/>
      <c r="F1671" s="33"/>
      <c r="G1671" s="33"/>
      <c r="H1671" s="33"/>
      <c r="I1671" s="33"/>
      <c r="J1671" s="33"/>
      <c r="K1671" s="33"/>
      <c r="L1671" s="561"/>
      <c r="M1671" s="33"/>
      <c r="N1671" s="33"/>
      <c r="O1671" s="33"/>
      <c r="P1671" s="184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44"/>
      <c r="AP1671" s="37"/>
      <c r="AQ1671" s="27"/>
      <c r="AR1671" s="57"/>
      <c r="AS1671" s="56">
        <f>Tabela4[[#This Row],[Total R$]]-Tabela4[[#This Row],[Total Pago]]</f>
        <v>0</v>
      </c>
      <c r="AT1671" s="36"/>
    </row>
    <row r="1672" spans="2:46" x14ac:dyDescent="0.25">
      <c r="B1672" s="44"/>
      <c r="D1672" s="349"/>
      <c r="E1672" s="33"/>
      <c r="F1672" s="33"/>
      <c r="G1672" s="33"/>
      <c r="H1672" s="33"/>
      <c r="I1672" s="33"/>
      <c r="J1672" s="33"/>
      <c r="K1672" s="33"/>
      <c r="L1672" s="561"/>
      <c r="M1672" s="33"/>
      <c r="N1672" s="33"/>
      <c r="O1672" s="33"/>
      <c r="P1672" s="184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44"/>
      <c r="AP1672" s="37"/>
      <c r="AQ1672" s="27"/>
      <c r="AR1672" s="57"/>
      <c r="AS1672" s="56">
        <f>Tabela4[[#This Row],[Total R$]]-Tabela4[[#This Row],[Total Pago]]</f>
        <v>0</v>
      </c>
      <c r="AT1672" s="36"/>
    </row>
    <row r="1673" spans="2:46" x14ac:dyDescent="0.25">
      <c r="B1673" s="44"/>
      <c r="D1673" s="349"/>
      <c r="E1673" s="33"/>
      <c r="F1673" s="33"/>
      <c r="G1673" s="33"/>
      <c r="H1673" s="33"/>
      <c r="I1673" s="33"/>
      <c r="J1673" s="33"/>
      <c r="K1673" s="33"/>
      <c r="L1673" s="561"/>
      <c r="M1673" s="33"/>
      <c r="N1673" s="33"/>
      <c r="O1673" s="33"/>
      <c r="P1673" s="184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44"/>
      <c r="AP1673" s="37"/>
      <c r="AQ1673" s="27"/>
      <c r="AR1673" s="57"/>
      <c r="AS1673" s="56">
        <f>Tabela4[[#This Row],[Total R$]]-Tabela4[[#This Row],[Total Pago]]</f>
        <v>0</v>
      </c>
      <c r="AT1673" s="36"/>
    </row>
    <row r="1674" spans="2:46" x14ac:dyDescent="0.25">
      <c r="B1674" s="44"/>
      <c r="D1674" s="349"/>
      <c r="E1674" s="33"/>
      <c r="F1674" s="33"/>
      <c r="G1674" s="33"/>
      <c r="H1674" s="33"/>
      <c r="I1674" s="33"/>
      <c r="J1674" s="33"/>
      <c r="K1674" s="33"/>
      <c r="L1674" s="561"/>
      <c r="M1674" s="33"/>
      <c r="N1674" s="33"/>
      <c r="O1674" s="33"/>
      <c r="P1674" s="184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44"/>
      <c r="AP1674" s="37"/>
      <c r="AQ1674" s="27"/>
      <c r="AR1674" s="57"/>
      <c r="AS1674" s="56">
        <f>Tabela4[[#This Row],[Total R$]]-Tabela4[[#This Row],[Total Pago]]</f>
        <v>0</v>
      </c>
      <c r="AT1674" s="36"/>
    </row>
    <row r="1675" spans="2:46" x14ac:dyDescent="0.25">
      <c r="B1675" s="44"/>
      <c r="D1675" s="349"/>
      <c r="E1675" s="33"/>
      <c r="F1675" s="33"/>
      <c r="G1675" s="33"/>
      <c r="H1675" s="33"/>
      <c r="I1675" s="33"/>
      <c r="J1675" s="33"/>
      <c r="K1675" s="33"/>
      <c r="L1675" s="561"/>
      <c r="M1675" s="33"/>
      <c r="N1675" s="33"/>
      <c r="O1675" s="33"/>
      <c r="P1675" s="184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44"/>
      <c r="AP1675" s="37"/>
      <c r="AQ1675" s="27"/>
      <c r="AR1675" s="57"/>
      <c r="AS1675" s="56">
        <f>Tabela4[[#This Row],[Total R$]]-Tabela4[[#This Row],[Total Pago]]</f>
        <v>0</v>
      </c>
      <c r="AT1675" s="36"/>
    </row>
    <row r="1676" spans="2:46" x14ac:dyDescent="0.25">
      <c r="B1676" s="44"/>
      <c r="D1676" s="349"/>
      <c r="E1676" s="33"/>
      <c r="F1676" s="33"/>
      <c r="G1676" s="33"/>
      <c r="H1676" s="33"/>
      <c r="I1676" s="33"/>
      <c r="J1676" s="33"/>
      <c r="K1676" s="33"/>
      <c r="L1676" s="561"/>
      <c r="M1676" s="33"/>
      <c r="N1676" s="33"/>
      <c r="O1676" s="33"/>
      <c r="P1676" s="184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44"/>
      <c r="AP1676" s="37"/>
      <c r="AQ1676" s="27"/>
      <c r="AR1676" s="57"/>
      <c r="AS1676" s="56">
        <f>Tabela4[[#This Row],[Total R$]]-Tabela4[[#This Row],[Total Pago]]</f>
        <v>0</v>
      </c>
      <c r="AT1676" s="36"/>
    </row>
    <row r="1677" spans="2:46" x14ac:dyDescent="0.25">
      <c r="B1677" s="44"/>
      <c r="D1677" s="349"/>
      <c r="E1677" s="33"/>
      <c r="F1677" s="33"/>
      <c r="G1677" s="33"/>
      <c r="H1677" s="33"/>
      <c r="I1677" s="33"/>
      <c r="J1677" s="33"/>
      <c r="K1677" s="33"/>
      <c r="L1677" s="561"/>
      <c r="M1677" s="33"/>
      <c r="N1677" s="33"/>
      <c r="O1677" s="33"/>
      <c r="P1677" s="184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44"/>
      <c r="AP1677" s="37"/>
      <c r="AQ1677" s="27"/>
      <c r="AR1677" s="57"/>
      <c r="AS1677" s="56">
        <f>Tabela4[[#This Row],[Total R$]]-Tabela4[[#This Row],[Total Pago]]</f>
        <v>0</v>
      </c>
      <c r="AT1677" s="36"/>
    </row>
    <row r="1678" spans="2:46" x14ac:dyDescent="0.25">
      <c r="B1678" s="44"/>
      <c r="D1678" s="349"/>
      <c r="E1678" s="33"/>
      <c r="F1678" s="33"/>
      <c r="G1678" s="33"/>
      <c r="H1678" s="33"/>
      <c r="I1678" s="33"/>
      <c r="J1678" s="33"/>
      <c r="K1678" s="33"/>
      <c r="L1678" s="561"/>
      <c r="M1678" s="33"/>
      <c r="N1678" s="33"/>
      <c r="O1678" s="33"/>
      <c r="P1678" s="184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44"/>
      <c r="AP1678" s="37"/>
      <c r="AQ1678" s="27"/>
      <c r="AR1678" s="57"/>
      <c r="AS1678" s="56">
        <f>Tabela4[[#This Row],[Total R$]]-Tabela4[[#This Row],[Total Pago]]</f>
        <v>0</v>
      </c>
      <c r="AT1678" s="36"/>
    </row>
    <row r="1679" spans="2:46" x14ac:dyDescent="0.25">
      <c r="B1679" s="44"/>
      <c r="D1679" s="349"/>
      <c r="E1679" s="33"/>
      <c r="F1679" s="33"/>
      <c r="G1679" s="33"/>
      <c r="H1679" s="33"/>
      <c r="I1679" s="33"/>
      <c r="J1679" s="33"/>
      <c r="K1679" s="33"/>
      <c r="L1679" s="561"/>
      <c r="M1679" s="33"/>
      <c r="N1679" s="33"/>
      <c r="O1679" s="33"/>
      <c r="P1679" s="184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44"/>
      <c r="AP1679" s="37"/>
      <c r="AQ1679" s="27"/>
      <c r="AR1679" s="57"/>
      <c r="AS1679" s="56">
        <f>Tabela4[[#This Row],[Total R$]]-Tabela4[[#This Row],[Total Pago]]</f>
        <v>0</v>
      </c>
      <c r="AT1679" s="36"/>
    </row>
    <row r="1680" spans="2:46" x14ac:dyDescent="0.25">
      <c r="B1680" s="44"/>
      <c r="D1680" s="349"/>
      <c r="E1680" s="33"/>
      <c r="F1680" s="33"/>
      <c r="G1680" s="33"/>
      <c r="H1680" s="33"/>
      <c r="I1680" s="33"/>
      <c r="J1680" s="33"/>
      <c r="K1680" s="33"/>
      <c r="L1680" s="561"/>
      <c r="M1680" s="33"/>
      <c r="N1680" s="33"/>
      <c r="O1680" s="33"/>
      <c r="P1680" s="184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44"/>
      <c r="AP1680" s="37"/>
      <c r="AQ1680" s="27"/>
      <c r="AR1680" s="57"/>
      <c r="AS1680" s="56">
        <f>Tabela4[[#This Row],[Total R$]]-Tabela4[[#This Row],[Total Pago]]</f>
        <v>0</v>
      </c>
      <c r="AT1680" s="36"/>
    </row>
    <row r="1681" spans="2:46" x14ac:dyDescent="0.25">
      <c r="B1681" s="44"/>
      <c r="D1681" s="349"/>
      <c r="E1681" s="33"/>
      <c r="F1681" s="33"/>
      <c r="G1681" s="33"/>
      <c r="H1681" s="33"/>
      <c r="I1681" s="33"/>
      <c r="J1681" s="33"/>
      <c r="K1681" s="33"/>
      <c r="L1681" s="561"/>
      <c r="M1681" s="33"/>
      <c r="N1681" s="33"/>
      <c r="O1681" s="33"/>
      <c r="P1681" s="184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44"/>
      <c r="AP1681" s="37"/>
      <c r="AQ1681" s="27"/>
      <c r="AR1681" s="57"/>
      <c r="AS1681" s="56">
        <f>Tabela4[[#This Row],[Total R$]]-Tabela4[[#This Row],[Total Pago]]</f>
        <v>0</v>
      </c>
      <c r="AT1681" s="36"/>
    </row>
    <row r="1682" spans="2:46" x14ac:dyDescent="0.25">
      <c r="B1682" s="44"/>
      <c r="D1682" s="349"/>
      <c r="E1682" s="33"/>
      <c r="F1682" s="33"/>
      <c r="G1682" s="33"/>
      <c r="H1682" s="33"/>
      <c r="I1682" s="33"/>
      <c r="J1682" s="33"/>
      <c r="K1682" s="33"/>
      <c r="L1682" s="561"/>
      <c r="M1682" s="33"/>
      <c r="N1682" s="33"/>
      <c r="O1682" s="33"/>
      <c r="P1682" s="184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44"/>
      <c r="AP1682" s="37"/>
      <c r="AQ1682" s="27"/>
      <c r="AR1682" s="57"/>
      <c r="AS1682" s="56">
        <f>Tabela4[[#This Row],[Total R$]]-Tabela4[[#This Row],[Total Pago]]</f>
        <v>0</v>
      </c>
      <c r="AT1682" s="36"/>
    </row>
    <row r="1683" spans="2:46" x14ac:dyDescent="0.25">
      <c r="B1683" s="44"/>
      <c r="D1683" s="349"/>
      <c r="E1683" s="33"/>
      <c r="F1683" s="33"/>
      <c r="G1683" s="33"/>
      <c r="H1683" s="33"/>
      <c r="I1683" s="33"/>
      <c r="J1683" s="33"/>
      <c r="K1683" s="33"/>
      <c r="L1683" s="561"/>
      <c r="M1683" s="33"/>
      <c r="N1683" s="33"/>
      <c r="O1683" s="33"/>
      <c r="P1683" s="184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44"/>
      <c r="AP1683" s="37"/>
      <c r="AQ1683" s="27"/>
      <c r="AR1683" s="57"/>
      <c r="AS1683" s="56">
        <f>Tabela4[[#This Row],[Total R$]]-Tabela4[[#This Row],[Total Pago]]</f>
        <v>0</v>
      </c>
      <c r="AT1683" s="36"/>
    </row>
    <row r="1684" spans="2:46" x14ac:dyDescent="0.25">
      <c r="B1684" s="44"/>
      <c r="D1684" s="349"/>
      <c r="E1684" s="33"/>
      <c r="F1684" s="33"/>
      <c r="G1684" s="33"/>
      <c r="H1684" s="33"/>
      <c r="I1684" s="33"/>
      <c r="J1684" s="33"/>
      <c r="K1684" s="33"/>
      <c r="L1684" s="561"/>
      <c r="M1684" s="33"/>
      <c r="N1684" s="33"/>
      <c r="O1684" s="33"/>
      <c r="P1684" s="184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44"/>
      <c r="AP1684" s="37"/>
      <c r="AQ1684" s="27"/>
      <c r="AR1684" s="57"/>
      <c r="AS1684" s="56">
        <f>Tabela4[[#This Row],[Total R$]]-Tabela4[[#This Row],[Total Pago]]</f>
        <v>0</v>
      </c>
      <c r="AT1684" s="36"/>
    </row>
    <row r="1685" spans="2:46" x14ac:dyDescent="0.25">
      <c r="B1685" s="44"/>
      <c r="D1685" s="349"/>
      <c r="E1685" s="33"/>
      <c r="F1685" s="33"/>
      <c r="G1685" s="33"/>
      <c r="H1685" s="33"/>
      <c r="I1685" s="33"/>
      <c r="J1685" s="33"/>
      <c r="K1685" s="33"/>
      <c r="L1685" s="561"/>
      <c r="M1685" s="33"/>
      <c r="N1685" s="33"/>
      <c r="O1685" s="33"/>
      <c r="P1685" s="184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44"/>
      <c r="AP1685" s="37"/>
      <c r="AQ1685" s="27"/>
      <c r="AR1685" s="57"/>
      <c r="AS1685" s="56">
        <f>Tabela4[[#This Row],[Total R$]]-Tabela4[[#This Row],[Total Pago]]</f>
        <v>0</v>
      </c>
      <c r="AT1685" s="36"/>
    </row>
    <row r="1686" spans="2:46" x14ac:dyDescent="0.25">
      <c r="B1686" s="44"/>
      <c r="D1686" s="349"/>
      <c r="E1686" s="33"/>
      <c r="F1686" s="33"/>
      <c r="G1686" s="33"/>
      <c r="H1686" s="33"/>
      <c r="I1686" s="33"/>
      <c r="J1686" s="33"/>
      <c r="K1686" s="33"/>
      <c r="L1686" s="561"/>
      <c r="M1686" s="33"/>
      <c r="N1686" s="33"/>
      <c r="O1686" s="33"/>
      <c r="P1686" s="184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44"/>
      <c r="AP1686" s="37"/>
      <c r="AQ1686" s="27"/>
      <c r="AR1686" s="57"/>
      <c r="AS1686" s="56">
        <f>Tabela4[[#This Row],[Total R$]]-Tabela4[[#This Row],[Total Pago]]</f>
        <v>0</v>
      </c>
      <c r="AT1686" s="36"/>
    </row>
    <row r="1687" spans="2:46" x14ac:dyDescent="0.25">
      <c r="B1687" s="44"/>
      <c r="D1687" s="349"/>
      <c r="E1687" s="33"/>
      <c r="F1687" s="33"/>
      <c r="G1687" s="33"/>
      <c r="H1687" s="33"/>
      <c r="I1687" s="33"/>
      <c r="J1687" s="33"/>
      <c r="K1687" s="33"/>
      <c r="L1687" s="561"/>
      <c r="M1687" s="33"/>
      <c r="N1687" s="33"/>
      <c r="O1687" s="33"/>
      <c r="P1687" s="184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44"/>
      <c r="AP1687" s="37"/>
      <c r="AQ1687" s="27"/>
      <c r="AR1687" s="57"/>
      <c r="AS1687" s="56">
        <f>Tabela4[[#This Row],[Total R$]]-Tabela4[[#This Row],[Total Pago]]</f>
        <v>0</v>
      </c>
      <c r="AT1687" s="36"/>
    </row>
    <row r="1688" spans="2:46" x14ac:dyDescent="0.25">
      <c r="B1688" s="44"/>
      <c r="D1688" s="349"/>
      <c r="E1688" s="33"/>
      <c r="F1688" s="33"/>
      <c r="G1688" s="33"/>
      <c r="H1688" s="33"/>
      <c r="I1688" s="33"/>
      <c r="J1688" s="33"/>
      <c r="K1688" s="33"/>
      <c r="L1688" s="561"/>
      <c r="M1688" s="33"/>
      <c r="N1688" s="33"/>
      <c r="O1688" s="33"/>
      <c r="P1688" s="184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44"/>
      <c r="AP1688" s="37"/>
      <c r="AQ1688" s="27"/>
      <c r="AR1688" s="57"/>
      <c r="AS1688" s="56">
        <f>Tabela4[[#This Row],[Total R$]]-Tabela4[[#This Row],[Total Pago]]</f>
        <v>0</v>
      </c>
      <c r="AT1688" s="36"/>
    </row>
    <row r="1689" spans="2:46" x14ac:dyDescent="0.25">
      <c r="B1689" s="44"/>
      <c r="D1689" s="349"/>
      <c r="E1689" s="33"/>
      <c r="F1689" s="33"/>
      <c r="G1689" s="33"/>
      <c r="H1689" s="33"/>
      <c r="I1689" s="33"/>
      <c r="J1689" s="33"/>
      <c r="K1689" s="33"/>
      <c r="L1689" s="561"/>
      <c r="M1689" s="33"/>
      <c r="N1689" s="33"/>
      <c r="O1689" s="33"/>
      <c r="P1689" s="184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44"/>
      <c r="AP1689" s="37"/>
      <c r="AQ1689" s="27"/>
      <c r="AR1689" s="57"/>
      <c r="AS1689" s="56">
        <f>Tabela4[[#This Row],[Total R$]]-Tabela4[[#This Row],[Total Pago]]</f>
        <v>0</v>
      </c>
      <c r="AT1689" s="36"/>
    </row>
    <row r="1690" spans="2:46" x14ac:dyDescent="0.25">
      <c r="B1690" s="44"/>
      <c r="D1690" s="349"/>
      <c r="E1690" s="33"/>
      <c r="F1690" s="33"/>
      <c r="G1690" s="33"/>
      <c r="H1690" s="33"/>
      <c r="I1690" s="33"/>
      <c r="J1690" s="33"/>
      <c r="K1690" s="33"/>
      <c r="L1690" s="561"/>
      <c r="M1690" s="33"/>
      <c r="N1690" s="33"/>
      <c r="O1690" s="33"/>
      <c r="P1690" s="184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44"/>
      <c r="AP1690" s="37"/>
      <c r="AQ1690" s="27"/>
      <c r="AR1690" s="57"/>
      <c r="AS1690" s="56">
        <f>Tabela4[[#This Row],[Total R$]]-Tabela4[[#This Row],[Total Pago]]</f>
        <v>0</v>
      </c>
      <c r="AT1690" s="36"/>
    </row>
    <row r="1691" spans="2:46" x14ac:dyDescent="0.25">
      <c r="B1691" s="44"/>
      <c r="D1691" s="349"/>
      <c r="E1691" s="33"/>
      <c r="F1691" s="33"/>
      <c r="G1691" s="33"/>
      <c r="H1691" s="33"/>
      <c r="I1691" s="33"/>
      <c r="J1691" s="33"/>
      <c r="K1691" s="33"/>
      <c r="L1691" s="561"/>
      <c r="M1691" s="33"/>
      <c r="N1691" s="33"/>
      <c r="O1691" s="33"/>
      <c r="P1691" s="184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44"/>
      <c r="AP1691" s="37"/>
      <c r="AQ1691" s="27"/>
      <c r="AR1691" s="57"/>
      <c r="AS1691" s="56">
        <f>Tabela4[[#This Row],[Total R$]]-Tabela4[[#This Row],[Total Pago]]</f>
        <v>0</v>
      </c>
      <c r="AT1691" s="36"/>
    </row>
    <row r="1692" spans="2:46" x14ac:dyDescent="0.25">
      <c r="B1692" s="44"/>
      <c r="D1692" s="349"/>
      <c r="E1692" s="33"/>
      <c r="F1692" s="33"/>
      <c r="G1692" s="33"/>
      <c r="H1692" s="33"/>
      <c r="I1692" s="33"/>
      <c r="J1692" s="33"/>
      <c r="K1692" s="33"/>
      <c r="L1692" s="561"/>
      <c r="M1692" s="33"/>
      <c r="N1692" s="33"/>
      <c r="O1692" s="33"/>
      <c r="P1692" s="184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44"/>
      <c r="AP1692" s="37"/>
      <c r="AQ1692" s="27"/>
      <c r="AR1692" s="57"/>
      <c r="AS1692" s="56">
        <f>Tabela4[[#This Row],[Total R$]]-Tabela4[[#This Row],[Total Pago]]</f>
        <v>0</v>
      </c>
      <c r="AT1692" s="36"/>
    </row>
    <row r="1693" spans="2:46" x14ac:dyDescent="0.25">
      <c r="B1693" s="44"/>
      <c r="D1693" s="349"/>
      <c r="E1693" s="33"/>
      <c r="F1693" s="33"/>
      <c r="G1693" s="33"/>
      <c r="H1693" s="33"/>
      <c r="I1693" s="33"/>
      <c r="J1693" s="33"/>
      <c r="K1693" s="33"/>
      <c r="L1693" s="561"/>
      <c r="M1693" s="33"/>
      <c r="N1693" s="33"/>
      <c r="O1693" s="33"/>
      <c r="P1693" s="184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44"/>
      <c r="AP1693" s="37"/>
      <c r="AQ1693" s="27"/>
      <c r="AR1693" s="57"/>
      <c r="AS1693" s="56">
        <f>Tabela4[[#This Row],[Total R$]]-Tabela4[[#This Row],[Total Pago]]</f>
        <v>0</v>
      </c>
      <c r="AT1693" s="36"/>
    </row>
    <row r="1694" spans="2:46" x14ac:dyDescent="0.25">
      <c r="B1694" s="44"/>
      <c r="D1694" s="349"/>
      <c r="E1694" s="33"/>
      <c r="F1694" s="33"/>
      <c r="G1694" s="33"/>
      <c r="H1694" s="33"/>
      <c r="I1694" s="33"/>
      <c r="J1694" s="33"/>
      <c r="K1694" s="33"/>
      <c r="L1694" s="561"/>
      <c r="M1694" s="33"/>
      <c r="N1694" s="33"/>
      <c r="O1694" s="33"/>
      <c r="P1694" s="184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44"/>
      <c r="AP1694" s="37"/>
      <c r="AQ1694" s="27"/>
      <c r="AR1694" s="57"/>
      <c r="AS1694" s="56">
        <f>Tabela4[[#This Row],[Total R$]]-Tabela4[[#This Row],[Total Pago]]</f>
        <v>0</v>
      </c>
      <c r="AT1694" s="36"/>
    </row>
    <row r="1695" spans="2:46" x14ac:dyDescent="0.25">
      <c r="B1695" s="44"/>
      <c r="D1695" s="349"/>
      <c r="E1695" s="33"/>
      <c r="F1695" s="33"/>
      <c r="G1695" s="33"/>
      <c r="H1695" s="33"/>
      <c r="I1695" s="33"/>
      <c r="J1695" s="33"/>
      <c r="K1695" s="33"/>
      <c r="L1695" s="561"/>
      <c r="M1695" s="33"/>
      <c r="N1695" s="33"/>
      <c r="O1695" s="33"/>
      <c r="P1695" s="184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44"/>
      <c r="AP1695" s="37"/>
      <c r="AQ1695" s="27"/>
      <c r="AR1695" s="57"/>
      <c r="AS1695" s="56">
        <f>Tabela4[[#This Row],[Total R$]]-Tabela4[[#This Row],[Total Pago]]</f>
        <v>0</v>
      </c>
      <c r="AT1695" s="36"/>
    </row>
    <row r="1696" spans="2:46" x14ac:dyDescent="0.25">
      <c r="B1696" s="44"/>
      <c r="D1696" s="349"/>
      <c r="E1696" s="33"/>
      <c r="F1696" s="33"/>
      <c r="G1696" s="33"/>
      <c r="H1696" s="33"/>
      <c r="I1696" s="33"/>
      <c r="J1696" s="33"/>
      <c r="K1696" s="33"/>
      <c r="L1696" s="561"/>
      <c r="M1696" s="33"/>
      <c r="N1696" s="33"/>
      <c r="O1696" s="33"/>
      <c r="P1696" s="184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44"/>
      <c r="AP1696" s="37"/>
      <c r="AQ1696" s="27"/>
      <c r="AR1696" s="57"/>
      <c r="AS1696" s="56">
        <f>Tabela4[[#This Row],[Total R$]]-Tabela4[[#This Row],[Total Pago]]</f>
        <v>0</v>
      </c>
      <c r="AT1696" s="36"/>
    </row>
    <row r="1697" spans="2:46" x14ac:dyDescent="0.25">
      <c r="B1697" s="44"/>
      <c r="D1697" s="349"/>
      <c r="E1697" s="33"/>
      <c r="F1697" s="33"/>
      <c r="G1697" s="33"/>
      <c r="H1697" s="33"/>
      <c r="I1697" s="33"/>
      <c r="J1697" s="33"/>
      <c r="K1697" s="33"/>
      <c r="L1697" s="561"/>
      <c r="M1697" s="33"/>
      <c r="N1697" s="33"/>
      <c r="O1697" s="33"/>
      <c r="P1697" s="184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44"/>
      <c r="AP1697" s="37"/>
      <c r="AQ1697" s="27"/>
      <c r="AR1697" s="57"/>
      <c r="AS1697" s="56">
        <f>Tabela4[[#This Row],[Total R$]]-Tabela4[[#This Row],[Total Pago]]</f>
        <v>0</v>
      </c>
      <c r="AT1697" s="36"/>
    </row>
    <row r="1698" spans="2:46" x14ac:dyDescent="0.25">
      <c r="B1698" s="44"/>
      <c r="D1698" s="349"/>
      <c r="E1698" s="33"/>
      <c r="F1698" s="33"/>
      <c r="G1698" s="33"/>
      <c r="H1698" s="33"/>
      <c r="I1698" s="33"/>
      <c r="J1698" s="33"/>
      <c r="K1698" s="33"/>
      <c r="L1698" s="561"/>
      <c r="M1698" s="33"/>
      <c r="N1698" s="33"/>
      <c r="O1698" s="33"/>
      <c r="P1698" s="184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44"/>
      <c r="AP1698" s="37"/>
      <c r="AQ1698" s="27"/>
      <c r="AR1698" s="57"/>
      <c r="AS1698" s="56">
        <f>Tabela4[[#This Row],[Total R$]]-Tabela4[[#This Row],[Total Pago]]</f>
        <v>0</v>
      </c>
      <c r="AT1698" s="36"/>
    </row>
    <row r="1699" spans="2:46" x14ac:dyDescent="0.25">
      <c r="B1699" s="44"/>
      <c r="D1699" s="349"/>
      <c r="E1699" s="33"/>
      <c r="F1699" s="33"/>
      <c r="G1699" s="33"/>
      <c r="H1699" s="33"/>
      <c r="I1699" s="33"/>
      <c r="J1699" s="33"/>
      <c r="K1699" s="33"/>
      <c r="L1699" s="561"/>
      <c r="M1699" s="33"/>
      <c r="N1699" s="33"/>
      <c r="O1699" s="33"/>
      <c r="P1699" s="184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44"/>
      <c r="AP1699" s="37"/>
      <c r="AQ1699" s="27"/>
      <c r="AR1699" s="57"/>
      <c r="AS1699" s="56">
        <f>Tabela4[[#This Row],[Total R$]]-Tabela4[[#This Row],[Total Pago]]</f>
        <v>0</v>
      </c>
      <c r="AT1699" s="36"/>
    </row>
    <row r="1700" spans="2:46" x14ac:dyDescent="0.25">
      <c r="B1700" s="44"/>
      <c r="D1700" s="349"/>
      <c r="E1700" s="33"/>
      <c r="F1700" s="33"/>
      <c r="G1700" s="33"/>
      <c r="H1700" s="33"/>
      <c r="I1700" s="33"/>
      <c r="J1700" s="33"/>
      <c r="K1700" s="33"/>
      <c r="L1700" s="561"/>
      <c r="M1700" s="33"/>
      <c r="N1700" s="33"/>
      <c r="O1700" s="33"/>
      <c r="P1700" s="184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44"/>
      <c r="AP1700" s="37"/>
      <c r="AQ1700" s="27"/>
      <c r="AR1700" s="57"/>
      <c r="AS1700" s="56">
        <f>Tabela4[[#This Row],[Total R$]]-Tabela4[[#This Row],[Total Pago]]</f>
        <v>0</v>
      </c>
      <c r="AT1700" s="36"/>
    </row>
    <row r="1701" spans="2:46" x14ac:dyDescent="0.25">
      <c r="B1701" s="44"/>
      <c r="D1701" s="349"/>
      <c r="E1701" s="33"/>
      <c r="F1701" s="33"/>
      <c r="G1701" s="33"/>
      <c r="H1701" s="33"/>
      <c r="I1701" s="33"/>
      <c r="J1701" s="33"/>
      <c r="K1701" s="33"/>
      <c r="L1701" s="561"/>
      <c r="M1701" s="33"/>
      <c r="N1701" s="33"/>
      <c r="O1701" s="33"/>
      <c r="P1701" s="184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44"/>
      <c r="AP1701" s="37"/>
      <c r="AQ1701" s="27"/>
      <c r="AR1701" s="57"/>
      <c r="AS1701" s="56">
        <f>Tabela4[[#This Row],[Total R$]]-Tabela4[[#This Row],[Total Pago]]</f>
        <v>0</v>
      </c>
      <c r="AT1701" s="36"/>
    </row>
    <row r="1702" spans="2:46" x14ac:dyDescent="0.25">
      <c r="B1702" s="44"/>
      <c r="D1702" s="349"/>
      <c r="E1702" s="33"/>
      <c r="F1702" s="33"/>
      <c r="G1702" s="33"/>
      <c r="H1702" s="33"/>
      <c r="I1702" s="33"/>
      <c r="J1702" s="33"/>
      <c r="K1702" s="33"/>
      <c r="L1702" s="561"/>
      <c r="M1702" s="33"/>
      <c r="N1702" s="33"/>
      <c r="O1702" s="33"/>
      <c r="P1702" s="184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44"/>
      <c r="AP1702" s="37"/>
      <c r="AQ1702" s="27"/>
      <c r="AR1702" s="57"/>
      <c r="AS1702" s="56">
        <f>Tabela4[[#This Row],[Total R$]]-Tabela4[[#This Row],[Total Pago]]</f>
        <v>0</v>
      </c>
      <c r="AT1702" s="36"/>
    </row>
    <row r="1703" spans="2:46" x14ac:dyDescent="0.25">
      <c r="B1703" s="44"/>
      <c r="D1703" s="349"/>
      <c r="E1703" s="33"/>
      <c r="F1703" s="33"/>
      <c r="G1703" s="33"/>
      <c r="H1703" s="33"/>
      <c r="I1703" s="33"/>
      <c r="J1703" s="33"/>
      <c r="K1703" s="33"/>
      <c r="L1703" s="561"/>
      <c r="M1703" s="33"/>
      <c r="N1703" s="33"/>
      <c r="O1703" s="33"/>
      <c r="P1703" s="184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44"/>
      <c r="AP1703" s="37"/>
      <c r="AQ1703" s="27"/>
      <c r="AR1703" s="57"/>
      <c r="AS1703" s="56">
        <f>Tabela4[[#This Row],[Total R$]]-Tabela4[[#This Row],[Total Pago]]</f>
        <v>0</v>
      </c>
      <c r="AT1703" s="36"/>
    </row>
    <row r="1704" spans="2:46" x14ac:dyDescent="0.25">
      <c r="B1704" s="44"/>
      <c r="D1704" s="349"/>
      <c r="E1704" s="33"/>
      <c r="F1704" s="33"/>
      <c r="G1704" s="33"/>
      <c r="H1704" s="33"/>
      <c r="I1704" s="33"/>
      <c r="J1704" s="33"/>
      <c r="K1704" s="33"/>
      <c r="L1704" s="561"/>
      <c r="M1704" s="33"/>
      <c r="N1704" s="33"/>
      <c r="O1704" s="33"/>
      <c r="P1704" s="184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44"/>
      <c r="AP1704" s="37"/>
      <c r="AQ1704" s="27"/>
      <c r="AR1704" s="57"/>
      <c r="AS1704" s="56">
        <f>Tabela4[[#This Row],[Total R$]]-Tabela4[[#This Row],[Total Pago]]</f>
        <v>0</v>
      </c>
      <c r="AT1704" s="36"/>
    </row>
    <row r="1705" spans="2:46" x14ac:dyDescent="0.25">
      <c r="B1705" s="44"/>
      <c r="D1705" s="349"/>
      <c r="E1705" s="33"/>
      <c r="F1705" s="33"/>
      <c r="G1705" s="33"/>
      <c r="H1705" s="33"/>
      <c r="I1705" s="33"/>
      <c r="J1705" s="33"/>
      <c r="K1705" s="33"/>
      <c r="L1705" s="561"/>
      <c r="M1705" s="33"/>
      <c r="N1705" s="33"/>
      <c r="O1705" s="33"/>
      <c r="P1705" s="184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44"/>
      <c r="AP1705" s="37"/>
      <c r="AQ1705" s="27"/>
      <c r="AR1705" s="57"/>
      <c r="AS1705" s="56">
        <f>Tabela4[[#This Row],[Total R$]]-Tabela4[[#This Row],[Total Pago]]</f>
        <v>0</v>
      </c>
      <c r="AT1705" s="36"/>
    </row>
    <row r="1706" spans="2:46" x14ac:dyDescent="0.25">
      <c r="B1706" s="44"/>
      <c r="D1706" s="349"/>
      <c r="E1706" s="33"/>
      <c r="F1706" s="33"/>
      <c r="G1706" s="33"/>
      <c r="H1706" s="33"/>
      <c r="I1706" s="33"/>
      <c r="J1706" s="33"/>
      <c r="K1706" s="33"/>
      <c r="L1706" s="561"/>
      <c r="M1706" s="33"/>
      <c r="N1706" s="33"/>
      <c r="O1706" s="33"/>
      <c r="P1706" s="184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44"/>
      <c r="AP1706" s="37"/>
      <c r="AQ1706" s="27"/>
      <c r="AR1706" s="57"/>
      <c r="AS1706" s="56">
        <f>Tabela4[[#This Row],[Total R$]]-Tabela4[[#This Row],[Total Pago]]</f>
        <v>0</v>
      </c>
      <c r="AT1706" s="36"/>
    </row>
    <row r="1707" spans="2:46" x14ac:dyDescent="0.25">
      <c r="B1707" s="44"/>
      <c r="D1707" s="349"/>
      <c r="E1707" s="33"/>
      <c r="F1707" s="33"/>
      <c r="G1707" s="33"/>
      <c r="H1707" s="33"/>
      <c r="I1707" s="33"/>
      <c r="J1707" s="33"/>
      <c r="K1707" s="33"/>
      <c r="L1707" s="561"/>
      <c r="M1707" s="33"/>
      <c r="N1707" s="33"/>
      <c r="O1707" s="33"/>
      <c r="P1707" s="184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44"/>
      <c r="AP1707" s="37"/>
      <c r="AQ1707" s="27"/>
      <c r="AR1707" s="57"/>
      <c r="AS1707" s="56">
        <f>Tabela4[[#This Row],[Total R$]]-Tabela4[[#This Row],[Total Pago]]</f>
        <v>0</v>
      </c>
      <c r="AT1707" s="36"/>
    </row>
    <row r="1708" spans="2:46" x14ac:dyDescent="0.25">
      <c r="B1708" s="44"/>
      <c r="D1708" s="349"/>
      <c r="E1708" s="33"/>
      <c r="F1708" s="33"/>
      <c r="G1708" s="33"/>
      <c r="H1708" s="33"/>
      <c r="I1708" s="33"/>
      <c r="J1708" s="33"/>
      <c r="K1708" s="33"/>
      <c r="L1708" s="561"/>
      <c r="M1708" s="33"/>
      <c r="N1708" s="33"/>
      <c r="O1708" s="33"/>
      <c r="P1708" s="184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44"/>
      <c r="AP1708" s="37"/>
      <c r="AQ1708" s="27"/>
      <c r="AR1708" s="57"/>
      <c r="AS1708" s="56">
        <f>Tabela4[[#This Row],[Total R$]]-Tabela4[[#This Row],[Total Pago]]</f>
        <v>0</v>
      </c>
      <c r="AT1708" s="36"/>
    </row>
    <row r="1709" spans="2:46" x14ac:dyDescent="0.25">
      <c r="B1709" s="44"/>
      <c r="D1709" s="349"/>
      <c r="E1709" s="33"/>
      <c r="F1709" s="33"/>
      <c r="G1709" s="33"/>
      <c r="H1709" s="33"/>
      <c r="I1709" s="33"/>
      <c r="J1709" s="33"/>
      <c r="K1709" s="33"/>
      <c r="L1709" s="561"/>
      <c r="M1709" s="33"/>
      <c r="N1709" s="33"/>
      <c r="O1709" s="33"/>
      <c r="P1709" s="184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44"/>
      <c r="AP1709" s="37"/>
      <c r="AQ1709" s="27"/>
      <c r="AR1709" s="57"/>
      <c r="AS1709" s="56">
        <f>Tabela4[[#This Row],[Total R$]]-Tabela4[[#This Row],[Total Pago]]</f>
        <v>0</v>
      </c>
      <c r="AT1709" s="36"/>
    </row>
    <row r="1710" spans="2:46" x14ac:dyDescent="0.25">
      <c r="B1710" s="44"/>
      <c r="D1710" s="349"/>
      <c r="E1710" s="33"/>
      <c r="F1710" s="33"/>
      <c r="G1710" s="33"/>
      <c r="H1710" s="33"/>
      <c r="I1710" s="33"/>
      <c r="J1710" s="33"/>
      <c r="K1710" s="33"/>
      <c r="L1710" s="561"/>
      <c r="M1710" s="33"/>
      <c r="N1710" s="33"/>
      <c r="O1710" s="33"/>
      <c r="P1710" s="184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44"/>
      <c r="AP1710" s="37"/>
      <c r="AQ1710" s="27"/>
      <c r="AR1710" s="57"/>
      <c r="AS1710" s="56">
        <f>Tabela4[[#This Row],[Total R$]]-Tabela4[[#This Row],[Total Pago]]</f>
        <v>0</v>
      </c>
      <c r="AT1710" s="36"/>
    </row>
    <row r="1711" spans="2:46" x14ac:dyDescent="0.25">
      <c r="B1711" s="44"/>
      <c r="D1711" s="349"/>
      <c r="E1711" s="33"/>
      <c r="F1711" s="33"/>
      <c r="G1711" s="33"/>
      <c r="H1711" s="33"/>
      <c r="I1711" s="33"/>
      <c r="J1711" s="33"/>
      <c r="K1711" s="33"/>
      <c r="L1711" s="561"/>
      <c r="M1711" s="33"/>
      <c r="N1711" s="33"/>
      <c r="O1711" s="33"/>
      <c r="P1711" s="184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44"/>
      <c r="AP1711" s="37"/>
      <c r="AQ1711" s="27"/>
      <c r="AR1711" s="57"/>
      <c r="AS1711" s="56">
        <f>Tabela4[[#This Row],[Total R$]]-Tabela4[[#This Row],[Total Pago]]</f>
        <v>0</v>
      </c>
      <c r="AT1711" s="36"/>
    </row>
    <row r="1712" spans="2:46" x14ac:dyDescent="0.25">
      <c r="B1712" s="44"/>
      <c r="D1712" s="349"/>
      <c r="E1712" s="33"/>
      <c r="F1712" s="33"/>
      <c r="G1712" s="33"/>
      <c r="H1712" s="33"/>
      <c r="I1712" s="33"/>
      <c r="J1712" s="33"/>
      <c r="K1712" s="33"/>
      <c r="L1712" s="561"/>
      <c r="M1712" s="33"/>
      <c r="N1712" s="33"/>
      <c r="O1712" s="33"/>
      <c r="P1712" s="184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44"/>
      <c r="AP1712" s="37"/>
      <c r="AQ1712" s="27"/>
      <c r="AR1712" s="57"/>
      <c r="AS1712" s="56">
        <f>Tabela4[[#This Row],[Total R$]]-Tabela4[[#This Row],[Total Pago]]</f>
        <v>0</v>
      </c>
      <c r="AT1712" s="36"/>
    </row>
    <row r="1713" spans="2:46" x14ac:dyDescent="0.25">
      <c r="B1713" s="44"/>
      <c r="D1713" s="349"/>
      <c r="E1713" s="33"/>
      <c r="F1713" s="33"/>
      <c r="G1713" s="33"/>
      <c r="H1713" s="33"/>
      <c r="I1713" s="33"/>
      <c r="J1713" s="33"/>
      <c r="K1713" s="33"/>
      <c r="L1713" s="561"/>
      <c r="M1713" s="33"/>
      <c r="N1713" s="33"/>
      <c r="O1713" s="33"/>
      <c r="P1713" s="184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44"/>
      <c r="AP1713" s="37"/>
      <c r="AQ1713" s="27"/>
      <c r="AR1713" s="57"/>
      <c r="AS1713" s="56">
        <f>Tabela4[[#This Row],[Total R$]]-Tabela4[[#This Row],[Total Pago]]</f>
        <v>0</v>
      </c>
      <c r="AT1713" s="36"/>
    </row>
    <row r="1714" spans="2:46" x14ac:dyDescent="0.25">
      <c r="B1714" s="44"/>
      <c r="D1714" s="349"/>
      <c r="E1714" s="33"/>
      <c r="F1714" s="33"/>
      <c r="G1714" s="33"/>
      <c r="H1714" s="33"/>
      <c r="I1714" s="33"/>
      <c r="J1714" s="33"/>
      <c r="K1714" s="33"/>
      <c r="L1714" s="561"/>
      <c r="M1714" s="33"/>
      <c r="N1714" s="33"/>
      <c r="O1714" s="33"/>
      <c r="P1714" s="184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44"/>
      <c r="AP1714" s="37"/>
      <c r="AQ1714" s="27"/>
      <c r="AR1714" s="57"/>
      <c r="AS1714" s="56">
        <f>Tabela4[[#This Row],[Total R$]]-Tabela4[[#This Row],[Total Pago]]</f>
        <v>0</v>
      </c>
      <c r="AT1714" s="36"/>
    </row>
    <row r="1715" spans="2:46" x14ac:dyDescent="0.25">
      <c r="B1715" s="44"/>
      <c r="D1715" s="349"/>
      <c r="E1715" s="33"/>
      <c r="F1715" s="33"/>
      <c r="G1715" s="33"/>
      <c r="H1715" s="33"/>
      <c r="I1715" s="33"/>
      <c r="J1715" s="33"/>
      <c r="K1715" s="33"/>
      <c r="L1715" s="561"/>
      <c r="M1715" s="33"/>
      <c r="N1715" s="33"/>
      <c r="O1715" s="33"/>
      <c r="P1715" s="184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44"/>
      <c r="AP1715" s="37"/>
      <c r="AQ1715" s="27"/>
      <c r="AR1715" s="57"/>
      <c r="AS1715" s="56">
        <f>Tabela4[[#This Row],[Total R$]]-Tabela4[[#This Row],[Total Pago]]</f>
        <v>0</v>
      </c>
      <c r="AT1715" s="36"/>
    </row>
    <row r="1716" spans="2:46" x14ac:dyDescent="0.25">
      <c r="B1716" s="44"/>
      <c r="D1716" s="349"/>
      <c r="E1716" s="33"/>
      <c r="F1716" s="33"/>
      <c r="G1716" s="33"/>
      <c r="H1716" s="33"/>
      <c r="I1716" s="33"/>
      <c r="J1716" s="33"/>
      <c r="K1716" s="33"/>
      <c r="L1716" s="561"/>
      <c r="M1716" s="33"/>
      <c r="N1716" s="33"/>
      <c r="O1716" s="33"/>
      <c r="P1716" s="184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44"/>
      <c r="AP1716" s="37"/>
      <c r="AQ1716" s="27"/>
      <c r="AR1716" s="57"/>
      <c r="AS1716" s="56">
        <f>Tabela4[[#This Row],[Total R$]]-Tabela4[[#This Row],[Total Pago]]</f>
        <v>0</v>
      </c>
      <c r="AT1716" s="36"/>
    </row>
    <row r="1717" spans="2:46" x14ac:dyDescent="0.25">
      <c r="B1717" s="44"/>
      <c r="D1717" s="349"/>
      <c r="E1717" s="33"/>
      <c r="F1717" s="33"/>
      <c r="G1717" s="33"/>
      <c r="H1717" s="33"/>
      <c r="I1717" s="33"/>
      <c r="J1717" s="33"/>
      <c r="K1717" s="33"/>
      <c r="L1717" s="561"/>
      <c r="M1717" s="33"/>
      <c r="N1717" s="33"/>
      <c r="O1717" s="33"/>
      <c r="P1717" s="184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44"/>
      <c r="AP1717" s="37"/>
      <c r="AQ1717" s="27"/>
      <c r="AR1717" s="57"/>
      <c r="AS1717" s="56">
        <f>Tabela4[[#This Row],[Total R$]]-Tabela4[[#This Row],[Total Pago]]</f>
        <v>0</v>
      </c>
      <c r="AT1717" s="36"/>
    </row>
    <row r="1718" spans="2:46" x14ac:dyDescent="0.25">
      <c r="B1718" s="44"/>
      <c r="D1718" s="349"/>
      <c r="E1718" s="33"/>
      <c r="F1718" s="33"/>
      <c r="G1718" s="33"/>
      <c r="H1718" s="33"/>
      <c r="I1718" s="33"/>
      <c r="J1718" s="33"/>
      <c r="K1718" s="33"/>
      <c r="L1718" s="561"/>
      <c r="M1718" s="33"/>
      <c r="N1718" s="33"/>
      <c r="O1718" s="33"/>
      <c r="P1718" s="184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44"/>
      <c r="AP1718" s="37"/>
      <c r="AQ1718" s="27"/>
      <c r="AR1718" s="57"/>
      <c r="AS1718" s="56">
        <f>Tabela4[[#This Row],[Total R$]]-Tabela4[[#This Row],[Total Pago]]</f>
        <v>0</v>
      </c>
      <c r="AT1718" s="36"/>
    </row>
    <row r="1719" spans="2:46" x14ac:dyDescent="0.25">
      <c r="B1719" s="44"/>
      <c r="D1719" s="349"/>
      <c r="E1719" s="33"/>
      <c r="F1719" s="33"/>
      <c r="G1719" s="33"/>
      <c r="H1719" s="33"/>
      <c r="I1719" s="33"/>
      <c r="J1719" s="33"/>
      <c r="K1719" s="33"/>
      <c r="L1719" s="561"/>
      <c r="M1719" s="33"/>
      <c r="N1719" s="33"/>
      <c r="O1719" s="33"/>
      <c r="P1719" s="184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44"/>
      <c r="AP1719" s="37"/>
      <c r="AQ1719" s="27"/>
      <c r="AR1719" s="57"/>
      <c r="AS1719" s="56">
        <f>Tabela4[[#This Row],[Total R$]]-Tabela4[[#This Row],[Total Pago]]</f>
        <v>0</v>
      </c>
      <c r="AT1719" s="36"/>
    </row>
    <row r="1720" spans="2:46" x14ac:dyDescent="0.25">
      <c r="B1720" s="44"/>
      <c r="D1720" s="349"/>
      <c r="E1720" s="33"/>
      <c r="F1720" s="33"/>
      <c r="G1720" s="33"/>
      <c r="H1720" s="33"/>
      <c r="I1720" s="33"/>
      <c r="J1720" s="33"/>
      <c r="K1720" s="33"/>
      <c r="L1720" s="561"/>
      <c r="M1720" s="33"/>
      <c r="N1720" s="33"/>
      <c r="O1720" s="33"/>
      <c r="P1720" s="184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44"/>
      <c r="AP1720" s="37"/>
      <c r="AQ1720" s="27"/>
      <c r="AR1720" s="57"/>
      <c r="AS1720" s="56">
        <f>Tabela4[[#This Row],[Total R$]]-Tabela4[[#This Row],[Total Pago]]</f>
        <v>0</v>
      </c>
      <c r="AT1720" s="36"/>
    </row>
    <row r="1721" spans="2:46" x14ac:dyDescent="0.25">
      <c r="B1721" s="44"/>
      <c r="D1721" s="349"/>
      <c r="E1721" s="33"/>
      <c r="F1721" s="33"/>
      <c r="G1721" s="33"/>
      <c r="H1721" s="33"/>
      <c r="I1721" s="33"/>
      <c r="J1721" s="33"/>
      <c r="K1721" s="33"/>
      <c r="L1721" s="561"/>
      <c r="M1721" s="33"/>
      <c r="N1721" s="33"/>
      <c r="O1721" s="33"/>
      <c r="P1721" s="184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44"/>
      <c r="AP1721" s="37"/>
      <c r="AQ1721" s="27"/>
      <c r="AR1721" s="57"/>
      <c r="AS1721" s="56">
        <f>Tabela4[[#This Row],[Total R$]]-Tabela4[[#This Row],[Total Pago]]</f>
        <v>0</v>
      </c>
      <c r="AT1721" s="36"/>
    </row>
    <row r="1722" spans="2:46" x14ac:dyDescent="0.25">
      <c r="B1722" s="44"/>
      <c r="D1722" s="349"/>
      <c r="E1722" s="33"/>
      <c r="F1722" s="33"/>
      <c r="G1722" s="33"/>
      <c r="H1722" s="33"/>
      <c r="I1722" s="33"/>
      <c r="J1722" s="33"/>
      <c r="K1722" s="33"/>
      <c r="L1722" s="561"/>
      <c r="M1722" s="33"/>
      <c r="N1722" s="33"/>
      <c r="O1722" s="33"/>
      <c r="P1722" s="184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44"/>
      <c r="AP1722" s="37"/>
      <c r="AQ1722" s="27"/>
      <c r="AR1722" s="57"/>
      <c r="AS1722" s="56">
        <f>Tabela4[[#This Row],[Total R$]]-Tabela4[[#This Row],[Total Pago]]</f>
        <v>0</v>
      </c>
      <c r="AT1722" s="36"/>
    </row>
    <row r="1723" spans="2:46" x14ac:dyDescent="0.25">
      <c r="B1723" s="44"/>
      <c r="D1723" s="349"/>
      <c r="E1723" s="33"/>
      <c r="F1723" s="33"/>
      <c r="G1723" s="33"/>
      <c r="H1723" s="33"/>
      <c r="I1723" s="33"/>
      <c r="J1723" s="33"/>
      <c r="K1723" s="33"/>
      <c r="L1723" s="561"/>
      <c r="M1723" s="33"/>
      <c r="N1723" s="33"/>
      <c r="O1723" s="33"/>
      <c r="P1723" s="184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44"/>
      <c r="AP1723" s="37"/>
      <c r="AQ1723" s="27"/>
      <c r="AR1723" s="57"/>
      <c r="AS1723" s="56">
        <f>Tabela4[[#This Row],[Total R$]]-Tabela4[[#This Row],[Total Pago]]</f>
        <v>0</v>
      </c>
      <c r="AT1723" s="36"/>
    </row>
    <row r="1724" spans="2:46" x14ac:dyDescent="0.25">
      <c r="B1724" s="44"/>
      <c r="D1724" s="349"/>
      <c r="E1724" s="33"/>
      <c r="F1724" s="33"/>
      <c r="G1724" s="33"/>
      <c r="H1724" s="33"/>
      <c r="I1724" s="33"/>
      <c r="J1724" s="33"/>
      <c r="K1724" s="33"/>
      <c r="L1724" s="561"/>
      <c r="M1724" s="33"/>
      <c r="N1724" s="33"/>
      <c r="O1724" s="33"/>
      <c r="P1724" s="184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44"/>
      <c r="AP1724" s="37"/>
      <c r="AQ1724" s="27"/>
      <c r="AR1724" s="57"/>
      <c r="AS1724" s="56">
        <f>Tabela4[[#This Row],[Total R$]]-Tabela4[[#This Row],[Total Pago]]</f>
        <v>0</v>
      </c>
      <c r="AT1724" s="36"/>
    </row>
    <row r="1725" spans="2:46" x14ac:dyDescent="0.25">
      <c r="B1725" s="44"/>
      <c r="D1725" s="349"/>
      <c r="E1725" s="33"/>
      <c r="F1725" s="33"/>
      <c r="G1725" s="33"/>
      <c r="H1725" s="33"/>
      <c r="I1725" s="33"/>
      <c r="J1725" s="33"/>
      <c r="K1725" s="33"/>
      <c r="L1725" s="561"/>
      <c r="M1725" s="33"/>
      <c r="N1725" s="33"/>
      <c r="O1725" s="33"/>
      <c r="P1725" s="184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44"/>
      <c r="AP1725" s="37"/>
      <c r="AQ1725" s="27"/>
      <c r="AR1725" s="57"/>
      <c r="AS1725" s="56">
        <f>Tabela4[[#This Row],[Total R$]]-Tabela4[[#This Row],[Total Pago]]</f>
        <v>0</v>
      </c>
      <c r="AT1725" s="36"/>
    </row>
    <row r="1726" spans="2:46" x14ac:dyDescent="0.25">
      <c r="B1726" s="44"/>
      <c r="D1726" s="349"/>
      <c r="E1726" s="33"/>
      <c r="F1726" s="33"/>
      <c r="G1726" s="33"/>
      <c r="H1726" s="33"/>
      <c r="I1726" s="33"/>
      <c r="J1726" s="33"/>
      <c r="K1726" s="33"/>
      <c r="L1726" s="561"/>
      <c r="M1726" s="33"/>
      <c r="N1726" s="33"/>
      <c r="O1726" s="33"/>
      <c r="P1726" s="184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44"/>
      <c r="AP1726" s="37"/>
      <c r="AQ1726" s="27"/>
      <c r="AR1726" s="57"/>
      <c r="AS1726" s="56">
        <f>Tabela4[[#This Row],[Total R$]]-Tabela4[[#This Row],[Total Pago]]</f>
        <v>0</v>
      </c>
      <c r="AT1726" s="36"/>
    </row>
    <row r="1727" spans="2:46" x14ac:dyDescent="0.25">
      <c r="B1727" s="44"/>
      <c r="D1727" s="349"/>
      <c r="E1727" s="33"/>
      <c r="F1727" s="33"/>
      <c r="G1727" s="33"/>
      <c r="H1727" s="33"/>
      <c r="I1727" s="33"/>
      <c r="J1727" s="33"/>
      <c r="K1727" s="33"/>
      <c r="L1727" s="561"/>
      <c r="M1727" s="33"/>
      <c r="N1727" s="33"/>
      <c r="O1727" s="33"/>
      <c r="P1727" s="184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44"/>
      <c r="AP1727" s="37"/>
      <c r="AQ1727" s="27"/>
      <c r="AR1727" s="57"/>
      <c r="AS1727" s="56">
        <f>Tabela4[[#This Row],[Total R$]]-Tabela4[[#This Row],[Total Pago]]</f>
        <v>0</v>
      </c>
      <c r="AT1727" s="36"/>
    </row>
    <row r="1728" spans="2:46" x14ac:dyDescent="0.25">
      <c r="B1728" s="44"/>
      <c r="D1728" s="349"/>
      <c r="E1728" s="33"/>
      <c r="F1728" s="33"/>
      <c r="G1728" s="33"/>
      <c r="H1728" s="33"/>
      <c r="I1728" s="33"/>
      <c r="J1728" s="33"/>
      <c r="K1728" s="33"/>
      <c r="L1728" s="561"/>
      <c r="M1728" s="33"/>
      <c r="N1728" s="33"/>
      <c r="O1728" s="33"/>
      <c r="P1728" s="184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44"/>
      <c r="AP1728" s="37"/>
      <c r="AQ1728" s="27"/>
      <c r="AR1728" s="57"/>
      <c r="AS1728" s="56">
        <f>Tabela4[[#This Row],[Total R$]]-Tabela4[[#This Row],[Total Pago]]</f>
        <v>0</v>
      </c>
      <c r="AT1728" s="36"/>
    </row>
    <row r="1729" spans="2:46" x14ac:dyDescent="0.25">
      <c r="B1729" s="44"/>
      <c r="D1729" s="349"/>
      <c r="E1729" s="33"/>
      <c r="F1729" s="33"/>
      <c r="G1729" s="33"/>
      <c r="H1729" s="33"/>
      <c r="I1729" s="33"/>
      <c r="J1729" s="33"/>
      <c r="K1729" s="33"/>
      <c r="L1729" s="561"/>
      <c r="M1729" s="33"/>
      <c r="N1729" s="33"/>
      <c r="O1729" s="33"/>
      <c r="P1729" s="184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44"/>
      <c r="AP1729" s="37"/>
      <c r="AQ1729" s="27"/>
      <c r="AR1729" s="57"/>
      <c r="AS1729" s="56">
        <f>Tabela4[[#This Row],[Total R$]]-Tabela4[[#This Row],[Total Pago]]</f>
        <v>0</v>
      </c>
      <c r="AT1729" s="36"/>
    </row>
    <row r="1730" spans="2:46" x14ac:dyDescent="0.25">
      <c r="B1730" s="44"/>
      <c r="D1730" s="349"/>
      <c r="E1730" s="33"/>
      <c r="F1730" s="33"/>
      <c r="G1730" s="33"/>
      <c r="H1730" s="33"/>
      <c r="I1730" s="33"/>
      <c r="J1730" s="33"/>
      <c r="K1730" s="33"/>
      <c r="L1730" s="561"/>
      <c r="M1730" s="33"/>
      <c r="N1730" s="33"/>
      <c r="O1730" s="33"/>
      <c r="P1730" s="184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44"/>
      <c r="AP1730" s="37"/>
      <c r="AQ1730" s="27"/>
      <c r="AR1730" s="57"/>
      <c r="AS1730" s="56">
        <f>Tabela4[[#This Row],[Total R$]]-Tabela4[[#This Row],[Total Pago]]</f>
        <v>0</v>
      </c>
      <c r="AT1730" s="36"/>
    </row>
    <row r="1731" spans="2:46" x14ac:dyDescent="0.25">
      <c r="B1731" s="44"/>
      <c r="D1731" s="349"/>
      <c r="E1731" s="33"/>
      <c r="F1731" s="33"/>
      <c r="G1731" s="33"/>
      <c r="H1731" s="33"/>
      <c r="I1731" s="33"/>
      <c r="J1731" s="33"/>
      <c r="K1731" s="33"/>
      <c r="L1731" s="561"/>
      <c r="M1731" s="33"/>
      <c r="N1731" s="33"/>
      <c r="O1731" s="33"/>
      <c r="P1731" s="184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44"/>
      <c r="AP1731" s="37"/>
      <c r="AQ1731" s="27"/>
      <c r="AR1731" s="57"/>
      <c r="AS1731" s="56">
        <f>Tabela4[[#This Row],[Total R$]]-Tabela4[[#This Row],[Total Pago]]</f>
        <v>0</v>
      </c>
      <c r="AT1731" s="36"/>
    </row>
    <row r="1732" spans="2:46" x14ac:dyDescent="0.25">
      <c r="B1732" s="44"/>
      <c r="D1732" s="349"/>
      <c r="E1732" s="33"/>
      <c r="F1732" s="33"/>
      <c r="G1732" s="33"/>
      <c r="H1732" s="33"/>
      <c r="I1732" s="33"/>
      <c r="J1732" s="33"/>
      <c r="K1732" s="33"/>
      <c r="L1732" s="561"/>
      <c r="M1732" s="33"/>
      <c r="N1732" s="33"/>
      <c r="O1732" s="33"/>
      <c r="P1732" s="184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44"/>
      <c r="AP1732" s="37"/>
      <c r="AQ1732" s="27"/>
      <c r="AR1732" s="57"/>
      <c r="AS1732" s="56">
        <f>Tabela4[[#This Row],[Total R$]]-Tabela4[[#This Row],[Total Pago]]</f>
        <v>0</v>
      </c>
      <c r="AT1732" s="36"/>
    </row>
    <row r="1733" spans="2:46" x14ac:dyDescent="0.25">
      <c r="B1733" s="44"/>
      <c r="D1733" s="349"/>
      <c r="E1733" s="33"/>
      <c r="F1733" s="33"/>
      <c r="G1733" s="33"/>
      <c r="H1733" s="33"/>
      <c r="I1733" s="33"/>
      <c r="J1733" s="33"/>
      <c r="K1733" s="33"/>
      <c r="L1733" s="561"/>
      <c r="M1733" s="33"/>
      <c r="N1733" s="33"/>
      <c r="O1733" s="33"/>
      <c r="P1733" s="184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44"/>
      <c r="AP1733" s="37"/>
      <c r="AQ1733" s="27"/>
      <c r="AR1733" s="57"/>
      <c r="AS1733" s="56">
        <f>Tabela4[[#This Row],[Total R$]]-Tabela4[[#This Row],[Total Pago]]</f>
        <v>0</v>
      </c>
      <c r="AT1733" s="36"/>
    </row>
    <row r="1734" spans="2:46" x14ac:dyDescent="0.25">
      <c r="B1734" s="44"/>
      <c r="D1734" s="349"/>
      <c r="E1734" s="33"/>
      <c r="F1734" s="33"/>
      <c r="G1734" s="33"/>
      <c r="H1734" s="33"/>
      <c r="I1734" s="33"/>
      <c r="J1734" s="33"/>
      <c r="K1734" s="33"/>
      <c r="L1734" s="561"/>
      <c r="M1734" s="33"/>
      <c r="N1734" s="33"/>
      <c r="O1734" s="33"/>
      <c r="P1734" s="184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44"/>
      <c r="AP1734" s="37"/>
      <c r="AQ1734" s="27"/>
      <c r="AR1734" s="57"/>
      <c r="AS1734" s="56">
        <f>Tabela4[[#This Row],[Total R$]]-Tabela4[[#This Row],[Total Pago]]</f>
        <v>0</v>
      </c>
      <c r="AT1734" s="36"/>
    </row>
    <row r="1735" spans="2:46" x14ac:dyDescent="0.25">
      <c r="B1735" s="44"/>
      <c r="D1735" s="349"/>
      <c r="E1735" s="33"/>
      <c r="F1735" s="33"/>
      <c r="G1735" s="33"/>
      <c r="H1735" s="33"/>
      <c r="I1735" s="33"/>
      <c r="J1735" s="33"/>
      <c r="K1735" s="33"/>
      <c r="L1735" s="561"/>
      <c r="M1735" s="33"/>
      <c r="N1735" s="33"/>
      <c r="O1735" s="33"/>
      <c r="P1735" s="184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44"/>
      <c r="AP1735" s="37"/>
      <c r="AQ1735" s="27"/>
      <c r="AR1735" s="57"/>
      <c r="AS1735" s="56">
        <f>Tabela4[[#This Row],[Total R$]]-Tabela4[[#This Row],[Total Pago]]</f>
        <v>0</v>
      </c>
      <c r="AT1735" s="36"/>
    </row>
    <row r="1736" spans="2:46" x14ac:dyDescent="0.25">
      <c r="B1736" s="44"/>
      <c r="D1736" s="349"/>
      <c r="E1736" s="33"/>
      <c r="F1736" s="33"/>
      <c r="G1736" s="33"/>
      <c r="H1736" s="33"/>
      <c r="I1736" s="33"/>
      <c r="J1736" s="33"/>
      <c r="K1736" s="33"/>
      <c r="L1736" s="561"/>
      <c r="M1736" s="33"/>
      <c r="N1736" s="33"/>
      <c r="O1736" s="33"/>
      <c r="P1736" s="184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44"/>
      <c r="AP1736" s="37"/>
      <c r="AQ1736" s="27"/>
      <c r="AR1736" s="57"/>
      <c r="AS1736" s="56">
        <f>Tabela4[[#This Row],[Total R$]]-Tabela4[[#This Row],[Total Pago]]</f>
        <v>0</v>
      </c>
      <c r="AT1736" s="36"/>
    </row>
    <row r="1737" spans="2:46" x14ac:dyDescent="0.25">
      <c r="B1737" s="44"/>
      <c r="D1737" s="349"/>
      <c r="E1737" s="33"/>
      <c r="F1737" s="33"/>
      <c r="G1737" s="33"/>
      <c r="H1737" s="33"/>
      <c r="I1737" s="33"/>
      <c r="J1737" s="33"/>
      <c r="K1737" s="33"/>
      <c r="L1737" s="561"/>
      <c r="M1737" s="33"/>
      <c r="N1737" s="33"/>
      <c r="O1737" s="33"/>
      <c r="P1737" s="184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44"/>
      <c r="AP1737" s="37"/>
      <c r="AQ1737" s="27"/>
      <c r="AR1737" s="57"/>
      <c r="AS1737" s="56">
        <f>Tabela4[[#This Row],[Total R$]]-Tabela4[[#This Row],[Total Pago]]</f>
        <v>0</v>
      </c>
      <c r="AT1737" s="36"/>
    </row>
    <row r="1738" spans="2:46" x14ac:dyDescent="0.25">
      <c r="B1738" s="44"/>
      <c r="D1738" s="349"/>
      <c r="E1738" s="33"/>
      <c r="F1738" s="33"/>
      <c r="G1738" s="33"/>
      <c r="H1738" s="33"/>
      <c r="I1738" s="33"/>
      <c r="J1738" s="33"/>
      <c r="K1738" s="33"/>
      <c r="L1738" s="561"/>
      <c r="M1738" s="33"/>
      <c r="N1738" s="33"/>
      <c r="O1738" s="33"/>
      <c r="P1738" s="184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44"/>
      <c r="AP1738" s="37"/>
      <c r="AQ1738" s="27"/>
      <c r="AR1738" s="57"/>
      <c r="AS1738" s="56">
        <f>Tabela4[[#This Row],[Total R$]]-Tabela4[[#This Row],[Total Pago]]</f>
        <v>0</v>
      </c>
      <c r="AT1738" s="36"/>
    </row>
    <row r="1739" spans="2:46" x14ac:dyDescent="0.25">
      <c r="B1739" s="44"/>
      <c r="D1739" s="349"/>
      <c r="E1739" s="33"/>
      <c r="F1739" s="33"/>
      <c r="G1739" s="33"/>
      <c r="H1739" s="33"/>
      <c r="I1739" s="33"/>
      <c r="J1739" s="33"/>
      <c r="K1739" s="33"/>
      <c r="L1739" s="561"/>
      <c r="M1739" s="33"/>
      <c r="N1739" s="33"/>
      <c r="O1739" s="33"/>
      <c r="P1739" s="184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44"/>
      <c r="AP1739" s="37"/>
      <c r="AQ1739" s="27"/>
      <c r="AR1739" s="57"/>
      <c r="AS1739" s="56">
        <f>Tabela4[[#This Row],[Total R$]]-Tabela4[[#This Row],[Total Pago]]</f>
        <v>0</v>
      </c>
      <c r="AT1739" s="36"/>
    </row>
    <row r="1740" spans="2:46" x14ac:dyDescent="0.25">
      <c r="B1740" s="44"/>
      <c r="D1740" s="349"/>
      <c r="E1740" s="33"/>
      <c r="F1740" s="33"/>
      <c r="G1740" s="33"/>
      <c r="H1740" s="33"/>
      <c r="I1740" s="33"/>
      <c r="J1740" s="33"/>
      <c r="K1740" s="33"/>
      <c r="L1740" s="561"/>
      <c r="M1740" s="33"/>
      <c r="N1740" s="33"/>
      <c r="O1740" s="33"/>
      <c r="P1740" s="184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44"/>
      <c r="AP1740" s="37"/>
      <c r="AQ1740" s="27"/>
      <c r="AR1740" s="57"/>
      <c r="AS1740" s="56">
        <f>Tabela4[[#This Row],[Total R$]]-Tabela4[[#This Row],[Total Pago]]</f>
        <v>0</v>
      </c>
      <c r="AT1740" s="36"/>
    </row>
    <row r="1741" spans="2:46" x14ac:dyDescent="0.25">
      <c r="B1741" s="44"/>
      <c r="D1741" s="349"/>
      <c r="E1741" s="33"/>
      <c r="F1741" s="33"/>
      <c r="G1741" s="33"/>
      <c r="H1741" s="33"/>
      <c r="I1741" s="33"/>
      <c r="J1741" s="33"/>
      <c r="K1741" s="33"/>
      <c r="L1741" s="561"/>
      <c r="M1741" s="33"/>
      <c r="N1741" s="33"/>
      <c r="O1741" s="33"/>
      <c r="P1741" s="184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44"/>
      <c r="AP1741" s="37"/>
      <c r="AQ1741" s="27"/>
      <c r="AR1741" s="57"/>
      <c r="AS1741" s="56">
        <f>Tabela4[[#This Row],[Total R$]]-Tabela4[[#This Row],[Total Pago]]</f>
        <v>0</v>
      </c>
      <c r="AT1741" s="36"/>
    </row>
    <row r="1742" spans="2:46" x14ac:dyDescent="0.25">
      <c r="B1742" s="44"/>
      <c r="D1742" s="349"/>
      <c r="E1742" s="33"/>
      <c r="F1742" s="33"/>
      <c r="G1742" s="33"/>
      <c r="H1742" s="33"/>
      <c r="I1742" s="33"/>
      <c r="J1742" s="33"/>
      <c r="K1742" s="33"/>
      <c r="L1742" s="561"/>
      <c r="M1742" s="33"/>
      <c r="N1742" s="33"/>
      <c r="O1742" s="33"/>
      <c r="P1742" s="184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44"/>
      <c r="AP1742" s="37"/>
      <c r="AQ1742" s="27"/>
      <c r="AR1742" s="57"/>
      <c r="AS1742" s="56">
        <f>Tabela4[[#This Row],[Total R$]]-Tabela4[[#This Row],[Total Pago]]</f>
        <v>0</v>
      </c>
      <c r="AT1742" s="36"/>
    </row>
    <row r="1743" spans="2:46" x14ac:dyDescent="0.25">
      <c r="B1743" s="44"/>
      <c r="D1743" s="349"/>
      <c r="E1743" s="33"/>
      <c r="F1743" s="33"/>
      <c r="G1743" s="33"/>
      <c r="H1743" s="33"/>
      <c r="I1743" s="33"/>
      <c r="J1743" s="33"/>
      <c r="K1743" s="33"/>
      <c r="L1743" s="561"/>
      <c r="M1743" s="33"/>
      <c r="N1743" s="33"/>
      <c r="O1743" s="33"/>
      <c r="P1743" s="184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44"/>
      <c r="AP1743" s="37"/>
      <c r="AQ1743" s="27"/>
      <c r="AR1743" s="57"/>
      <c r="AS1743" s="56">
        <f>Tabela4[[#This Row],[Total R$]]-Tabela4[[#This Row],[Total Pago]]</f>
        <v>0</v>
      </c>
      <c r="AT1743" s="36"/>
    </row>
    <row r="1744" spans="2:46" x14ac:dyDescent="0.25">
      <c r="B1744" s="44"/>
      <c r="D1744" s="349"/>
      <c r="E1744" s="33"/>
      <c r="F1744" s="33"/>
      <c r="G1744" s="33"/>
      <c r="H1744" s="33"/>
      <c r="I1744" s="33"/>
      <c r="J1744" s="33"/>
      <c r="K1744" s="33"/>
      <c r="L1744" s="561"/>
      <c r="M1744" s="33"/>
      <c r="N1744" s="33"/>
      <c r="O1744" s="33"/>
      <c r="P1744" s="184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44"/>
      <c r="AP1744" s="37"/>
      <c r="AQ1744" s="27"/>
      <c r="AR1744" s="57"/>
      <c r="AS1744" s="56">
        <f>Tabela4[[#This Row],[Total R$]]-Tabela4[[#This Row],[Total Pago]]</f>
        <v>0</v>
      </c>
      <c r="AT1744" s="36"/>
    </row>
    <row r="1745" spans="2:46" x14ac:dyDescent="0.25">
      <c r="B1745" s="44"/>
      <c r="D1745" s="349"/>
      <c r="E1745" s="33"/>
      <c r="F1745" s="33"/>
      <c r="G1745" s="33"/>
      <c r="H1745" s="33"/>
      <c r="I1745" s="33"/>
      <c r="J1745" s="33"/>
      <c r="K1745" s="33"/>
      <c r="L1745" s="561"/>
      <c r="M1745" s="33"/>
      <c r="N1745" s="33"/>
      <c r="O1745" s="33"/>
      <c r="P1745" s="184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44"/>
      <c r="AP1745" s="37"/>
      <c r="AQ1745" s="27"/>
      <c r="AR1745" s="57"/>
      <c r="AS1745" s="56">
        <f>Tabela4[[#This Row],[Total R$]]-Tabela4[[#This Row],[Total Pago]]</f>
        <v>0</v>
      </c>
      <c r="AT1745" s="36"/>
    </row>
    <row r="1746" spans="2:46" x14ac:dyDescent="0.25">
      <c r="B1746" s="44"/>
      <c r="D1746" s="349"/>
      <c r="E1746" s="33"/>
      <c r="F1746" s="33"/>
      <c r="G1746" s="33"/>
      <c r="H1746" s="33"/>
      <c r="I1746" s="33"/>
      <c r="J1746" s="33"/>
      <c r="K1746" s="33"/>
      <c r="L1746" s="561"/>
      <c r="M1746" s="33"/>
      <c r="N1746" s="33"/>
      <c r="O1746" s="33"/>
      <c r="P1746" s="184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44"/>
      <c r="AP1746" s="37"/>
      <c r="AQ1746" s="27"/>
      <c r="AR1746" s="57"/>
      <c r="AS1746" s="56">
        <f>Tabela4[[#This Row],[Total R$]]-Tabela4[[#This Row],[Total Pago]]</f>
        <v>0</v>
      </c>
      <c r="AT1746" s="36"/>
    </row>
    <row r="1747" spans="2:46" x14ac:dyDescent="0.25">
      <c r="B1747" s="44"/>
      <c r="D1747" s="349"/>
      <c r="E1747" s="33"/>
      <c r="F1747" s="33"/>
      <c r="G1747" s="33"/>
      <c r="H1747" s="33"/>
      <c r="I1747" s="33"/>
      <c r="J1747" s="33"/>
      <c r="K1747" s="33"/>
      <c r="L1747" s="561"/>
      <c r="M1747" s="33"/>
      <c r="N1747" s="33"/>
      <c r="O1747" s="33"/>
      <c r="P1747" s="184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44"/>
      <c r="AP1747" s="37"/>
      <c r="AQ1747" s="27"/>
      <c r="AR1747" s="57"/>
      <c r="AS1747" s="56">
        <f>Tabela4[[#This Row],[Total R$]]-Tabela4[[#This Row],[Total Pago]]</f>
        <v>0</v>
      </c>
      <c r="AT1747" s="36"/>
    </row>
    <row r="1748" spans="2:46" x14ac:dyDescent="0.25">
      <c r="B1748" s="44"/>
      <c r="D1748" s="349"/>
      <c r="E1748" s="33"/>
      <c r="F1748" s="33"/>
      <c r="G1748" s="33"/>
      <c r="H1748" s="33"/>
      <c r="I1748" s="33"/>
      <c r="J1748" s="33"/>
      <c r="K1748" s="33"/>
      <c r="L1748" s="561"/>
      <c r="M1748" s="33"/>
      <c r="N1748" s="33"/>
      <c r="O1748" s="33"/>
      <c r="P1748" s="184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44"/>
      <c r="AP1748" s="37"/>
      <c r="AQ1748" s="27"/>
      <c r="AR1748" s="57"/>
      <c r="AS1748" s="56">
        <f>Tabela4[[#This Row],[Total R$]]-Tabela4[[#This Row],[Total Pago]]</f>
        <v>0</v>
      </c>
      <c r="AT1748" s="36"/>
    </row>
    <row r="1749" spans="2:46" x14ac:dyDescent="0.25">
      <c r="B1749" s="44"/>
      <c r="D1749" s="349"/>
      <c r="E1749" s="33"/>
      <c r="F1749" s="33"/>
      <c r="G1749" s="33"/>
      <c r="H1749" s="33"/>
      <c r="I1749" s="33"/>
      <c r="J1749" s="33"/>
      <c r="K1749" s="33"/>
      <c r="L1749" s="561"/>
      <c r="M1749" s="33"/>
      <c r="N1749" s="33"/>
      <c r="O1749" s="33"/>
      <c r="P1749" s="184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44"/>
      <c r="AP1749" s="37"/>
      <c r="AQ1749" s="27"/>
      <c r="AR1749" s="57"/>
      <c r="AS1749" s="56">
        <f>Tabela4[[#This Row],[Total R$]]-Tabela4[[#This Row],[Total Pago]]</f>
        <v>0</v>
      </c>
      <c r="AT1749" s="36"/>
    </row>
    <row r="1750" spans="2:46" x14ac:dyDescent="0.25">
      <c r="B1750" s="44"/>
      <c r="D1750" s="349"/>
      <c r="E1750" s="33"/>
      <c r="F1750" s="33"/>
      <c r="G1750" s="33"/>
      <c r="H1750" s="33"/>
      <c r="I1750" s="33"/>
      <c r="J1750" s="33"/>
      <c r="K1750" s="33"/>
      <c r="L1750" s="561"/>
      <c r="M1750" s="33"/>
      <c r="N1750" s="33"/>
      <c r="O1750" s="33"/>
      <c r="P1750" s="184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44"/>
      <c r="AP1750" s="37"/>
      <c r="AQ1750" s="27"/>
      <c r="AR1750" s="57"/>
      <c r="AS1750" s="56">
        <f>Tabela4[[#This Row],[Total R$]]-Tabela4[[#This Row],[Total Pago]]</f>
        <v>0</v>
      </c>
      <c r="AT1750" s="36"/>
    </row>
    <row r="1751" spans="2:46" x14ac:dyDescent="0.25">
      <c r="B1751" s="44"/>
      <c r="D1751" s="349"/>
      <c r="E1751" s="33"/>
      <c r="F1751" s="33"/>
      <c r="G1751" s="33"/>
      <c r="H1751" s="33"/>
      <c r="I1751" s="33"/>
      <c r="J1751" s="33"/>
      <c r="K1751" s="33"/>
      <c r="L1751" s="561"/>
      <c r="M1751" s="33"/>
      <c r="N1751" s="33"/>
      <c r="O1751" s="33"/>
      <c r="P1751" s="184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44"/>
      <c r="AP1751" s="37"/>
      <c r="AQ1751" s="27"/>
      <c r="AR1751" s="57"/>
      <c r="AS1751" s="56">
        <f>Tabela4[[#This Row],[Total R$]]-Tabela4[[#This Row],[Total Pago]]</f>
        <v>0</v>
      </c>
      <c r="AT1751" s="36"/>
    </row>
    <row r="1752" spans="2:46" x14ac:dyDescent="0.25">
      <c r="B1752" s="44"/>
      <c r="D1752" s="349"/>
      <c r="E1752" s="33"/>
      <c r="F1752" s="33"/>
      <c r="G1752" s="33"/>
      <c r="H1752" s="33"/>
      <c r="I1752" s="33"/>
      <c r="J1752" s="33"/>
      <c r="K1752" s="33"/>
      <c r="L1752" s="561"/>
      <c r="M1752" s="33"/>
      <c r="N1752" s="33"/>
      <c r="O1752" s="33"/>
      <c r="P1752" s="184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44"/>
      <c r="AP1752" s="37"/>
      <c r="AQ1752" s="27"/>
      <c r="AR1752" s="57"/>
      <c r="AS1752" s="56">
        <f>Tabela4[[#This Row],[Total R$]]-Tabela4[[#This Row],[Total Pago]]</f>
        <v>0</v>
      </c>
      <c r="AT1752" s="36"/>
    </row>
    <row r="1753" spans="2:46" x14ac:dyDescent="0.25">
      <c r="B1753" s="44"/>
      <c r="D1753" s="349"/>
      <c r="E1753" s="33"/>
      <c r="F1753" s="33"/>
      <c r="G1753" s="33"/>
      <c r="H1753" s="33"/>
      <c r="I1753" s="33"/>
      <c r="J1753" s="33"/>
      <c r="K1753" s="33"/>
      <c r="L1753" s="561"/>
      <c r="M1753" s="33"/>
      <c r="N1753" s="33"/>
      <c r="O1753" s="33"/>
      <c r="P1753" s="184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44"/>
      <c r="AP1753" s="37"/>
      <c r="AQ1753" s="27"/>
      <c r="AR1753" s="57"/>
      <c r="AS1753" s="56">
        <f>Tabela4[[#This Row],[Total R$]]-Tabela4[[#This Row],[Total Pago]]</f>
        <v>0</v>
      </c>
      <c r="AT1753" s="36"/>
    </row>
    <row r="1754" spans="2:46" x14ac:dyDescent="0.25">
      <c r="B1754" s="44"/>
      <c r="D1754" s="349"/>
      <c r="E1754" s="33"/>
      <c r="F1754" s="33"/>
      <c r="G1754" s="33"/>
      <c r="H1754" s="33"/>
      <c r="I1754" s="33"/>
      <c r="J1754" s="33"/>
      <c r="K1754" s="33"/>
      <c r="L1754" s="561"/>
      <c r="M1754" s="33"/>
      <c r="N1754" s="33"/>
      <c r="O1754" s="33"/>
      <c r="P1754" s="184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44"/>
      <c r="AP1754" s="37"/>
      <c r="AQ1754" s="27"/>
      <c r="AR1754" s="57"/>
      <c r="AS1754" s="56">
        <f>Tabela4[[#This Row],[Total R$]]-Tabela4[[#This Row],[Total Pago]]</f>
        <v>0</v>
      </c>
      <c r="AT1754" s="36"/>
    </row>
    <row r="1755" spans="2:46" x14ac:dyDescent="0.25">
      <c r="B1755" s="44"/>
      <c r="D1755" s="349"/>
      <c r="E1755" s="33"/>
      <c r="F1755" s="33"/>
      <c r="G1755" s="33"/>
      <c r="H1755" s="33"/>
      <c r="I1755" s="33"/>
      <c r="J1755" s="33"/>
      <c r="K1755" s="33"/>
      <c r="L1755" s="561"/>
      <c r="M1755" s="33"/>
      <c r="N1755" s="33"/>
      <c r="O1755" s="33"/>
      <c r="P1755" s="184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44"/>
      <c r="AP1755" s="37"/>
      <c r="AQ1755" s="27"/>
      <c r="AR1755" s="57"/>
      <c r="AS1755" s="56">
        <f>Tabela4[[#This Row],[Total R$]]-Tabela4[[#This Row],[Total Pago]]</f>
        <v>0</v>
      </c>
      <c r="AT1755" s="36"/>
    </row>
    <row r="1756" spans="2:46" x14ac:dyDescent="0.25">
      <c r="B1756" s="44"/>
      <c r="D1756" s="349"/>
      <c r="E1756" s="33"/>
      <c r="F1756" s="33"/>
      <c r="G1756" s="33"/>
      <c r="H1756" s="33"/>
      <c r="I1756" s="33"/>
      <c r="J1756" s="33"/>
      <c r="K1756" s="33"/>
      <c r="L1756" s="561"/>
      <c r="M1756" s="33"/>
      <c r="N1756" s="33"/>
      <c r="O1756" s="33"/>
      <c r="P1756" s="184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44"/>
      <c r="AP1756" s="37"/>
      <c r="AQ1756" s="27"/>
      <c r="AR1756" s="57"/>
      <c r="AS1756" s="56">
        <f>Tabela4[[#This Row],[Total R$]]-Tabela4[[#This Row],[Total Pago]]</f>
        <v>0</v>
      </c>
      <c r="AT1756" s="36"/>
    </row>
    <row r="1757" spans="2:46" x14ac:dyDescent="0.25">
      <c r="B1757" s="44"/>
      <c r="D1757" s="349"/>
      <c r="E1757" s="33"/>
      <c r="F1757" s="33"/>
      <c r="G1757" s="33"/>
      <c r="H1757" s="33"/>
      <c r="I1757" s="33"/>
      <c r="J1757" s="33"/>
      <c r="K1757" s="33"/>
      <c r="L1757" s="561"/>
      <c r="M1757" s="33"/>
      <c r="N1757" s="33"/>
      <c r="O1757" s="33"/>
      <c r="P1757" s="184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44"/>
      <c r="AP1757" s="37"/>
      <c r="AQ1757" s="27"/>
      <c r="AR1757" s="57"/>
      <c r="AS1757" s="56">
        <f>Tabela4[[#This Row],[Total R$]]-Tabela4[[#This Row],[Total Pago]]</f>
        <v>0</v>
      </c>
      <c r="AT1757" s="36"/>
    </row>
    <row r="1758" spans="2:46" x14ac:dyDescent="0.25">
      <c r="B1758" s="44"/>
      <c r="D1758" s="349"/>
      <c r="E1758" s="33"/>
      <c r="F1758" s="33"/>
      <c r="G1758" s="33"/>
      <c r="H1758" s="33"/>
      <c r="I1758" s="33"/>
      <c r="J1758" s="33"/>
      <c r="K1758" s="33"/>
      <c r="L1758" s="561"/>
      <c r="M1758" s="33"/>
      <c r="N1758" s="33"/>
      <c r="O1758" s="33"/>
      <c r="P1758" s="184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44"/>
      <c r="AP1758" s="37"/>
      <c r="AQ1758" s="27"/>
      <c r="AR1758" s="57"/>
      <c r="AS1758" s="56">
        <f>Tabela4[[#This Row],[Total R$]]-Tabela4[[#This Row],[Total Pago]]</f>
        <v>0</v>
      </c>
      <c r="AT1758" s="36"/>
    </row>
    <row r="1759" spans="2:46" x14ac:dyDescent="0.25">
      <c r="B1759" s="44"/>
      <c r="D1759" s="349"/>
      <c r="E1759" s="33"/>
      <c r="F1759" s="33"/>
      <c r="G1759" s="33"/>
      <c r="H1759" s="33"/>
      <c r="I1759" s="33"/>
      <c r="J1759" s="33"/>
      <c r="K1759" s="33"/>
      <c r="L1759" s="561"/>
      <c r="M1759" s="33"/>
      <c r="N1759" s="33"/>
      <c r="O1759" s="33"/>
      <c r="P1759" s="184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44"/>
      <c r="AP1759" s="37"/>
      <c r="AQ1759" s="27"/>
      <c r="AR1759" s="57"/>
      <c r="AS1759" s="56">
        <f>Tabela4[[#This Row],[Total R$]]-Tabela4[[#This Row],[Total Pago]]</f>
        <v>0</v>
      </c>
      <c r="AT1759" s="36"/>
    </row>
    <row r="1760" spans="2:46" x14ac:dyDescent="0.25">
      <c r="B1760" s="44"/>
      <c r="D1760" s="349"/>
      <c r="E1760" s="33"/>
      <c r="F1760" s="33"/>
      <c r="G1760" s="33"/>
      <c r="H1760" s="33"/>
      <c r="I1760" s="33"/>
      <c r="J1760" s="33"/>
      <c r="K1760" s="33"/>
      <c r="L1760" s="561"/>
      <c r="M1760" s="33"/>
      <c r="N1760" s="33"/>
      <c r="O1760" s="33"/>
      <c r="P1760" s="184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44"/>
      <c r="AP1760" s="37"/>
      <c r="AQ1760" s="27"/>
      <c r="AR1760" s="57"/>
      <c r="AS1760" s="56">
        <f>Tabela4[[#This Row],[Total R$]]-Tabela4[[#This Row],[Total Pago]]</f>
        <v>0</v>
      </c>
      <c r="AT1760" s="36"/>
    </row>
    <row r="1761" spans="2:46" x14ac:dyDescent="0.25">
      <c r="B1761" s="44"/>
      <c r="D1761" s="349"/>
      <c r="E1761" s="33"/>
      <c r="F1761" s="33"/>
      <c r="G1761" s="33"/>
      <c r="H1761" s="33"/>
      <c r="I1761" s="33"/>
      <c r="J1761" s="33"/>
      <c r="K1761" s="33"/>
      <c r="L1761" s="561"/>
      <c r="M1761" s="33"/>
      <c r="N1761" s="33"/>
      <c r="O1761" s="33"/>
      <c r="P1761" s="184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44"/>
      <c r="AP1761" s="37"/>
      <c r="AQ1761" s="27"/>
      <c r="AR1761" s="57"/>
      <c r="AS1761" s="56">
        <f>Tabela4[[#This Row],[Total R$]]-Tabela4[[#This Row],[Total Pago]]</f>
        <v>0</v>
      </c>
      <c r="AT1761" s="36"/>
    </row>
    <row r="1762" spans="2:46" x14ac:dyDescent="0.25">
      <c r="B1762" s="44"/>
      <c r="D1762" s="349"/>
      <c r="E1762" s="33"/>
      <c r="F1762" s="33"/>
      <c r="G1762" s="33"/>
      <c r="H1762" s="33"/>
      <c r="I1762" s="33"/>
      <c r="J1762" s="33"/>
      <c r="K1762" s="33"/>
      <c r="L1762" s="561"/>
      <c r="M1762" s="33"/>
      <c r="N1762" s="33"/>
      <c r="O1762" s="33"/>
      <c r="P1762" s="184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44"/>
      <c r="AP1762" s="37"/>
      <c r="AQ1762" s="27"/>
      <c r="AR1762" s="57"/>
      <c r="AS1762" s="56">
        <f>Tabela4[[#This Row],[Total R$]]-Tabela4[[#This Row],[Total Pago]]</f>
        <v>0</v>
      </c>
      <c r="AT1762" s="36"/>
    </row>
    <row r="1763" spans="2:46" x14ac:dyDescent="0.25">
      <c r="B1763" s="44"/>
      <c r="D1763" s="349"/>
      <c r="E1763" s="33"/>
      <c r="F1763" s="33"/>
      <c r="G1763" s="33"/>
      <c r="H1763" s="33"/>
      <c r="I1763" s="33"/>
      <c r="J1763" s="33"/>
      <c r="K1763" s="33"/>
      <c r="L1763" s="561"/>
      <c r="M1763" s="33"/>
      <c r="N1763" s="33"/>
      <c r="O1763" s="33"/>
      <c r="P1763" s="184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44"/>
      <c r="AP1763" s="37"/>
      <c r="AQ1763" s="27"/>
      <c r="AR1763" s="57"/>
      <c r="AS1763" s="56">
        <f>Tabela4[[#This Row],[Total R$]]-Tabela4[[#This Row],[Total Pago]]</f>
        <v>0</v>
      </c>
      <c r="AT1763" s="36"/>
    </row>
    <row r="1764" spans="2:46" x14ac:dyDescent="0.25">
      <c r="B1764" s="44"/>
      <c r="D1764" s="349"/>
      <c r="E1764" s="33"/>
      <c r="F1764" s="33"/>
      <c r="G1764" s="33"/>
      <c r="H1764" s="33"/>
      <c r="I1764" s="33"/>
      <c r="J1764" s="33"/>
      <c r="K1764" s="33"/>
      <c r="L1764" s="561"/>
      <c r="M1764" s="33"/>
      <c r="N1764" s="33"/>
      <c r="O1764" s="33"/>
      <c r="P1764" s="184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44"/>
      <c r="AP1764" s="37"/>
      <c r="AQ1764" s="27"/>
      <c r="AR1764" s="57"/>
      <c r="AS1764" s="56">
        <f>Tabela4[[#This Row],[Total R$]]-Tabela4[[#This Row],[Total Pago]]</f>
        <v>0</v>
      </c>
      <c r="AT1764" s="36"/>
    </row>
    <row r="1765" spans="2:46" x14ac:dyDescent="0.25">
      <c r="B1765" s="44"/>
      <c r="D1765" s="349"/>
      <c r="E1765" s="33"/>
      <c r="F1765" s="33"/>
      <c r="G1765" s="33"/>
      <c r="H1765" s="33"/>
      <c r="I1765" s="33"/>
      <c r="J1765" s="33"/>
      <c r="K1765" s="33"/>
      <c r="L1765" s="561"/>
      <c r="M1765" s="33"/>
      <c r="N1765" s="33"/>
      <c r="O1765" s="33"/>
      <c r="P1765" s="184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44"/>
      <c r="AP1765" s="37"/>
      <c r="AQ1765" s="27"/>
      <c r="AR1765" s="57"/>
      <c r="AS1765" s="56">
        <f>Tabela4[[#This Row],[Total R$]]-Tabela4[[#This Row],[Total Pago]]</f>
        <v>0</v>
      </c>
      <c r="AT1765" s="36"/>
    </row>
    <row r="1766" spans="2:46" x14ac:dyDescent="0.25">
      <c r="B1766" s="44"/>
      <c r="D1766" s="349"/>
      <c r="E1766" s="33"/>
      <c r="F1766" s="33"/>
      <c r="G1766" s="33"/>
      <c r="H1766" s="33"/>
      <c r="I1766" s="33"/>
      <c r="J1766" s="33"/>
      <c r="K1766" s="33"/>
      <c r="L1766" s="561"/>
      <c r="M1766" s="33"/>
      <c r="N1766" s="33"/>
      <c r="O1766" s="33"/>
      <c r="P1766" s="184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44"/>
      <c r="AP1766" s="37"/>
      <c r="AQ1766" s="27"/>
      <c r="AR1766" s="57"/>
      <c r="AS1766" s="56">
        <f>Tabela4[[#This Row],[Total R$]]-Tabela4[[#This Row],[Total Pago]]</f>
        <v>0</v>
      </c>
      <c r="AT1766" s="36"/>
    </row>
    <row r="1767" spans="2:46" x14ac:dyDescent="0.25">
      <c r="B1767" s="44"/>
      <c r="D1767" s="349"/>
      <c r="E1767" s="33"/>
      <c r="F1767" s="33"/>
      <c r="G1767" s="33"/>
      <c r="H1767" s="33"/>
      <c r="I1767" s="33"/>
      <c r="J1767" s="33"/>
      <c r="K1767" s="33"/>
      <c r="L1767" s="561"/>
      <c r="M1767" s="33"/>
      <c r="N1767" s="33"/>
      <c r="O1767" s="33"/>
      <c r="P1767" s="184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44"/>
      <c r="AP1767" s="37"/>
      <c r="AQ1767" s="27"/>
      <c r="AR1767" s="57"/>
      <c r="AS1767" s="56">
        <f>Tabela4[[#This Row],[Total R$]]-Tabela4[[#This Row],[Total Pago]]</f>
        <v>0</v>
      </c>
      <c r="AT1767" s="36"/>
    </row>
    <row r="1768" spans="2:46" x14ac:dyDescent="0.25">
      <c r="B1768" s="44"/>
      <c r="D1768" s="349"/>
      <c r="E1768" s="33"/>
      <c r="F1768" s="33"/>
      <c r="G1768" s="33"/>
      <c r="H1768" s="33"/>
      <c r="I1768" s="33"/>
      <c r="J1768" s="33"/>
      <c r="K1768" s="33"/>
      <c r="L1768" s="561"/>
      <c r="M1768" s="33"/>
      <c r="N1768" s="33"/>
      <c r="O1768" s="33"/>
      <c r="P1768" s="184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44"/>
      <c r="AP1768" s="37"/>
      <c r="AQ1768" s="27"/>
      <c r="AR1768" s="57"/>
      <c r="AS1768" s="56">
        <f>Tabela4[[#This Row],[Total R$]]-Tabela4[[#This Row],[Total Pago]]</f>
        <v>0</v>
      </c>
      <c r="AT1768" s="36"/>
    </row>
    <row r="1769" spans="2:46" x14ac:dyDescent="0.25">
      <c r="B1769" s="44"/>
      <c r="D1769" s="349"/>
      <c r="E1769" s="33"/>
      <c r="F1769" s="33"/>
      <c r="G1769" s="33"/>
      <c r="H1769" s="33"/>
      <c r="I1769" s="33"/>
      <c r="J1769" s="33"/>
      <c r="K1769" s="33"/>
      <c r="L1769" s="561"/>
      <c r="M1769" s="33"/>
      <c r="N1769" s="33"/>
      <c r="O1769" s="33"/>
      <c r="P1769" s="184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44"/>
      <c r="AP1769" s="37"/>
      <c r="AQ1769" s="27"/>
      <c r="AR1769" s="57"/>
      <c r="AS1769" s="56">
        <f>Tabela4[[#This Row],[Total R$]]-Tabela4[[#This Row],[Total Pago]]</f>
        <v>0</v>
      </c>
      <c r="AT1769" s="36"/>
    </row>
    <row r="1770" spans="2:46" x14ac:dyDescent="0.25">
      <c r="B1770" s="44"/>
      <c r="D1770" s="349"/>
      <c r="E1770" s="33"/>
      <c r="F1770" s="33"/>
      <c r="G1770" s="33"/>
      <c r="H1770" s="33"/>
      <c r="I1770" s="33"/>
      <c r="J1770" s="33"/>
      <c r="K1770" s="33"/>
      <c r="L1770" s="561"/>
      <c r="M1770" s="33"/>
      <c r="N1770" s="33"/>
      <c r="O1770" s="33"/>
      <c r="P1770" s="184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44"/>
      <c r="AP1770" s="37"/>
      <c r="AQ1770" s="27"/>
      <c r="AR1770" s="57"/>
      <c r="AS1770" s="56">
        <f>Tabela4[[#This Row],[Total R$]]-Tabela4[[#This Row],[Total Pago]]</f>
        <v>0</v>
      </c>
      <c r="AT1770" s="36"/>
    </row>
    <row r="1771" spans="2:46" x14ac:dyDescent="0.25">
      <c r="B1771" s="44"/>
      <c r="D1771" s="349"/>
      <c r="E1771" s="33"/>
      <c r="F1771" s="33"/>
      <c r="G1771" s="33"/>
      <c r="H1771" s="33"/>
      <c r="I1771" s="33"/>
      <c r="J1771" s="33"/>
      <c r="K1771" s="33"/>
      <c r="L1771" s="561"/>
      <c r="M1771" s="33"/>
      <c r="N1771" s="33"/>
      <c r="O1771" s="33"/>
      <c r="P1771" s="184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44"/>
      <c r="AP1771" s="37"/>
      <c r="AQ1771" s="27"/>
      <c r="AR1771" s="57"/>
      <c r="AS1771" s="56">
        <f>Tabela4[[#This Row],[Total R$]]-Tabela4[[#This Row],[Total Pago]]</f>
        <v>0</v>
      </c>
      <c r="AT1771" s="36"/>
    </row>
    <row r="1772" spans="2:46" x14ac:dyDescent="0.25">
      <c r="B1772" s="44"/>
      <c r="D1772" s="349"/>
      <c r="E1772" s="33"/>
      <c r="F1772" s="33"/>
      <c r="G1772" s="33"/>
      <c r="H1772" s="33"/>
      <c r="I1772" s="33"/>
      <c r="J1772" s="33"/>
      <c r="K1772" s="33"/>
      <c r="L1772" s="561"/>
      <c r="M1772" s="33"/>
      <c r="N1772" s="33"/>
      <c r="O1772" s="33"/>
      <c r="P1772" s="184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44"/>
      <c r="AP1772" s="37"/>
      <c r="AQ1772" s="27"/>
      <c r="AR1772" s="57"/>
      <c r="AS1772" s="56">
        <f>Tabela4[[#This Row],[Total R$]]-Tabela4[[#This Row],[Total Pago]]</f>
        <v>0</v>
      </c>
      <c r="AT1772" s="36"/>
    </row>
    <row r="1773" spans="2:46" x14ac:dyDescent="0.25">
      <c r="B1773" s="44"/>
      <c r="D1773" s="349"/>
      <c r="E1773" s="33"/>
      <c r="F1773" s="33"/>
      <c r="G1773" s="33"/>
      <c r="H1773" s="33"/>
      <c r="I1773" s="33"/>
      <c r="J1773" s="33"/>
      <c r="K1773" s="33"/>
      <c r="L1773" s="561"/>
      <c r="M1773" s="33"/>
      <c r="N1773" s="33"/>
      <c r="O1773" s="33"/>
      <c r="P1773" s="184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44"/>
      <c r="AP1773" s="37"/>
      <c r="AQ1773" s="27"/>
      <c r="AR1773" s="57"/>
      <c r="AS1773" s="56">
        <f>Tabela4[[#This Row],[Total R$]]-Tabela4[[#This Row],[Total Pago]]</f>
        <v>0</v>
      </c>
      <c r="AT1773" s="36"/>
    </row>
    <row r="1774" spans="2:46" x14ac:dyDescent="0.25">
      <c r="B1774" s="44"/>
      <c r="D1774" s="349"/>
      <c r="E1774" s="33"/>
      <c r="F1774" s="33"/>
      <c r="G1774" s="33"/>
      <c r="H1774" s="33"/>
      <c r="I1774" s="33"/>
      <c r="J1774" s="33"/>
      <c r="K1774" s="33"/>
      <c r="L1774" s="561"/>
      <c r="M1774" s="33"/>
      <c r="N1774" s="33"/>
      <c r="O1774" s="33"/>
      <c r="P1774" s="184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44"/>
      <c r="AP1774" s="37"/>
      <c r="AQ1774" s="27"/>
      <c r="AR1774" s="57"/>
      <c r="AS1774" s="56">
        <f>Tabela4[[#This Row],[Total R$]]-Tabela4[[#This Row],[Total Pago]]</f>
        <v>0</v>
      </c>
      <c r="AT1774" s="36"/>
    </row>
    <row r="1775" spans="2:46" x14ac:dyDescent="0.25">
      <c r="B1775" s="44"/>
      <c r="D1775" s="349"/>
      <c r="E1775" s="33"/>
      <c r="F1775" s="33"/>
      <c r="G1775" s="33"/>
      <c r="H1775" s="33"/>
      <c r="I1775" s="33"/>
      <c r="J1775" s="33"/>
      <c r="K1775" s="33"/>
      <c r="L1775" s="561"/>
      <c r="M1775" s="33"/>
      <c r="N1775" s="33"/>
      <c r="O1775" s="33"/>
      <c r="P1775" s="184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44"/>
      <c r="AP1775" s="37"/>
      <c r="AQ1775" s="27"/>
      <c r="AR1775" s="57"/>
      <c r="AS1775" s="56">
        <f>Tabela4[[#This Row],[Total R$]]-Tabela4[[#This Row],[Total Pago]]</f>
        <v>0</v>
      </c>
      <c r="AT1775" s="36"/>
    </row>
    <row r="1776" spans="2:46" x14ac:dyDescent="0.25">
      <c r="B1776" s="44"/>
      <c r="D1776" s="349"/>
      <c r="E1776" s="33"/>
      <c r="F1776" s="33"/>
      <c r="G1776" s="33"/>
      <c r="H1776" s="33"/>
      <c r="I1776" s="33"/>
      <c r="J1776" s="33"/>
      <c r="K1776" s="33"/>
      <c r="L1776" s="561"/>
      <c r="M1776" s="33"/>
      <c r="N1776" s="33"/>
      <c r="O1776" s="33"/>
      <c r="P1776" s="184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44"/>
      <c r="AP1776" s="37"/>
      <c r="AQ1776" s="27"/>
      <c r="AR1776" s="57"/>
      <c r="AS1776" s="56">
        <f>Tabela4[[#This Row],[Total R$]]-Tabela4[[#This Row],[Total Pago]]</f>
        <v>0</v>
      </c>
      <c r="AT1776" s="36"/>
    </row>
    <row r="1777" spans="2:46" x14ac:dyDescent="0.25">
      <c r="B1777" s="44"/>
      <c r="D1777" s="349"/>
      <c r="E1777" s="33"/>
      <c r="F1777" s="33"/>
      <c r="G1777" s="33"/>
      <c r="H1777" s="33"/>
      <c r="I1777" s="33"/>
      <c r="J1777" s="33"/>
      <c r="K1777" s="33"/>
      <c r="L1777" s="561"/>
      <c r="M1777" s="33"/>
      <c r="N1777" s="33"/>
      <c r="O1777" s="33"/>
      <c r="P1777" s="184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44"/>
      <c r="AP1777" s="37"/>
      <c r="AQ1777" s="27"/>
      <c r="AR1777" s="57"/>
      <c r="AS1777" s="56">
        <f>Tabela4[[#This Row],[Total R$]]-Tabela4[[#This Row],[Total Pago]]</f>
        <v>0</v>
      </c>
      <c r="AT1777" s="36"/>
    </row>
    <row r="1778" spans="2:46" x14ac:dyDescent="0.25">
      <c r="B1778" s="44"/>
      <c r="D1778" s="349"/>
      <c r="E1778" s="33"/>
      <c r="F1778" s="33"/>
      <c r="G1778" s="33"/>
      <c r="H1778" s="33"/>
      <c r="I1778" s="33"/>
      <c r="J1778" s="33"/>
      <c r="K1778" s="33"/>
      <c r="L1778" s="561"/>
      <c r="M1778" s="33"/>
      <c r="N1778" s="33"/>
      <c r="O1778" s="33"/>
      <c r="P1778" s="184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44"/>
      <c r="AP1778" s="37"/>
      <c r="AQ1778" s="27"/>
      <c r="AR1778" s="57"/>
      <c r="AS1778" s="56">
        <f>Tabela4[[#This Row],[Total R$]]-Tabela4[[#This Row],[Total Pago]]</f>
        <v>0</v>
      </c>
      <c r="AT1778" s="36"/>
    </row>
    <row r="1779" spans="2:46" x14ac:dyDescent="0.25">
      <c r="B1779" s="44"/>
      <c r="D1779" s="349"/>
      <c r="E1779" s="33"/>
      <c r="F1779" s="33"/>
      <c r="G1779" s="33"/>
      <c r="H1779" s="33"/>
      <c r="I1779" s="33"/>
      <c r="J1779" s="33"/>
      <c r="K1779" s="33"/>
      <c r="L1779" s="561"/>
      <c r="M1779" s="33"/>
      <c r="N1779" s="33"/>
      <c r="O1779" s="33"/>
      <c r="P1779" s="184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44"/>
      <c r="AP1779" s="37"/>
      <c r="AQ1779" s="27"/>
      <c r="AR1779" s="57"/>
      <c r="AS1779" s="56">
        <f>Tabela4[[#This Row],[Total R$]]-Tabela4[[#This Row],[Total Pago]]</f>
        <v>0</v>
      </c>
      <c r="AT1779" s="36"/>
    </row>
    <row r="1780" spans="2:46" x14ac:dyDescent="0.25">
      <c r="B1780" s="44"/>
      <c r="D1780" s="349"/>
      <c r="E1780" s="33"/>
      <c r="F1780" s="33"/>
      <c r="G1780" s="33"/>
      <c r="H1780" s="33"/>
      <c r="I1780" s="33"/>
      <c r="J1780" s="33"/>
      <c r="K1780" s="33"/>
      <c r="L1780" s="561"/>
      <c r="M1780" s="33"/>
      <c r="N1780" s="33"/>
      <c r="O1780" s="33"/>
      <c r="P1780" s="184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44"/>
      <c r="AP1780" s="37"/>
      <c r="AQ1780" s="27"/>
      <c r="AR1780" s="57"/>
      <c r="AS1780" s="56">
        <f>Tabela4[[#This Row],[Total R$]]-Tabela4[[#This Row],[Total Pago]]</f>
        <v>0</v>
      </c>
      <c r="AT1780" s="36"/>
    </row>
    <row r="1781" spans="2:46" x14ac:dyDescent="0.25">
      <c r="B1781" s="44"/>
      <c r="D1781" s="349"/>
      <c r="E1781" s="33"/>
      <c r="F1781" s="33"/>
      <c r="G1781" s="33"/>
      <c r="H1781" s="33"/>
      <c r="I1781" s="33"/>
      <c r="J1781" s="33"/>
      <c r="K1781" s="33"/>
      <c r="L1781" s="561"/>
      <c r="M1781" s="33"/>
      <c r="N1781" s="33"/>
      <c r="O1781" s="33"/>
      <c r="P1781" s="184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44"/>
      <c r="AP1781" s="37"/>
      <c r="AQ1781" s="27"/>
      <c r="AR1781" s="57"/>
      <c r="AS1781" s="56">
        <f>Tabela4[[#This Row],[Total R$]]-Tabela4[[#This Row],[Total Pago]]</f>
        <v>0</v>
      </c>
      <c r="AT1781" s="36"/>
    </row>
    <row r="1782" spans="2:46" x14ac:dyDescent="0.25">
      <c r="B1782" s="44"/>
      <c r="D1782" s="349"/>
      <c r="E1782" s="33"/>
      <c r="F1782" s="33"/>
      <c r="G1782" s="33"/>
      <c r="H1782" s="33"/>
      <c r="I1782" s="33"/>
      <c r="J1782" s="33"/>
      <c r="K1782" s="33"/>
      <c r="L1782" s="561"/>
      <c r="M1782" s="33"/>
      <c r="N1782" s="33"/>
      <c r="O1782" s="33"/>
      <c r="P1782" s="184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44"/>
      <c r="AP1782" s="37"/>
      <c r="AQ1782" s="27"/>
      <c r="AR1782" s="57"/>
      <c r="AS1782" s="56">
        <f>Tabela4[[#This Row],[Total R$]]-Tabela4[[#This Row],[Total Pago]]</f>
        <v>0</v>
      </c>
      <c r="AT1782" s="36"/>
    </row>
    <row r="1783" spans="2:46" x14ac:dyDescent="0.25">
      <c r="B1783" s="44"/>
      <c r="D1783" s="349"/>
      <c r="E1783" s="33"/>
      <c r="F1783" s="33"/>
      <c r="G1783" s="33"/>
      <c r="H1783" s="33"/>
      <c r="I1783" s="33"/>
      <c r="J1783" s="33"/>
      <c r="K1783" s="33"/>
      <c r="L1783" s="561"/>
      <c r="M1783" s="33"/>
      <c r="N1783" s="33"/>
      <c r="O1783" s="33"/>
      <c r="P1783" s="184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44"/>
      <c r="AP1783" s="37"/>
      <c r="AQ1783" s="27"/>
      <c r="AR1783" s="57"/>
      <c r="AS1783" s="56">
        <f>Tabela4[[#This Row],[Total R$]]-Tabela4[[#This Row],[Total Pago]]</f>
        <v>0</v>
      </c>
      <c r="AT1783" s="36"/>
    </row>
    <row r="1784" spans="2:46" x14ac:dyDescent="0.25">
      <c r="B1784" s="44"/>
      <c r="D1784" s="349"/>
      <c r="E1784" s="33"/>
      <c r="F1784" s="33"/>
      <c r="G1784" s="33"/>
      <c r="H1784" s="33"/>
      <c r="I1784" s="33"/>
      <c r="J1784" s="33"/>
      <c r="K1784" s="33"/>
      <c r="L1784" s="561"/>
      <c r="M1784" s="33"/>
      <c r="N1784" s="33"/>
      <c r="O1784" s="33"/>
      <c r="P1784" s="184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44"/>
      <c r="AP1784" s="37"/>
      <c r="AQ1784" s="27"/>
      <c r="AR1784" s="57"/>
      <c r="AS1784" s="56">
        <f>Tabela4[[#This Row],[Total R$]]-Tabela4[[#This Row],[Total Pago]]</f>
        <v>0</v>
      </c>
      <c r="AT1784" s="36"/>
    </row>
    <row r="1785" spans="2:46" x14ac:dyDescent="0.25">
      <c r="B1785" s="44"/>
      <c r="D1785" s="349"/>
      <c r="E1785" s="33"/>
      <c r="F1785" s="33"/>
      <c r="G1785" s="33"/>
      <c r="H1785" s="33"/>
      <c r="I1785" s="33"/>
      <c r="J1785" s="33"/>
      <c r="K1785" s="33"/>
      <c r="L1785" s="561"/>
      <c r="M1785" s="33"/>
      <c r="N1785" s="33"/>
      <c r="O1785" s="33"/>
      <c r="P1785" s="184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44"/>
      <c r="AP1785" s="37"/>
      <c r="AQ1785" s="27"/>
      <c r="AR1785" s="57"/>
      <c r="AS1785" s="56">
        <f>Tabela4[[#This Row],[Total R$]]-Tabela4[[#This Row],[Total Pago]]</f>
        <v>0</v>
      </c>
      <c r="AT1785" s="36"/>
    </row>
    <row r="1786" spans="2:46" x14ac:dyDescent="0.25">
      <c r="B1786" s="44"/>
      <c r="D1786" s="349"/>
      <c r="E1786" s="33"/>
      <c r="F1786" s="33"/>
      <c r="G1786" s="33"/>
      <c r="H1786" s="33"/>
      <c r="I1786" s="33"/>
      <c r="J1786" s="33"/>
      <c r="K1786" s="33"/>
      <c r="L1786" s="561"/>
      <c r="M1786" s="33"/>
      <c r="N1786" s="33"/>
      <c r="O1786" s="33"/>
      <c r="P1786" s="184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44"/>
      <c r="AP1786" s="37"/>
      <c r="AQ1786" s="27"/>
      <c r="AR1786" s="57"/>
      <c r="AS1786" s="56">
        <f>Tabela4[[#This Row],[Total R$]]-Tabela4[[#This Row],[Total Pago]]</f>
        <v>0</v>
      </c>
      <c r="AT1786" s="36"/>
    </row>
    <row r="1787" spans="2:46" x14ac:dyDescent="0.25">
      <c r="B1787" s="44"/>
      <c r="D1787" s="349"/>
      <c r="E1787" s="33"/>
      <c r="F1787" s="33"/>
      <c r="G1787" s="33"/>
      <c r="H1787" s="33"/>
      <c r="I1787" s="33"/>
      <c r="J1787" s="33"/>
      <c r="K1787" s="33"/>
      <c r="L1787" s="561"/>
      <c r="M1787" s="33"/>
      <c r="N1787" s="33"/>
      <c r="O1787" s="33"/>
      <c r="P1787" s="184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44"/>
      <c r="AP1787" s="37"/>
      <c r="AQ1787" s="27"/>
      <c r="AR1787" s="57"/>
      <c r="AS1787" s="56">
        <f>Tabela4[[#This Row],[Total R$]]-Tabela4[[#This Row],[Total Pago]]</f>
        <v>0</v>
      </c>
      <c r="AT1787" s="36"/>
    </row>
    <row r="1788" spans="2:46" x14ac:dyDescent="0.25">
      <c r="B1788" s="44"/>
      <c r="D1788" s="349"/>
      <c r="E1788" s="33"/>
      <c r="F1788" s="33"/>
      <c r="G1788" s="33"/>
      <c r="H1788" s="33"/>
      <c r="I1788" s="33"/>
      <c r="J1788" s="33"/>
      <c r="K1788" s="33"/>
      <c r="L1788" s="561"/>
      <c r="M1788" s="33"/>
      <c r="N1788" s="33"/>
      <c r="O1788" s="33"/>
      <c r="P1788" s="184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44"/>
      <c r="AP1788" s="37"/>
      <c r="AQ1788" s="27"/>
      <c r="AR1788" s="57"/>
      <c r="AS1788" s="56">
        <f>Tabela4[[#This Row],[Total R$]]-Tabela4[[#This Row],[Total Pago]]</f>
        <v>0</v>
      </c>
      <c r="AT1788" s="36"/>
    </row>
    <row r="1789" spans="2:46" x14ac:dyDescent="0.25">
      <c r="B1789" s="44"/>
      <c r="D1789" s="349"/>
      <c r="E1789" s="33"/>
      <c r="F1789" s="33"/>
      <c r="G1789" s="33"/>
      <c r="H1789" s="33"/>
      <c r="I1789" s="33"/>
      <c r="J1789" s="33"/>
      <c r="K1789" s="33"/>
      <c r="L1789" s="561"/>
      <c r="M1789" s="33"/>
      <c r="N1789" s="33"/>
      <c r="O1789" s="33"/>
      <c r="P1789" s="184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44"/>
      <c r="AP1789" s="37"/>
      <c r="AQ1789" s="27"/>
      <c r="AR1789" s="57"/>
      <c r="AS1789" s="56">
        <f>Tabela4[[#This Row],[Total R$]]-Tabela4[[#This Row],[Total Pago]]</f>
        <v>0</v>
      </c>
      <c r="AT1789" s="36"/>
    </row>
    <row r="1790" spans="2:46" x14ac:dyDescent="0.25">
      <c r="B1790" s="44"/>
      <c r="D1790" s="349"/>
      <c r="E1790" s="33"/>
      <c r="F1790" s="33"/>
      <c r="G1790" s="33"/>
      <c r="H1790" s="33"/>
      <c r="I1790" s="33"/>
      <c r="J1790" s="33"/>
      <c r="K1790" s="33"/>
      <c r="L1790" s="561"/>
      <c r="M1790" s="33"/>
      <c r="N1790" s="33"/>
      <c r="O1790" s="33"/>
      <c r="P1790" s="184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44"/>
      <c r="AP1790" s="37"/>
      <c r="AQ1790" s="27"/>
      <c r="AR1790" s="57"/>
      <c r="AS1790" s="56">
        <f>Tabela4[[#This Row],[Total R$]]-Tabela4[[#This Row],[Total Pago]]</f>
        <v>0</v>
      </c>
      <c r="AT1790" s="36"/>
    </row>
    <row r="1791" spans="2:46" x14ac:dyDescent="0.25">
      <c r="B1791" s="44"/>
      <c r="D1791" s="349"/>
      <c r="E1791" s="33"/>
      <c r="F1791" s="33"/>
      <c r="G1791" s="33"/>
      <c r="H1791" s="33"/>
      <c r="I1791" s="33"/>
      <c r="J1791" s="33"/>
      <c r="K1791" s="33"/>
      <c r="L1791" s="561"/>
      <c r="M1791" s="33"/>
      <c r="N1791" s="33"/>
      <c r="O1791" s="33"/>
      <c r="P1791" s="184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44"/>
      <c r="AP1791" s="37"/>
      <c r="AQ1791" s="27"/>
      <c r="AR1791" s="57"/>
      <c r="AS1791" s="56">
        <f>Tabela4[[#This Row],[Total R$]]-Tabela4[[#This Row],[Total Pago]]</f>
        <v>0</v>
      </c>
      <c r="AT1791" s="36"/>
    </row>
    <row r="1792" spans="2:46" x14ac:dyDescent="0.25">
      <c r="B1792" s="44"/>
      <c r="D1792" s="349"/>
      <c r="E1792" s="33"/>
      <c r="F1792" s="33"/>
      <c r="G1792" s="33"/>
      <c r="H1792" s="33"/>
      <c r="I1792" s="33"/>
      <c r="J1792" s="33"/>
      <c r="K1792" s="33"/>
      <c r="L1792" s="561"/>
      <c r="M1792" s="33"/>
      <c r="N1792" s="33"/>
      <c r="O1792" s="33"/>
      <c r="P1792" s="184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44"/>
      <c r="AP1792" s="37"/>
      <c r="AQ1792" s="27"/>
      <c r="AR1792" s="57"/>
      <c r="AS1792" s="56">
        <f>Tabela4[[#This Row],[Total R$]]-Tabela4[[#This Row],[Total Pago]]</f>
        <v>0</v>
      </c>
      <c r="AT1792" s="36"/>
    </row>
    <row r="1793" spans="2:46" x14ac:dyDescent="0.25">
      <c r="B1793" s="44"/>
      <c r="D1793" s="349"/>
      <c r="E1793" s="33"/>
      <c r="F1793" s="33"/>
      <c r="G1793" s="33"/>
      <c r="H1793" s="33"/>
      <c r="I1793" s="33"/>
      <c r="J1793" s="33"/>
      <c r="K1793" s="33"/>
      <c r="L1793" s="561"/>
      <c r="M1793" s="33"/>
      <c r="N1793" s="33"/>
      <c r="O1793" s="33"/>
      <c r="P1793" s="184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44"/>
      <c r="AP1793" s="37"/>
      <c r="AQ1793" s="27"/>
      <c r="AR1793" s="57"/>
      <c r="AS1793" s="56">
        <f>Tabela4[[#This Row],[Total R$]]-Tabela4[[#This Row],[Total Pago]]</f>
        <v>0</v>
      </c>
      <c r="AT1793" s="36"/>
    </row>
    <row r="1794" spans="2:46" x14ac:dyDescent="0.25">
      <c r="B1794" s="44"/>
      <c r="D1794" s="349"/>
      <c r="E1794" s="33"/>
      <c r="F1794" s="33"/>
      <c r="G1794" s="33"/>
      <c r="H1794" s="33"/>
      <c r="I1794" s="33"/>
      <c r="J1794" s="33"/>
      <c r="K1794" s="33"/>
      <c r="L1794" s="561"/>
      <c r="M1794" s="33"/>
      <c r="N1794" s="33"/>
      <c r="O1794" s="33"/>
      <c r="P1794" s="184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44"/>
      <c r="AP1794" s="37"/>
      <c r="AQ1794" s="27"/>
      <c r="AR1794" s="57"/>
      <c r="AS1794" s="56">
        <f>Tabela4[[#This Row],[Total R$]]-Tabela4[[#This Row],[Total Pago]]</f>
        <v>0</v>
      </c>
      <c r="AT1794" s="36"/>
    </row>
    <row r="1795" spans="2:46" x14ac:dyDescent="0.25">
      <c r="B1795" s="44"/>
      <c r="D1795" s="349"/>
      <c r="E1795" s="33"/>
      <c r="F1795" s="33"/>
      <c r="G1795" s="33"/>
      <c r="H1795" s="33"/>
      <c r="I1795" s="33"/>
      <c r="J1795" s="33"/>
      <c r="K1795" s="33"/>
      <c r="L1795" s="561"/>
      <c r="M1795" s="33"/>
      <c r="N1795" s="33"/>
      <c r="O1795" s="33"/>
      <c r="P1795" s="184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44"/>
      <c r="AP1795" s="37"/>
      <c r="AQ1795" s="27"/>
      <c r="AR1795" s="57"/>
      <c r="AS1795" s="56">
        <f>Tabela4[[#This Row],[Total R$]]-Tabela4[[#This Row],[Total Pago]]</f>
        <v>0</v>
      </c>
      <c r="AT1795" s="36"/>
    </row>
    <row r="1796" spans="2:46" x14ac:dyDescent="0.25">
      <c r="B1796" s="44"/>
      <c r="D1796" s="349"/>
      <c r="E1796" s="33"/>
      <c r="F1796" s="33"/>
      <c r="G1796" s="33"/>
      <c r="H1796" s="33"/>
      <c r="I1796" s="33"/>
      <c r="J1796" s="33"/>
      <c r="K1796" s="33"/>
      <c r="L1796" s="561"/>
      <c r="M1796" s="33"/>
      <c r="N1796" s="33"/>
      <c r="O1796" s="33"/>
      <c r="P1796" s="184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44"/>
      <c r="AP1796" s="37"/>
      <c r="AQ1796" s="27"/>
      <c r="AR1796" s="57"/>
      <c r="AS1796" s="56">
        <f>Tabela4[[#This Row],[Total R$]]-Tabela4[[#This Row],[Total Pago]]</f>
        <v>0</v>
      </c>
      <c r="AT1796" s="36"/>
    </row>
    <row r="1797" spans="2:46" x14ac:dyDescent="0.25">
      <c r="B1797" s="44"/>
      <c r="D1797" s="349"/>
      <c r="E1797" s="33"/>
      <c r="F1797" s="33"/>
      <c r="G1797" s="33"/>
      <c r="H1797" s="33"/>
      <c r="I1797" s="33"/>
      <c r="J1797" s="33"/>
      <c r="K1797" s="33"/>
      <c r="L1797" s="561"/>
      <c r="M1797" s="33"/>
      <c r="N1797" s="33"/>
      <c r="O1797" s="33"/>
      <c r="P1797" s="184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44"/>
      <c r="AP1797" s="37"/>
      <c r="AQ1797" s="27"/>
      <c r="AR1797" s="57"/>
      <c r="AS1797" s="56">
        <f>Tabela4[[#This Row],[Total R$]]-Tabela4[[#This Row],[Total Pago]]</f>
        <v>0</v>
      </c>
      <c r="AT1797" s="36"/>
    </row>
    <row r="1798" spans="2:46" x14ac:dyDescent="0.25">
      <c r="B1798" s="44"/>
      <c r="D1798" s="349"/>
      <c r="E1798" s="33"/>
      <c r="F1798" s="33"/>
      <c r="G1798" s="33"/>
      <c r="H1798" s="33"/>
      <c r="I1798" s="33"/>
      <c r="J1798" s="33"/>
      <c r="K1798" s="33"/>
      <c r="L1798" s="561"/>
      <c r="M1798" s="33"/>
      <c r="N1798" s="33"/>
      <c r="O1798" s="33"/>
      <c r="P1798" s="184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44"/>
      <c r="AP1798" s="37"/>
      <c r="AQ1798" s="27"/>
      <c r="AR1798" s="57"/>
      <c r="AS1798" s="56">
        <f>Tabela4[[#This Row],[Total R$]]-Tabela4[[#This Row],[Total Pago]]</f>
        <v>0</v>
      </c>
      <c r="AT1798" s="36"/>
    </row>
    <row r="1799" spans="2:46" x14ac:dyDescent="0.25">
      <c r="B1799" s="44"/>
      <c r="D1799" s="349"/>
      <c r="E1799" s="33"/>
      <c r="F1799" s="33"/>
      <c r="G1799" s="33"/>
      <c r="H1799" s="33"/>
      <c r="I1799" s="33"/>
      <c r="J1799" s="33"/>
      <c r="K1799" s="33"/>
      <c r="L1799" s="561"/>
      <c r="M1799" s="33"/>
      <c r="N1799" s="33"/>
      <c r="O1799" s="33"/>
      <c r="P1799" s="184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44"/>
      <c r="AP1799" s="37"/>
      <c r="AQ1799" s="27"/>
      <c r="AR1799" s="57"/>
      <c r="AS1799" s="56">
        <f>Tabela4[[#This Row],[Total R$]]-Tabela4[[#This Row],[Total Pago]]</f>
        <v>0</v>
      </c>
      <c r="AT1799" s="36"/>
    </row>
    <row r="1800" spans="2:46" x14ac:dyDescent="0.25">
      <c r="B1800" s="44"/>
      <c r="D1800" s="349"/>
      <c r="E1800" s="33"/>
      <c r="F1800" s="33"/>
      <c r="G1800" s="33"/>
      <c r="H1800" s="33"/>
      <c r="I1800" s="33"/>
      <c r="J1800" s="33"/>
      <c r="K1800" s="33"/>
      <c r="L1800" s="561"/>
      <c r="M1800" s="33"/>
      <c r="N1800" s="33"/>
      <c r="O1800" s="33"/>
      <c r="P1800" s="184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44"/>
      <c r="AP1800" s="37"/>
      <c r="AQ1800" s="27"/>
      <c r="AR1800" s="57"/>
      <c r="AS1800" s="56">
        <f>Tabela4[[#This Row],[Total R$]]-Tabela4[[#This Row],[Total Pago]]</f>
        <v>0</v>
      </c>
      <c r="AT1800" s="36"/>
    </row>
    <row r="1801" spans="2:46" x14ac:dyDescent="0.25">
      <c r="B1801" s="44"/>
      <c r="D1801" s="349"/>
      <c r="E1801" s="33"/>
      <c r="F1801" s="33"/>
      <c r="G1801" s="33"/>
      <c r="H1801" s="33"/>
      <c r="I1801" s="33"/>
      <c r="J1801" s="33"/>
      <c r="K1801" s="33"/>
      <c r="L1801" s="561"/>
      <c r="M1801" s="33"/>
      <c r="N1801" s="33"/>
      <c r="O1801" s="33"/>
      <c r="P1801" s="184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44"/>
      <c r="AP1801" s="37"/>
      <c r="AQ1801" s="27"/>
      <c r="AR1801" s="57"/>
      <c r="AS1801" s="56">
        <f>Tabela4[[#This Row],[Total R$]]-Tabela4[[#This Row],[Total Pago]]</f>
        <v>0</v>
      </c>
      <c r="AT1801" s="36"/>
    </row>
    <row r="1802" spans="2:46" x14ac:dyDescent="0.25">
      <c r="B1802" s="44"/>
      <c r="D1802" s="349"/>
      <c r="E1802" s="33"/>
      <c r="F1802" s="33"/>
      <c r="G1802" s="33"/>
      <c r="H1802" s="33"/>
      <c r="I1802" s="33"/>
      <c r="J1802" s="33"/>
      <c r="K1802" s="33"/>
      <c r="L1802" s="561"/>
      <c r="M1802" s="33"/>
      <c r="N1802" s="33"/>
      <c r="O1802" s="33"/>
      <c r="P1802" s="184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44"/>
      <c r="AP1802" s="37"/>
      <c r="AQ1802" s="27"/>
      <c r="AR1802" s="57"/>
      <c r="AS1802" s="56">
        <f>Tabela4[[#This Row],[Total R$]]-Tabela4[[#This Row],[Total Pago]]</f>
        <v>0</v>
      </c>
      <c r="AT1802" s="36"/>
    </row>
    <row r="1803" spans="2:46" x14ac:dyDescent="0.25">
      <c r="B1803" s="44"/>
      <c r="D1803" s="349"/>
      <c r="E1803" s="33"/>
      <c r="F1803" s="33"/>
      <c r="G1803" s="33"/>
      <c r="H1803" s="33"/>
      <c r="I1803" s="33"/>
      <c r="J1803" s="33"/>
      <c r="K1803" s="33"/>
      <c r="L1803" s="561"/>
      <c r="M1803" s="33"/>
      <c r="N1803" s="33"/>
      <c r="O1803" s="33"/>
      <c r="P1803" s="184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44"/>
      <c r="AP1803" s="37"/>
      <c r="AQ1803" s="27"/>
      <c r="AR1803" s="57"/>
      <c r="AS1803" s="56">
        <f>Tabela4[[#This Row],[Total R$]]-Tabela4[[#This Row],[Total Pago]]</f>
        <v>0</v>
      </c>
      <c r="AT1803" s="36"/>
    </row>
    <row r="1804" spans="2:46" x14ac:dyDescent="0.25">
      <c r="B1804" s="44"/>
      <c r="D1804" s="349"/>
      <c r="E1804" s="33"/>
      <c r="F1804" s="33"/>
      <c r="G1804" s="33"/>
      <c r="H1804" s="33"/>
      <c r="I1804" s="33"/>
      <c r="J1804" s="33"/>
      <c r="K1804" s="33"/>
      <c r="L1804" s="561"/>
      <c r="M1804" s="33"/>
      <c r="N1804" s="33"/>
      <c r="O1804" s="33"/>
      <c r="P1804" s="184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44"/>
      <c r="AP1804" s="37"/>
      <c r="AQ1804" s="27"/>
      <c r="AR1804" s="57"/>
      <c r="AS1804" s="56">
        <f>Tabela4[[#This Row],[Total R$]]-Tabela4[[#This Row],[Total Pago]]</f>
        <v>0</v>
      </c>
      <c r="AT1804" s="36"/>
    </row>
    <row r="1805" spans="2:46" x14ac:dyDescent="0.25">
      <c r="B1805" s="44"/>
      <c r="D1805" s="349"/>
      <c r="E1805" s="33"/>
      <c r="F1805" s="33"/>
      <c r="G1805" s="33"/>
      <c r="H1805" s="33"/>
      <c r="I1805" s="33"/>
      <c r="J1805" s="33"/>
      <c r="K1805" s="33"/>
      <c r="L1805" s="561"/>
      <c r="M1805" s="33"/>
      <c r="N1805" s="33"/>
      <c r="O1805" s="33"/>
      <c r="P1805" s="184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44"/>
      <c r="AP1805" s="37"/>
      <c r="AQ1805" s="27"/>
      <c r="AR1805" s="57"/>
      <c r="AS1805" s="56">
        <f>Tabela4[[#This Row],[Total R$]]-Tabela4[[#This Row],[Total Pago]]</f>
        <v>0</v>
      </c>
      <c r="AT1805" s="36"/>
    </row>
    <row r="1806" spans="2:46" x14ac:dyDescent="0.25">
      <c r="B1806" s="44"/>
      <c r="D1806" s="349"/>
      <c r="E1806" s="33"/>
      <c r="F1806" s="33"/>
      <c r="G1806" s="33"/>
      <c r="H1806" s="33"/>
      <c r="I1806" s="33"/>
      <c r="J1806" s="33"/>
      <c r="K1806" s="33"/>
      <c r="L1806" s="561"/>
      <c r="M1806" s="33"/>
      <c r="N1806" s="33"/>
      <c r="O1806" s="33"/>
      <c r="P1806" s="184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44"/>
      <c r="AP1806" s="37"/>
      <c r="AQ1806" s="27"/>
      <c r="AR1806" s="57"/>
      <c r="AS1806" s="56">
        <f>Tabela4[[#This Row],[Total R$]]-Tabela4[[#This Row],[Total Pago]]</f>
        <v>0</v>
      </c>
      <c r="AT1806" s="36"/>
    </row>
    <row r="1807" spans="2:46" x14ac:dyDescent="0.25">
      <c r="B1807" s="44"/>
      <c r="D1807" s="349"/>
      <c r="E1807" s="33"/>
      <c r="F1807" s="33"/>
      <c r="G1807" s="33"/>
      <c r="H1807" s="33"/>
      <c r="I1807" s="33"/>
      <c r="J1807" s="33"/>
      <c r="K1807" s="33"/>
      <c r="L1807" s="561"/>
      <c r="M1807" s="33"/>
      <c r="N1807" s="33"/>
      <c r="O1807" s="33"/>
      <c r="P1807" s="184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44"/>
      <c r="AP1807" s="37"/>
      <c r="AQ1807" s="27"/>
      <c r="AR1807" s="57"/>
      <c r="AS1807" s="56">
        <f>Tabela4[[#This Row],[Total R$]]-Tabela4[[#This Row],[Total Pago]]</f>
        <v>0</v>
      </c>
      <c r="AT1807" s="36"/>
    </row>
    <row r="1808" spans="2:46" x14ac:dyDescent="0.25">
      <c r="B1808" s="44"/>
      <c r="D1808" s="349"/>
      <c r="E1808" s="33"/>
      <c r="F1808" s="33"/>
      <c r="G1808" s="33"/>
      <c r="H1808" s="33"/>
      <c r="I1808" s="33"/>
      <c r="J1808" s="33"/>
      <c r="K1808" s="33"/>
      <c r="L1808" s="561"/>
      <c r="M1808" s="33"/>
      <c r="N1808" s="33"/>
      <c r="O1808" s="33"/>
      <c r="P1808" s="184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44"/>
      <c r="AP1808" s="37"/>
      <c r="AQ1808" s="27"/>
      <c r="AR1808" s="57"/>
      <c r="AS1808" s="56">
        <f>Tabela4[[#This Row],[Total R$]]-Tabela4[[#This Row],[Total Pago]]</f>
        <v>0</v>
      </c>
      <c r="AT1808" s="36"/>
    </row>
    <row r="1809" spans="2:46" x14ac:dyDescent="0.25">
      <c r="B1809" s="44"/>
      <c r="D1809" s="349"/>
      <c r="E1809" s="33"/>
      <c r="F1809" s="33"/>
      <c r="G1809" s="33"/>
      <c r="H1809" s="33"/>
      <c r="I1809" s="33"/>
      <c r="J1809" s="33"/>
      <c r="K1809" s="33"/>
      <c r="L1809" s="561"/>
      <c r="M1809" s="33"/>
      <c r="N1809" s="33"/>
      <c r="O1809" s="33"/>
      <c r="P1809" s="184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44"/>
      <c r="AP1809" s="37"/>
      <c r="AQ1809" s="27"/>
      <c r="AR1809" s="57"/>
      <c r="AS1809" s="56">
        <f>Tabela4[[#This Row],[Total R$]]-Tabela4[[#This Row],[Total Pago]]</f>
        <v>0</v>
      </c>
      <c r="AT1809" s="36"/>
    </row>
    <row r="1810" spans="2:46" x14ac:dyDescent="0.25">
      <c r="B1810" s="44"/>
      <c r="D1810" s="349"/>
      <c r="E1810" s="33"/>
      <c r="F1810" s="33"/>
      <c r="G1810" s="33"/>
      <c r="H1810" s="33"/>
      <c r="I1810" s="33"/>
      <c r="J1810" s="33"/>
      <c r="K1810" s="33"/>
      <c r="L1810" s="561"/>
      <c r="M1810" s="33"/>
      <c r="N1810" s="33"/>
      <c r="O1810" s="33"/>
      <c r="P1810" s="184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44"/>
      <c r="AP1810" s="37"/>
      <c r="AQ1810" s="27"/>
      <c r="AR1810" s="57"/>
      <c r="AS1810" s="56">
        <f>Tabela4[[#This Row],[Total R$]]-Tabela4[[#This Row],[Total Pago]]</f>
        <v>0</v>
      </c>
      <c r="AT1810" s="36"/>
    </row>
    <row r="1811" spans="2:46" x14ac:dyDescent="0.25">
      <c r="B1811" s="44"/>
      <c r="D1811" s="349"/>
      <c r="E1811" s="33"/>
      <c r="F1811" s="33"/>
      <c r="G1811" s="33"/>
      <c r="H1811" s="33"/>
      <c r="I1811" s="33"/>
      <c r="J1811" s="33"/>
      <c r="K1811" s="33"/>
      <c r="L1811" s="561"/>
      <c r="M1811" s="33"/>
      <c r="N1811" s="33"/>
      <c r="O1811" s="33"/>
      <c r="P1811" s="184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44"/>
      <c r="AP1811" s="37"/>
      <c r="AQ1811" s="27"/>
      <c r="AR1811" s="57"/>
      <c r="AS1811" s="56">
        <f>Tabela4[[#This Row],[Total R$]]-Tabela4[[#This Row],[Total Pago]]</f>
        <v>0</v>
      </c>
      <c r="AT1811" s="36"/>
    </row>
    <row r="1812" spans="2:46" x14ac:dyDescent="0.25">
      <c r="B1812" s="44"/>
      <c r="D1812" s="349"/>
      <c r="E1812" s="33"/>
      <c r="F1812" s="33"/>
      <c r="G1812" s="33"/>
      <c r="H1812" s="33"/>
      <c r="I1812" s="33"/>
      <c r="J1812" s="33"/>
      <c r="K1812" s="33"/>
      <c r="L1812" s="561"/>
      <c r="M1812" s="33"/>
      <c r="N1812" s="33"/>
      <c r="O1812" s="33"/>
      <c r="P1812" s="184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44"/>
      <c r="AP1812" s="37"/>
      <c r="AQ1812" s="27"/>
      <c r="AR1812" s="57"/>
      <c r="AS1812" s="56">
        <f>Tabela4[[#This Row],[Total R$]]-Tabela4[[#This Row],[Total Pago]]</f>
        <v>0</v>
      </c>
      <c r="AT1812" s="36"/>
    </row>
    <row r="1813" spans="2:46" x14ac:dyDescent="0.25">
      <c r="B1813" s="44"/>
      <c r="D1813" s="349"/>
      <c r="E1813" s="33"/>
      <c r="F1813" s="33"/>
      <c r="G1813" s="33"/>
      <c r="H1813" s="33"/>
      <c r="I1813" s="33"/>
      <c r="J1813" s="33"/>
      <c r="K1813" s="33"/>
      <c r="L1813" s="561"/>
      <c r="M1813" s="33"/>
      <c r="N1813" s="33"/>
      <c r="O1813" s="33"/>
      <c r="P1813" s="184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44"/>
      <c r="AP1813" s="37"/>
      <c r="AQ1813" s="27"/>
      <c r="AR1813" s="57"/>
      <c r="AS1813" s="56">
        <f>Tabela4[[#This Row],[Total R$]]-Tabela4[[#This Row],[Total Pago]]</f>
        <v>0</v>
      </c>
      <c r="AT1813" s="36"/>
    </row>
    <row r="1814" spans="2:46" x14ac:dyDescent="0.25">
      <c r="B1814" s="44"/>
      <c r="D1814" s="349"/>
      <c r="E1814" s="33"/>
      <c r="F1814" s="33"/>
      <c r="G1814" s="33"/>
      <c r="H1814" s="33"/>
      <c r="I1814" s="33"/>
      <c r="J1814" s="33"/>
      <c r="K1814" s="33"/>
      <c r="L1814" s="561"/>
      <c r="M1814" s="33"/>
      <c r="N1814" s="33"/>
      <c r="O1814" s="33"/>
      <c r="P1814" s="184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44"/>
      <c r="AP1814" s="37"/>
      <c r="AQ1814" s="27"/>
      <c r="AR1814" s="57"/>
      <c r="AS1814" s="56">
        <f>Tabela4[[#This Row],[Total R$]]-Tabela4[[#This Row],[Total Pago]]</f>
        <v>0</v>
      </c>
      <c r="AT1814" s="36"/>
    </row>
    <row r="1815" spans="2:46" x14ac:dyDescent="0.25">
      <c r="B1815" s="44"/>
      <c r="D1815" s="349"/>
      <c r="E1815" s="33"/>
      <c r="F1815" s="33"/>
      <c r="G1815" s="33"/>
      <c r="H1815" s="33"/>
      <c r="I1815" s="33"/>
      <c r="J1815" s="33"/>
      <c r="K1815" s="33"/>
      <c r="L1815" s="561"/>
      <c r="M1815" s="33"/>
      <c r="N1815" s="33"/>
      <c r="O1815" s="33"/>
      <c r="P1815" s="184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44"/>
      <c r="AP1815" s="37"/>
      <c r="AQ1815" s="27"/>
      <c r="AR1815" s="57"/>
      <c r="AS1815" s="56">
        <f>Tabela4[[#This Row],[Total R$]]-Tabela4[[#This Row],[Total Pago]]</f>
        <v>0</v>
      </c>
      <c r="AT1815" s="36"/>
    </row>
    <row r="1816" spans="2:46" x14ac:dyDescent="0.25">
      <c r="B1816" s="44"/>
      <c r="D1816" s="349"/>
      <c r="E1816" s="33"/>
      <c r="F1816" s="33"/>
      <c r="G1816" s="33"/>
      <c r="H1816" s="33"/>
      <c r="I1816" s="33"/>
      <c r="J1816" s="33"/>
      <c r="K1816" s="33"/>
      <c r="L1816" s="561"/>
      <c r="M1816" s="33"/>
      <c r="N1816" s="33"/>
      <c r="O1816" s="33"/>
      <c r="P1816" s="184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44"/>
      <c r="AP1816" s="37"/>
      <c r="AQ1816" s="27"/>
      <c r="AR1816" s="57"/>
      <c r="AS1816" s="56">
        <f>Tabela4[[#This Row],[Total R$]]-Tabela4[[#This Row],[Total Pago]]</f>
        <v>0</v>
      </c>
      <c r="AT1816" s="36"/>
    </row>
    <row r="1817" spans="2:46" x14ac:dyDescent="0.25">
      <c r="B1817" s="44"/>
      <c r="D1817" s="349"/>
      <c r="E1817" s="33"/>
      <c r="F1817" s="33"/>
      <c r="G1817" s="33"/>
      <c r="H1817" s="33"/>
      <c r="I1817" s="33"/>
      <c r="J1817" s="33"/>
      <c r="K1817" s="33"/>
      <c r="L1817" s="561"/>
      <c r="M1817" s="33"/>
      <c r="N1817" s="33"/>
      <c r="O1817" s="33"/>
      <c r="P1817" s="184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44"/>
      <c r="AP1817" s="37"/>
      <c r="AQ1817" s="27"/>
      <c r="AR1817" s="57"/>
      <c r="AS1817" s="56">
        <f>Tabela4[[#This Row],[Total R$]]-Tabela4[[#This Row],[Total Pago]]</f>
        <v>0</v>
      </c>
      <c r="AT1817" s="36"/>
    </row>
    <row r="1818" spans="2:46" x14ac:dyDescent="0.25">
      <c r="B1818" s="44"/>
      <c r="D1818" s="349"/>
      <c r="E1818" s="33"/>
      <c r="F1818" s="33"/>
      <c r="G1818" s="33"/>
      <c r="H1818" s="33"/>
      <c r="I1818" s="33"/>
      <c r="J1818" s="33"/>
      <c r="K1818" s="33"/>
      <c r="L1818" s="561"/>
      <c r="M1818" s="33"/>
      <c r="N1818" s="33"/>
      <c r="O1818" s="33"/>
      <c r="P1818" s="184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44"/>
      <c r="AP1818" s="37"/>
      <c r="AQ1818" s="27"/>
      <c r="AR1818" s="57"/>
      <c r="AS1818" s="56">
        <f>Tabela4[[#This Row],[Total R$]]-Tabela4[[#This Row],[Total Pago]]</f>
        <v>0</v>
      </c>
      <c r="AT1818" s="36"/>
    </row>
    <row r="1819" spans="2:46" x14ac:dyDescent="0.25">
      <c r="B1819" s="44"/>
      <c r="D1819" s="349"/>
      <c r="E1819" s="33"/>
      <c r="F1819" s="33"/>
      <c r="G1819" s="33"/>
      <c r="H1819" s="33"/>
      <c r="I1819" s="33"/>
      <c r="J1819" s="33"/>
      <c r="K1819" s="33"/>
      <c r="L1819" s="561"/>
      <c r="M1819" s="33"/>
      <c r="N1819" s="33"/>
      <c r="O1819" s="33"/>
      <c r="P1819" s="184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44"/>
      <c r="AP1819" s="37"/>
      <c r="AQ1819" s="27"/>
      <c r="AR1819" s="57"/>
      <c r="AS1819" s="56">
        <f>Tabela4[[#This Row],[Total R$]]-Tabela4[[#This Row],[Total Pago]]</f>
        <v>0</v>
      </c>
      <c r="AT1819" s="36"/>
    </row>
    <row r="1820" spans="2:46" x14ac:dyDescent="0.25">
      <c r="B1820" s="44"/>
      <c r="D1820" s="349"/>
      <c r="E1820" s="33"/>
      <c r="F1820" s="33"/>
      <c r="G1820" s="33"/>
      <c r="H1820" s="33"/>
      <c r="I1820" s="33"/>
      <c r="J1820" s="33"/>
      <c r="K1820" s="33"/>
      <c r="L1820" s="561"/>
      <c r="M1820" s="33"/>
      <c r="N1820" s="33"/>
      <c r="O1820" s="33"/>
      <c r="P1820" s="184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44"/>
      <c r="AP1820" s="37"/>
      <c r="AQ1820" s="27"/>
      <c r="AR1820" s="57"/>
      <c r="AS1820" s="56">
        <f>Tabela4[[#This Row],[Total R$]]-Tabela4[[#This Row],[Total Pago]]</f>
        <v>0</v>
      </c>
      <c r="AT1820" s="36"/>
    </row>
    <row r="1821" spans="2:46" x14ac:dyDescent="0.25">
      <c r="B1821" s="44"/>
      <c r="D1821" s="349"/>
      <c r="E1821" s="33"/>
      <c r="F1821" s="33"/>
      <c r="G1821" s="33"/>
      <c r="H1821" s="33"/>
      <c r="I1821" s="33"/>
      <c r="J1821" s="33"/>
      <c r="K1821" s="33"/>
      <c r="L1821" s="561"/>
      <c r="M1821" s="33"/>
      <c r="N1821" s="33"/>
      <c r="O1821" s="33"/>
      <c r="P1821" s="184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44"/>
      <c r="AP1821" s="37"/>
      <c r="AQ1821" s="27"/>
      <c r="AR1821" s="57"/>
      <c r="AS1821" s="56">
        <f>Tabela4[[#This Row],[Total R$]]-Tabela4[[#This Row],[Total Pago]]</f>
        <v>0</v>
      </c>
      <c r="AT1821" s="36"/>
    </row>
    <row r="1822" spans="2:46" x14ac:dyDescent="0.25">
      <c r="B1822" s="44"/>
      <c r="D1822" s="349"/>
      <c r="E1822" s="33"/>
      <c r="F1822" s="33"/>
      <c r="G1822" s="33"/>
      <c r="H1822" s="33"/>
      <c r="I1822" s="33"/>
      <c r="J1822" s="33"/>
      <c r="K1822" s="33"/>
      <c r="L1822" s="561"/>
      <c r="M1822" s="33"/>
      <c r="N1822" s="33"/>
      <c r="O1822" s="33"/>
      <c r="P1822" s="184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44"/>
      <c r="AP1822" s="37"/>
      <c r="AQ1822" s="27"/>
      <c r="AR1822" s="57"/>
      <c r="AS1822" s="56">
        <f>Tabela4[[#This Row],[Total R$]]-Tabela4[[#This Row],[Total Pago]]</f>
        <v>0</v>
      </c>
      <c r="AT1822" s="36"/>
    </row>
    <row r="1823" spans="2:46" x14ac:dyDescent="0.25">
      <c r="B1823" s="44"/>
      <c r="D1823" s="349"/>
      <c r="E1823" s="33"/>
      <c r="F1823" s="33"/>
      <c r="G1823" s="33"/>
      <c r="H1823" s="33"/>
      <c r="I1823" s="33"/>
      <c r="J1823" s="33"/>
      <c r="K1823" s="33"/>
      <c r="L1823" s="561"/>
      <c r="M1823" s="33"/>
      <c r="N1823" s="33"/>
      <c r="O1823" s="33"/>
      <c r="P1823" s="184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44"/>
      <c r="AP1823" s="37"/>
      <c r="AQ1823" s="27"/>
      <c r="AR1823" s="57"/>
      <c r="AS1823" s="56">
        <f>Tabela4[[#This Row],[Total R$]]-Tabela4[[#This Row],[Total Pago]]</f>
        <v>0</v>
      </c>
      <c r="AT1823" s="36"/>
    </row>
    <row r="1824" spans="2:46" x14ac:dyDescent="0.25">
      <c r="B1824" s="44"/>
      <c r="D1824" s="349"/>
      <c r="E1824" s="33"/>
      <c r="F1824" s="33"/>
      <c r="G1824" s="33"/>
      <c r="H1824" s="33"/>
      <c r="I1824" s="33"/>
      <c r="J1824" s="33"/>
      <c r="K1824" s="33"/>
      <c r="L1824" s="561"/>
      <c r="M1824" s="33"/>
      <c r="N1824" s="33"/>
      <c r="O1824" s="33"/>
      <c r="P1824" s="184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44"/>
      <c r="AP1824" s="37"/>
      <c r="AQ1824" s="27"/>
      <c r="AR1824" s="57"/>
      <c r="AS1824" s="56">
        <f>Tabela4[[#This Row],[Total R$]]-Tabela4[[#This Row],[Total Pago]]</f>
        <v>0</v>
      </c>
      <c r="AT1824" s="36"/>
    </row>
    <row r="1825" spans="2:46" x14ac:dyDescent="0.25">
      <c r="B1825" s="44"/>
      <c r="D1825" s="349"/>
      <c r="E1825" s="33"/>
      <c r="F1825" s="33"/>
      <c r="G1825" s="33"/>
      <c r="H1825" s="33"/>
      <c r="I1825" s="33"/>
      <c r="J1825" s="33"/>
      <c r="K1825" s="33"/>
      <c r="L1825" s="561"/>
      <c r="M1825" s="33"/>
      <c r="N1825" s="33"/>
      <c r="O1825" s="33"/>
      <c r="P1825" s="184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44"/>
      <c r="AP1825" s="37"/>
      <c r="AQ1825" s="27"/>
      <c r="AR1825" s="57"/>
      <c r="AS1825" s="56">
        <f>Tabela4[[#This Row],[Total R$]]-Tabela4[[#This Row],[Total Pago]]</f>
        <v>0</v>
      </c>
      <c r="AT1825" s="36"/>
    </row>
    <row r="1826" spans="2:46" x14ac:dyDescent="0.25">
      <c r="B1826" s="44"/>
      <c r="D1826" s="349"/>
      <c r="E1826" s="33"/>
      <c r="F1826" s="33"/>
      <c r="G1826" s="33"/>
      <c r="H1826" s="33"/>
      <c r="I1826" s="33"/>
      <c r="J1826" s="33"/>
      <c r="K1826" s="33"/>
      <c r="L1826" s="561"/>
      <c r="M1826" s="33"/>
      <c r="N1826" s="33"/>
      <c r="O1826" s="33"/>
      <c r="P1826" s="184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44"/>
      <c r="AP1826" s="37"/>
      <c r="AQ1826" s="27"/>
      <c r="AR1826" s="57"/>
      <c r="AS1826" s="56">
        <f>Tabela4[[#This Row],[Total R$]]-Tabela4[[#This Row],[Total Pago]]</f>
        <v>0</v>
      </c>
      <c r="AT1826" s="36"/>
    </row>
    <row r="1827" spans="2:46" x14ac:dyDescent="0.25">
      <c r="B1827" s="44"/>
      <c r="D1827" s="349"/>
      <c r="E1827" s="33"/>
      <c r="F1827" s="33"/>
      <c r="G1827" s="33"/>
      <c r="H1827" s="33"/>
      <c r="I1827" s="33"/>
      <c r="J1827" s="33"/>
      <c r="K1827" s="33"/>
      <c r="L1827" s="561"/>
      <c r="M1827" s="33"/>
      <c r="N1827" s="33"/>
      <c r="O1827" s="33"/>
      <c r="P1827" s="184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44"/>
      <c r="AP1827" s="37"/>
      <c r="AQ1827" s="27"/>
      <c r="AR1827" s="57"/>
      <c r="AS1827" s="56">
        <f>Tabela4[[#This Row],[Total R$]]-Tabela4[[#This Row],[Total Pago]]</f>
        <v>0</v>
      </c>
      <c r="AT1827" s="36"/>
    </row>
    <row r="1828" spans="2:46" x14ac:dyDescent="0.25">
      <c r="B1828" s="44"/>
      <c r="D1828" s="349"/>
      <c r="E1828" s="33"/>
      <c r="F1828" s="33"/>
      <c r="G1828" s="33"/>
      <c r="H1828" s="33"/>
      <c r="I1828" s="33"/>
      <c r="J1828" s="33"/>
      <c r="K1828" s="33"/>
      <c r="L1828" s="561"/>
      <c r="M1828" s="33"/>
      <c r="N1828" s="33"/>
      <c r="O1828" s="33"/>
      <c r="P1828" s="184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44"/>
      <c r="AP1828" s="37"/>
      <c r="AQ1828" s="27"/>
      <c r="AR1828" s="57"/>
      <c r="AS1828" s="56">
        <f>Tabela4[[#This Row],[Total R$]]-Tabela4[[#This Row],[Total Pago]]</f>
        <v>0</v>
      </c>
      <c r="AT1828" s="36"/>
    </row>
    <row r="1829" spans="2:46" x14ac:dyDescent="0.25">
      <c r="B1829" s="44"/>
      <c r="D1829" s="349"/>
      <c r="E1829" s="33"/>
      <c r="F1829" s="33"/>
      <c r="G1829" s="33"/>
      <c r="H1829" s="33"/>
      <c r="I1829" s="33"/>
      <c r="J1829" s="33"/>
      <c r="K1829" s="33"/>
      <c r="L1829" s="561"/>
      <c r="M1829" s="33"/>
      <c r="N1829" s="33"/>
      <c r="O1829" s="33"/>
      <c r="P1829" s="184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44"/>
      <c r="AP1829" s="37"/>
      <c r="AQ1829" s="27"/>
      <c r="AR1829" s="57"/>
      <c r="AS1829" s="56">
        <f>Tabela4[[#This Row],[Total R$]]-Tabela4[[#This Row],[Total Pago]]</f>
        <v>0</v>
      </c>
      <c r="AT1829" s="36"/>
    </row>
    <row r="1830" spans="2:46" x14ac:dyDescent="0.25">
      <c r="B1830" s="44"/>
      <c r="D1830" s="349"/>
      <c r="E1830" s="33"/>
      <c r="F1830" s="33"/>
      <c r="G1830" s="33"/>
      <c r="H1830" s="33"/>
      <c r="I1830" s="33"/>
      <c r="J1830" s="33"/>
      <c r="K1830" s="33"/>
      <c r="L1830" s="561"/>
      <c r="M1830" s="33"/>
      <c r="N1830" s="33"/>
      <c r="O1830" s="33"/>
      <c r="P1830" s="184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44"/>
      <c r="AP1830" s="37"/>
      <c r="AQ1830" s="27"/>
      <c r="AR1830" s="57"/>
      <c r="AS1830" s="56">
        <f>Tabela4[[#This Row],[Total R$]]-Tabela4[[#This Row],[Total Pago]]</f>
        <v>0</v>
      </c>
      <c r="AT1830" s="36"/>
    </row>
    <row r="1831" spans="2:46" x14ac:dyDescent="0.25">
      <c r="B1831" s="44"/>
      <c r="D1831" s="349"/>
      <c r="E1831" s="33"/>
      <c r="F1831" s="33"/>
      <c r="G1831" s="33"/>
      <c r="H1831" s="33"/>
      <c r="I1831" s="33"/>
      <c r="J1831" s="33"/>
      <c r="K1831" s="33"/>
      <c r="L1831" s="561"/>
      <c r="M1831" s="33"/>
      <c r="N1831" s="33"/>
      <c r="O1831" s="33"/>
      <c r="P1831" s="184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44"/>
      <c r="AP1831" s="37"/>
      <c r="AQ1831" s="27"/>
      <c r="AR1831" s="57"/>
      <c r="AS1831" s="56">
        <f>Tabela4[[#This Row],[Total R$]]-Tabela4[[#This Row],[Total Pago]]</f>
        <v>0</v>
      </c>
      <c r="AT1831" s="36"/>
    </row>
    <row r="1832" spans="2:46" x14ac:dyDescent="0.25">
      <c r="B1832" s="44"/>
      <c r="D1832" s="349"/>
      <c r="E1832" s="33"/>
      <c r="F1832" s="33"/>
      <c r="G1832" s="33"/>
      <c r="H1832" s="33"/>
      <c r="I1832" s="33"/>
      <c r="J1832" s="33"/>
      <c r="K1832" s="33"/>
      <c r="L1832" s="561"/>
      <c r="M1832" s="33"/>
      <c r="N1832" s="33"/>
      <c r="O1832" s="33"/>
      <c r="P1832" s="184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44"/>
      <c r="AP1832" s="37"/>
      <c r="AQ1832" s="27"/>
      <c r="AR1832" s="57"/>
      <c r="AS1832" s="56">
        <f>Tabela4[[#This Row],[Total R$]]-Tabela4[[#This Row],[Total Pago]]</f>
        <v>0</v>
      </c>
      <c r="AT1832" s="36"/>
    </row>
    <row r="1833" spans="2:46" x14ac:dyDescent="0.25">
      <c r="B1833" s="44"/>
      <c r="D1833" s="349"/>
      <c r="E1833" s="33"/>
      <c r="F1833" s="33"/>
      <c r="G1833" s="33"/>
      <c r="H1833" s="33"/>
      <c r="I1833" s="33"/>
      <c r="J1833" s="33"/>
      <c r="K1833" s="33"/>
      <c r="L1833" s="561"/>
      <c r="M1833" s="33"/>
      <c r="N1833" s="33"/>
      <c r="O1833" s="33"/>
      <c r="P1833" s="184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44"/>
      <c r="AP1833" s="37"/>
      <c r="AQ1833" s="27"/>
      <c r="AR1833" s="57"/>
      <c r="AS1833" s="56">
        <f>Tabela4[[#This Row],[Total R$]]-Tabela4[[#This Row],[Total Pago]]</f>
        <v>0</v>
      </c>
      <c r="AT1833" s="36"/>
    </row>
    <row r="1834" spans="2:46" x14ac:dyDescent="0.25">
      <c r="B1834" s="44"/>
      <c r="D1834" s="349"/>
      <c r="E1834" s="33"/>
      <c r="F1834" s="33"/>
      <c r="G1834" s="33"/>
      <c r="H1834" s="33"/>
      <c r="I1834" s="33"/>
      <c r="J1834" s="33"/>
      <c r="K1834" s="33"/>
      <c r="L1834" s="561"/>
      <c r="M1834" s="33"/>
      <c r="N1834" s="33"/>
      <c r="O1834" s="33"/>
      <c r="P1834" s="184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44"/>
      <c r="AP1834" s="37"/>
      <c r="AQ1834" s="27"/>
      <c r="AR1834" s="57"/>
      <c r="AS1834" s="56">
        <f>Tabela4[[#This Row],[Total R$]]-Tabela4[[#This Row],[Total Pago]]</f>
        <v>0</v>
      </c>
      <c r="AT1834" s="36"/>
    </row>
    <row r="1835" spans="2:46" x14ac:dyDescent="0.25">
      <c r="B1835" s="44"/>
      <c r="D1835" s="349"/>
      <c r="E1835" s="33"/>
      <c r="F1835" s="33"/>
      <c r="G1835" s="33"/>
      <c r="H1835" s="33"/>
      <c r="I1835" s="33"/>
      <c r="J1835" s="33"/>
      <c r="K1835" s="33"/>
      <c r="L1835" s="561"/>
      <c r="M1835" s="33"/>
      <c r="N1835" s="33"/>
      <c r="O1835" s="33"/>
      <c r="P1835" s="184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44"/>
      <c r="AP1835" s="37"/>
      <c r="AQ1835" s="27"/>
      <c r="AR1835" s="57"/>
      <c r="AS1835" s="56">
        <f>Tabela4[[#This Row],[Total R$]]-Tabela4[[#This Row],[Total Pago]]</f>
        <v>0</v>
      </c>
      <c r="AT1835" s="36"/>
    </row>
    <row r="1836" spans="2:46" x14ac:dyDescent="0.25">
      <c r="B1836" s="44"/>
      <c r="D1836" s="349"/>
      <c r="E1836" s="33"/>
      <c r="F1836" s="33"/>
      <c r="G1836" s="33"/>
      <c r="H1836" s="33"/>
      <c r="I1836" s="33"/>
      <c r="J1836" s="33"/>
      <c r="K1836" s="33"/>
      <c r="L1836" s="561"/>
      <c r="M1836" s="33"/>
      <c r="N1836" s="33"/>
      <c r="O1836" s="33"/>
      <c r="P1836" s="184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44"/>
      <c r="AP1836" s="37"/>
      <c r="AQ1836" s="27"/>
      <c r="AR1836" s="57"/>
      <c r="AS1836" s="56">
        <f>Tabela4[[#This Row],[Total R$]]-Tabela4[[#This Row],[Total Pago]]</f>
        <v>0</v>
      </c>
      <c r="AT1836" s="36"/>
    </row>
    <row r="1837" spans="2:46" x14ac:dyDescent="0.25">
      <c r="B1837" s="44"/>
      <c r="D1837" s="349"/>
      <c r="E1837" s="33"/>
      <c r="F1837" s="33"/>
      <c r="G1837" s="33"/>
      <c r="H1837" s="33"/>
      <c r="I1837" s="33"/>
      <c r="J1837" s="33"/>
      <c r="K1837" s="33"/>
      <c r="L1837" s="561"/>
      <c r="M1837" s="33"/>
      <c r="N1837" s="33"/>
      <c r="O1837" s="33"/>
      <c r="P1837" s="184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44"/>
      <c r="AP1837" s="37"/>
      <c r="AQ1837" s="27"/>
      <c r="AR1837" s="57"/>
      <c r="AS1837" s="56">
        <f>Tabela4[[#This Row],[Total R$]]-Tabela4[[#This Row],[Total Pago]]</f>
        <v>0</v>
      </c>
      <c r="AT1837" s="36"/>
    </row>
    <row r="1838" spans="2:46" x14ac:dyDescent="0.25">
      <c r="B1838" s="44"/>
      <c r="D1838" s="349"/>
      <c r="E1838" s="33"/>
      <c r="F1838" s="33"/>
      <c r="G1838" s="33"/>
      <c r="H1838" s="33"/>
      <c r="I1838" s="33"/>
      <c r="J1838" s="33"/>
      <c r="K1838" s="33"/>
      <c r="L1838" s="561"/>
      <c r="M1838" s="33"/>
      <c r="N1838" s="33"/>
      <c r="O1838" s="33"/>
      <c r="P1838" s="184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44"/>
      <c r="AP1838" s="37"/>
      <c r="AQ1838" s="27"/>
      <c r="AR1838" s="57"/>
      <c r="AS1838" s="56">
        <f>Tabela4[[#This Row],[Total R$]]-Tabela4[[#This Row],[Total Pago]]</f>
        <v>0</v>
      </c>
      <c r="AT1838" s="36"/>
    </row>
    <row r="1839" spans="2:46" x14ac:dyDescent="0.25">
      <c r="B1839" s="44"/>
      <c r="D1839" s="349"/>
      <c r="E1839" s="33"/>
      <c r="F1839" s="33"/>
      <c r="G1839" s="33"/>
      <c r="H1839" s="33"/>
      <c r="I1839" s="33"/>
      <c r="J1839" s="33"/>
      <c r="K1839" s="33"/>
      <c r="L1839" s="561"/>
      <c r="M1839" s="33"/>
      <c r="N1839" s="33"/>
      <c r="O1839" s="33"/>
      <c r="P1839" s="184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44"/>
      <c r="AP1839" s="37"/>
      <c r="AQ1839" s="27"/>
      <c r="AR1839" s="57"/>
      <c r="AS1839" s="56">
        <f>Tabela4[[#This Row],[Total R$]]-Tabela4[[#This Row],[Total Pago]]</f>
        <v>0</v>
      </c>
      <c r="AT1839" s="36"/>
    </row>
    <row r="1840" spans="2:46" x14ac:dyDescent="0.25">
      <c r="B1840" s="44"/>
      <c r="D1840" s="349"/>
      <c r="E1840" s="33"/>
      <c r="F1840" s="33"/>
      <c r="G1840" s="33"/>
      <c r="H1840" s="33"/>
      <c r="I1840" s="33"/>
      <c r="J1840" s="33"/>
      <c r="K1840" s="33"/>
      <c r="L1840" s="561"/>
      <c r="M1840" s="33"/>
      <c r="N1840" s="33"/>
      <c r="O1840" s="33"/>
      <c r="P1840" s="184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44"/>
      <c r="AP1840" s="37"/>
      <c r="AQ1840" s="27"/>
      <c r="AR1840" s="57"/>
      <c r="AS1840" s="56">
        <f>Tabela4[[#This Row],[Total R$]]-Tabela4[[#This Row],[Total Pago]]</f>
        <v>0</v>
      </c>
      <c r="AT1840" s="36"/>
    </row>
    <row r="1841" spans="2:46" x14ac:dyDescent="0.25">
      <c r="B1841" s="44"/>
      <c r="D1841" s="349"/>
      <c r="E1841" s="33"/>
      <c r="F1841" s="33"/>
      <c r="G1841" s="33"/>
      <c r="H1841" s="33"/>
      <c r="I1841" s="33"/>
      <c r="J1841" s="33"/>
      <c r="K1841" s="33"/>
      <c r="L1841" s="561"/>
      <c r="M1841" s="33"/>
      <c r="N1841" s="33"/>
      <c r="O1841" s="33"/>
      <c r="P1841" s="184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44"/>
      <c r="AP1841" s="37"/>
      <c r="AQ1841" s="27"/>
      <c r="AR1841" s="57"/>
      <c r="AS1841" s="56">
        <f>Tabela4[[#This Row],[Total R$]]-Tabela4[[#This Row],[Total Pago]]</f>
        <v>0</v>
      </c>
      <c r="AT1841" s="36"/>
    </row>
    <row r="1842" spans="2:46" x14ac:dyDescent="0.25">
      <c r="B1842" s="44"/>
      <c r="D1842" s="349"/>
      <c r="E1842" s="33"/>
      <c r="F1842" s="33"/>
      <c r="G1842" s="33"/>
      <c r="H1842" s="33"/>
      <c r="I1842" s="33"/>
      <c r="J1842" s="33"/>
      <c r="K1842" s="33"/>
      <c r="L1842" s="561"/>
      <c r="M1842" s="33"/>
      <c r="N1842" s="33"/>
      <c r="O1842" s="33"/>
      <c r="P1842" s="184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44"/>
      <c r="AP1842" s="37"/>
      <c r="AQ1842" s="27"/>
      <c r="AR1842" s="57"/>
      <c r="AS1842" s="56">
        <f>Tabela4[[#This Row],[Total R$]]-Tabela4[[#This Row],[Total Pago]]</f>
        <v>0</v>
      </c>
      <c r="AT1842" s="36"/>
    </row>
    <row r="1843" spans="2:46" x14ac:dyDescent="0.25">
      <c r="B1843" s="44"/>
      <c r="D1843" s="349"/>
      <c r="E1843" s="33"/>
      <c r="F1843" s="33"/>
      <c r="G1843" s="33"/>
      <c r="H1843" s="33"/>
      <c r="I1843" s="33"/>
      <c r="J1843" s="33"/>
      <c r="K1843" s="33"/>
      <c r="L1843" s="561"/>
      <c r="M1843" s="33"/>
      <c r="N1843" s="33"/>
      <c r="O1843" s="33"/>
      <c r="P1843" s="184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44"/>
      <c r="AP1843" s="37"/>
      <c r="AQ1843" s="27"/>
      <c r="AR1843" s="57"/>
      <c r="AS1843" s="56">
        <f>Tabela4[[#This Row],[Total R$]]-Tabela4[[#This Row],[Total Pago]]</f>
        <v>0</v>
      </c>
      <c r="AT1843" s="36"/>
    </row>
    <row r="1844" spans="2:46" x14ac:dyDescent="0.25">
      <c r="B1844" s="44"/>
      <c r="D1844" s="349"/>
      <c r="E1844" s="33"/>
      <c r="F1844" s="33"/>
      <c r="G1844" s="33"/>
      <c r="H1844" s="33"/>
      <c r="I1844" s="33"/>
      <c r="J1844" s="33"/>
      <c r="K1844" s="33"/>
      <c r="L1844" s="561"/>
      <c r="M1844" s="33"/>
      <c r="N1844" s="33"/>
      <c r="O1844" s="33"/>
      <c r="P1844" s="184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44"/>
      <c r="AP1844" s="37"/>
      <c r="AQ1844" s="27"/>
      <c r="AR1844" s="57"/>
      <c r="AS1844" s="56">
        <f>Tabela4[[#This Row],[Total R$]]-Tabela4[[#This Row],[Total Pago]]</f>
        <v>0</v>
      </c>
      <c r="AT1844" s="36"/>
    </row>
    <row r="1845" spans="2:46" x14ac:dyDescent="0.25">
      <c r="B1845" s="44"/>
      <c r="D1845" s="349"/>
      <c r="E1845" s="33"/>
      <c r="F1845" s="33"/>
      <c r="G1845" s="33"/>
      <c r="H1845" s="33"/>
      <c r="I1845" s="33"/>
      <c r="J1845" s="33"/>
      <c r="K1845" s="33"/>
      <c r="L1845" s="561"/>
      <c r="M1845" s="33"/>
      <c r="N1845" s="33"/>
      <c r="O1845" s="33"/>
      <c r="P1845" s="184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44"/>
      <c r="AP1845" s="37"/>
      <c r="AQ1845" s="27"/>
      <c r="AR1845" s="57"/>
      <c r="AS1845" s="56">
        <f>Tabela4[[#This Row],[Total R$]]-Tabela4[[#This Row],[Total Pago]]</f>
        <v>0</v>
      </c>
      <c r="AT1845" s="36"/>
    </row>
    <row r="1846" spans="2:46" x14ac:dyDescent="0.25">
      <c r="B1846" s="44"/>
      <c r="D1846" s="349"/>
      <c r="E1846" s="33"/>
      <c r="F1846" s="33"/>
      <c r="G1846" s="33"/>
      <c r="H1846" s="33"/>
      <c r="I1846" s="33"/>
      <c r="J1846" s="33"/>
      <c r="K1846" s="33"/>
      <c r="L1846" s="561"/>
      <c r="M1846" s="33"/>
      <c r="N1846" s="33"/>
      <c r="O1846" s="33"/>
      <c r="P1846" s="184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44"/>
      <c r="AP1846" s="37"/>
      <c r="AQ1846" s="27"/>
      <c r="AR1846" s="57"/>
      <c r="AS1846" s="56">
        <f>Tabela4[[#This Row],[Total R$]]-Tabela4[[#This Row],[Total Pago]]</f>
        <v>0</v>
      </c>
      <c r="AT1846" s="36"/>
    </row>
    <row r="1847" spans="2:46" x14ac:dyDescent="0.25">
      <c r="B1847" s="44"/>
      <c r="D1847" s="349"/>
      <c r="E1847" s="33"/>
      <c r="F1847" s="33"/>
      <c r="G1847" s="33"/>
      <c r="H1847" s="33"/>
      <c r="I1847" s="33"/>
      <c r="J1847" s="33"/>
      <c r="K1847" s="33"/>
      <c r="L1847" s="561"/>
      <c r="M1847" s="33"/>
      <c r="N1847" s="33"/>
      <c r="O1847" s="33"/>
      <c r="P1847" s="184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44"/>
      <c r="AP1847" s="37"/>
      <c r="AQ1847" s="27"/>
      <c r="AR1847" s="57"/>
      <c r="AS1847" s="56">
        <f>Tabela4[[#This Row],[Total R$]]-Tabela4[[#This Row],[Total Pago]]</f>
        <v>0</v>
      </c>
      <c r="AT1847" s="36"/>
    </row>
    <row r="1848" spans="2:46" x14ac:dyDescent="0.25">
      <c r="B1848" s="44"/>
      <c r="D1848" s="349"/>
      <c r="E1848" s="33"/>
      <c r="F1848" s="33"/>
      <c r="G1848" s="33"/>
      <c r="H1848" s="33"/>
      <c r="I1848" s="33"/>
      <c r="J1848" s="33"/>
      <c r="K1848" s="33"/>
      <c r="L1848" s="561"/>
      <c r="M1848" s="33"/>
      <c r="N1848" s="33"/>
      <c r="O1848" s="33"/>
      <c r="P1848" s="184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44"/>
      <c r="AP1848" s="37"/>
      <c r="AQ1848" s="27"/>
      <c r="AR1848" s="57"/>
      <c r="AS1848" s="56">
        <f>Tabela4[[#This Row],[Total R$]]-Tabela4[[#This Row],[Total Pago]]</f>
        <v>0</v>
      </c>
      <c r="AT1848" s="36"/>
    </row>
    <row r="1849" spans="2:46" x14ac:dyDescent="0.25">
      <c r="B1849" s="44"/>
      <c r="D1849" s="349"/>
      <c r="E1849" s="33"/>
      <c r="F1849" s="33"/>
      <c r="G1849" s="33"/>
      <c r="H1849" s="33"/>
      <c r="I1849" s="33"/>
      <c r="J1849" s="33"/>
      <c r="K1849" s="33"/>
      <c r="L1849" s="561"/>
      <c r="M1849" s="33"/>
      <c r="N1849" s="33"/>
      <c r="O1849" s="33"/>
      <c r="P1849" s="184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44"/>
      <c r="AP1849" s="37"/>
      <c r="AQ1849" s="27"/>
      <c r="AR1849" s="57"/>
      <c r="AS1849" s="56">
        <f>Tabela4[[#This Row],[Total R$]]-Tabela4[[#This Row],[Total Pago]]</f>
        <v>0</v>
      </c>
      <c r="AT1849" s="36"/>
    </row>
    <row r="1850" spans="2:46" x14ac:dyDescent="0.25">
      <c r="B1850" s="44"/>
      <c r="D1850" s="349"/>
      <c r="E1850" s="33"/>
      <c r="F1850" s="33"/>
      <c r="G1850" s="33"/>
      <c r="H1850" s="33"/>
      <c r="I1850" s="33"/>
      <c r="J1850" s="33"/>
      <c r="K1850" s="33"/>
      <c r="L1850" s="561"/>
      <c r="M1850" s="33"/>
      <c r="N1850" s="33"/>
      <c r="O1850" s="33"/>
      <c r="P1850" s="184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44"/>
      <c r="AP1850" s="37"/>
      <c r="AQ1850" s="27"/>
      <c r="AR1850" s="57"/>
      <c r="AS1850" s="56">
        <f>Tabela4[[#This Row],[Total R$]]-Tabela4[[#This Row],[Total Pago]]</f>
        <v>0</v>
      </c>
      <c r="AT1850" s="36"/>
    </row>
    <row r="1851" spans="2:46" x14ac:dyDescent="0.25">
      <c r="B1851" s="44"/>
      <c r="D1851" s="349"/>
      <c r="E1851" s="33"/>
      <c r="F1851" s="33"/>
      <c r="G1851" s="33"/>
      <c r="H1851" s="33"/>
      <c r="I1851" s="33"/>
      <c r="J1851" s="33"/>
      <c r="K1851" s="33"/>
      <c r="L1851" s="561"/>
      <c r="M1851" s="33"/>
      <c r="N1851" s="33"/>
      <c r="O1851" s="33"/>
      <c r="P1851" s="184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44"/>
      <c r="AP1851" s="37"/>
      <c r="AQ1851" s="27"/>
      <c r="AR1851" s="57"/>
      <c r="AS1851" s="56">
        <f>Tabela4[[#This Row],[Total R$]]-Tabela4[[#This Row],[Total Pago]]</f>
        <v>0</v>
      </c>
      <c r="AT1851" s="36"/>
    </row>
    <row r="1852" spans="2:46" x14ac:dyDescent="0.25">
      <c r="B1852" s="44"/>
      <c r="D1852" s="349"/>
      <c r="E1852" s="33"/>
      <c r="F1852" s="33"/>
      <c r="G1852" s="33"/>
      <c r="H1852" s="33"/>
      <c r="I1852" s="33"/>
      <c r="J1852" s="33"/>
      <c r="K1852" s="33"/>
      <c r="L1852" s="561"/>
      <c r="M1852" s="33"/>
      <c r="N1852" s="33"/>
      <c r="O1852" s="33"/>
      <c r="P1852" s="184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44"/>
      <c r="AP1852" s="37"/>
      <c r="AQ1852" s="27"/>
      <c r="AR1852" s="57"/>
      <c r="AS1852" s="56">
        <f>Tabela4[[#This Row],[Total R$]]-Tabela4[[#This Row],[Total Pago]]</f>
        <v>0</v>
      </c>
      <c r="AT1852" s="36"/>
    </row>
    <row r="1853" spans="2:46" x14ac:dyDescent="0.25">
      <c r="B1853" s="44"/>
      <c r="D1853" s="349"/>
      <c r="E1853" s="33"/>
      <c r="F1853" s="33"/>
      <c r="G1853" s="33"/>
      <c r="H1853" s="33"/>
      <c r="I1853" s="33"/>
      <c r="J1853" s="33"/>
      <c r="K1853" s="33"/>
      <c r="L1853" s="561"/>
      <c r="M1853" s="33"/>
      <c r="N1853" s="33"/>
      <c r="O1853" s="33"/>
      <c r="P1853" s="184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44"/>
      <c r="AP1853" s="37"/>
      <c r="AQ1853" s="27"/>
      <c r="AR1853" s="57"/>
      <c r="AS1853" s="56">
        <f>Tabela4[[#This Row],[Total R$]]-Tabela4[[#This Row],[Total Pago]]</f>
        <v>0</v>
      </c>
      <c r="AT1853" s="36"/>
    </row>
    <row r="1854" spans="2:46" x14ac:dyDescent="0.25">
      <c r="B1854" s="44"/>
      <c r="D1854" s="349"/>
      <c r="E1854" s="33"/>
      <c r="F1854" s="33"/>
      <c r="G1854" s="33"/>
      <c r="H1854" s="33"/>
      <c r="I1854" s="33"/>
      <c r="J1854" s="33"/>
      <c r="K1854" s="33"/>
      <c r="L1854" s="561"/>
      <c r="M1854" s="33"/>
      <c r="N1854" s="33"/>
      <c r="O1854" s="33"/>
      <c r="P1854" s="184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44"/>
      <c r="AP1854" s="37"/>
      <c r="AQ1854" s="27"/>
      <c r="AR1854" s="57"/>
      <c r="AS1854" s="56">
        <f>Tabela4[[#This Row],[Total R$]]-Tabela4[[#This Row],[Total Pago]]</f>
        <v>0</v>
      </c>
      <c r="AT1854" s="36"/>
    </row>
    <row r="1855" spans="2:46" x14ac:dyDescent="0.25">
      <c r="B1855" s="44"/>
      <c r="D1855" s="349"/>
      <c r="E1855" s="33"/>
      <c r="F1855" s="33"/>
      <c r="G1855" s="33"/>
      <c r="H1855" s="33"/>
      <c r="I1855" s="33"/>
      <c r="J1855" s="33"/>
      <c r="K1855" s="33"/>
      <c r="L1855" s="561"/>
      <c r="M1855" s="33"/>
      <c r="N1855" s="33"/>
      <c r="O1855" s="33"/>
      <c r="P1855" s="184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44"/>
      <c r="AP1855" s="37"/>
      <c r="AQ1855" s="27"/>
      <c r="AR1855" s="57"/>
      <c r="AS1855" s="56">
        <f>Tabela4[[#This Row],[Total R$]]-Tabela4[[#This Row],[Total Pago]]</f>
        <v>0</v>
      </c>
      <c r="AT1855" s="36"/>
    </row>
    <row r="1856" spans="2:46" x14ac:dyDescent="0.25">
      <c r="B1856" s="44"/>
      <c r="D1856" s="349"/>
      <c r="E1856" s="33"/>
      <c r="F1856" s="33"/>
      <c r="G1856" s="33"/>
      <c r="H1856" s="33"/>
      <c r="I1856" s="33"/>
      <c r="J1856" s="33"/>
      <c r="K1856" s="33"/>
      <c r="L1856" s="561"/>
      <c r="M1856" s="33"/>
      <c r="N1856" s="33"/>
      <c r="O1856" s="33"/>
      <c r="P1856" s="184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44"/>
      <c r="AP1856" s="37"/>
      <c r="AQ1856" s="27"/>
      <c r="AR1856" s="57"/>
      <c r="AS1856" s="56">
        <f>Tabela4[[#This Row],[Total R$]]-Tabela4[[#This Row],[Total Pago]]</f>
        <v>0</v>
      </c>
      <c r="AT1856" s="36"/>
    </row>
    <row r="1857" spans="2:46" x14ac:dyDescent="0.25">
      <c r="B1857" s="44"/>
      <c r="D1857" s="349"/>
      <c r="E1857" s="33"/>
      <c r="F1857" s="33"/>
      <c r="G1857" s="33"/>
      <c r="H1857" s="33"/>
      <c r="I1857" s="33"/>
      <c r="J1857" s="33"/>
      <c r="K1857" s="33"/>
      <c r="L1857" s="561"/>
      <c r="M1857" s="33"/>
      <c r="N1857" s="33"/>
      <c r="O1857" s="33"/>
      <c r="P1857" s="184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44"/>
      <c r="AP1857" s="37"/>
      <c r="AQ1857" s="27"/>
      <c r="AR1857" s="57"/>
      <c r="AS1857" s="56">
        <f>Tabela4[[#This Row],[Total R$]]-Tabela4[[#This Row],[Total Pago]]</f>
        <v>0</v>
      </c>
      <c r="AT1857" s="36"/>
    </row>
    <row r="1858" spans="2:46" x14ac:dyDescent="0.25">
      <c r="B1858" s="44"/>
      <c r="D1858" s="349"/>
      <c r="E1858" s="33"/>
      <c r="F1858" s="33"/>
      <c r="G1858" s="33"/>
      <c r="H1858" s="33"/>
      <c r="I1858" s="33"/>
      <c r="J1858" s="33"/>
      <c r="K1858" s="33"/>
      <c r="L1858" s="561"/>
      <c r="M1858" s="33"/>
      <c r="N1858" s="33"/>
      <c r="O1858" s="33"/>
      <c r="P1858" s="184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44"/>
      <c r="AP1858" s="37"/>
      <c r="AQ1858" s="27"/>
      <c r="AR1858" s="57"/>
      <c r="AS1858" s="56">
        <f>Tabela4[[#This Row],[Total R$]]-Tabela4[[#This Row],[Total Pago]]</f>
        <v>0</v>
      </c>
      <c r="AT1858" s="36"/>
    </row>
    <row r="1859" spans="2:46" x14ac:dyDescent="0.25">
      <c r="B1859" s="44"/>
      <c r="D1859" s="349"/>
      <c r="E1859" s="33"/>
      <c r="F1859" s="33"/>
      <c r="G1859" s="33"/>
      <c r="H1859" s="33"/>
      <c r="I1859" s="33"/>
      <c r="J1859" s="33"/>
      <c r="K1859" s="33"/>
      <c r="L1859" s="561"/>
      <c r="M1859" s="33"/>
      <c r="N1859" s="33"/>
      <c r="O1859" s="33"/>
      <c r="P1859" s="184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44"/>
      <c r="AP1859" s="37"/>
      <c r="AQ1859" s="27"/>
      <c r="AR1859" s="57"/>
      <c r="AS1859" s="56">
        <f>Tabela4[[#This Row],[Total R$]]-Tabela4[[#This Row],[Total Pago]]</f>
        <v>0</v>
      </c>
      <c r="AT1859" s="36"/>
    </row>
    <row r="1860" spans="2:46" x14ac:dyDescent="0.25">
      <c r="B1860" s="44"/>
      <c r="D1860" s="349"/>
      <c r="E1860" s="33"/>
      <c r="F1860" s="33"/>
      <c r="G1860" s="33"/>
      <c r="H1860" s="33"/>
      <c r="I1860" s="33"/>
      <c r="J1860" s="33"/>
      <c r="K1860" s="33"/>
      <c r="L1860" s="561"/>
      <c r="M1860" s="33"/>
      <c r="N1860" s="33"/>
      <c r="O1860" s="33"/>
      <c r="P1860" s="184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44"/>
      <c r="AP1860" s="37"/>
      <c r="AQ1860" s="27"/>
      <c r="AR1860" s="57"/>
      <c r="AS1860" s="56">
        <f>Tabela4[[#This Row],[Total R$]]-Tabela4[[#This Row],[Total Pago]]</f>
        <v>0</v>
      </c>
      <c r="AT1860" s="36"/>
    </row>
    <row r="1861" spans="2:46" x14ac:dyDescent="0.25">
      <c r="B1861" s="44"/>
      <c r="D1861" s="349"/>
      <c r="E1861" s="33"/>
      <c r="F1861" s="33"/>
      <c r="G1861" s="33"/>
      <c r="H1861" s="33"/>
      <c r="I1861" s="33"/>
      <c r="J1861" s="33"/>
      <c r="K1861" s="33"/>
      <c r="L1861" s="561"/>
      <c r="M1861" s="33"/>
      <c r="N1861" s="33"/>
      <c r="O1861" s="33"/>
      <c r="P1861" s="184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44"/>
      <c r="AP1861" s="37"/>
      <c r="AQ1861" s="27"/>
      <c r="AR1861" s="57"/>
      <c r="AS1861" s="56">
        <f>Tabela4[[#This Row],[Total R$]]-Tabela4[[#This Row],[Total Pago]]</f>
        <v>0</v>
      </c>
      <c r="AT1861" s="36"/>
    </row>
    <row r="1862" spans="2:46" x14ac:dyDescent="0.25">
      <c r="B1862" s="44"/>
      <c r="D1862" s="349"/>
      <c r="E1862" s="33"/>
      <c r="F1862" s="33"/>
      <c r="G1862" s="33"/>
      <c r="H1862" s="33"/>
      <c r="I1862" s="33"/>
      <c r="J1862" s="33"/>
      <c r="K1862" s="33"/>
      <c r="L1862" s="561"/>
      <c r="M1862" s="33"/>
      <c r="N1862" s="33"/>
      <c r="O1862" s="33"/>
      <c r="P1862" s="184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44"/>
      <c r="AP1862" s="37"/>
      <c r="AQ1862" s="27"/>
      <c r="AR1862" s="57"/>
      <c r="AS1862" s="56">
        <f>Tabela4[[#This Row],[Total R$]]-Tabela4[[#This Row],[Total Pago]]</f>
        <v>0</v>
      </c>
      <c r="AT1862" s="36"/>
    </row>
    <row r="1863" spans="2:46" x14ac:dyDescent="0.25">
      <c r="B1863" s="44"/>
      <c r="D1863" s="349"/>
      <c r="E1863" s="33"/>
      <c r="F1863" s="33"/>
      <c r="G1863" s="33"/>
      <c r="H1863" s="33"/>
      <c r="I1863" s="33"/>
      <c r="J1863" s="33"/>
      <c r="K1863" s="33"/>
      <c r="L1863" s="561"/>
      <c r="M1863" s="33"/>
      <c r="N1863" s="33"/>
      <c r="O1863" s="33"/>
      <c r="P1863" s="184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44"/>
      <c r="AP1863" s="37"/>
      <c r="AQ1863" s="27"/>
      <c r="AR1863" s="57"/>
      <c r="AS1863" s="56">
        <f>Tabela4[[#This Row],[Total R$]]-Tabela4[[#This Row],[Total Pago]]</f>
        <v>0</v>
      </c>
      <c r="AT1863" s="36"/>
    </row>
    <row r="1864" spans="2:46" x14ac:dyDescent="0.25">
      <c r="B1864" s="44"/>
      <c r="D1864" s="349"/>
      <c r="E1864" s="33"/>
      <c r="F1864" s="33"/>
      <c r="G1864" s="33"/>
      <c r="H1864" s="33"/>
      <c r="I1864" s="33"/>
      <c r="J1864" s="33"/>
      <c r="K1864" s="33"/>
      <c r="L1864" s="561"/>
      <c r="M1864" s="33"/>
      <c r="N1864" s="33"/>
      <c r="O1864" s="33"/>
      <c r="P1864" s="184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44"/>
      <c r="AP1864" s="37"/>
      <c r="AQ1864" s="27"/>
      <c r="AR1864" s="57"/>
      <c r="AS1864" s="56">
        <f>Tabela4[[#This Row],[Total R$]]-Tabela4[[#This Row],[Total Pago]]</f>
        <v>0</v>
      </c>
      <c r="AT1864" s="36"/>
    </row>
    <row r="1865" spans="2:46" x14ac:dyDescent="0.25">
      <c r="B1865" s="44"/>
      <c r="D1865" s="349"/>
      <c r="E1865" s="33"/>
      <c r="F1865" s="33"/>
      <c r="G1865" s="33"/>
      <c r="H1865" s="33"/>
      <c r="I1865" s="33"/>
      <c r="J1865" s="33"/>
      <c r="K1865" s="33"/>
      <c r="L1865" s="561"/>
      <c r="M1865" s="33"/>
      <c r="N1865" s="33"/>
      <c r="O1865" s="33"/>
      <c r="P1865" s="184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44"/>
      <c r="AP1865" s="37"/>
      <c r="AQ1865" s="27"/>
      <c r="AR1865" s="57"/>
      <c r="AS1865" s="56">
        <f>Tabela4[[#This Row],[Total R$]]-Tabela4[[#This Row],[Total Pago]]</f>
        <v>0</v>
      </c>
      <c r="AT1865" s="36"/>
    </row>
    <row r="1866" spans="2:46" x14ac:dyDescent="0.25">
      <c r="B1866" s="44"/>
      <c r="D1866" s="349"/>
      <c r="E1866" s="33"/>
      <c r="F1866" s="33"/>
      <c r="G1866" s="33"/>
      <c r="H1866" s="33"/>
      <c r="I1866" s="33"/>
      <c r="J1866" s="33"/>
      <c r="K1866" s="33"/>
      <c r="L1866" s="561"/>
      <c r="M1866" s="33"/>
      <c r="N1866" s="33"/>
      <c r="O1866" s="33"/>
      <c r="P1866" s="184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44"/>
      <c r="AP1866" s="37"/>
      <c r="AQ1866" s="27"/>
      <c r="AR1866" s="57"/>
      <c r="AS1866" s="56">
        <f>Tabela4[[#This Row],[Total R$]]-Tabela4[[#This Row],[Total Pago]]</f>
        <v>0</v>
      </c>
      <c r="AT1866" s="36"/>
    </row>
    <row r="1867" spans="2:46" x14ac:dyDescent="0.25">
      <c r="B1867" s="44"/>
      <c r="D1867" s="349"/>
      <c r="E1867" s="33"/>
      <c r="F1867" s="33"/>
      <c r="G1867" s="33"/>
      <c r="H1867" s="33"/>
      <c r="I1867" s="33"/>
      <c r="J1867" s="33"/>
      <c r="K1867" s="33"/>
      <c r="L1867" s="561"/>
      <c r="M1867" s="33"/>
      <c r="N1867" s="33"/>
      <c r="O1867" s="33"/>
      <c r="P1867" s="184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44"/>
      <c r="AP1867" s="37"/>
      <c r="AQ1867" s="27"/>
      <c r="AR1867" s="57"/>
      <c r="AS1867" s="56">
        <f>Tabela4[[#This Row],[Total R$]]-Tabela4[[#This Row],[Total Pago]]</f>
        <v>0</v>
      </c>
      <c r="AT1867" s="36"/>
    </row>
    <row r="1868" spans="2:46" x14ac:dyDescent="0.25">
      <c r="B1868" s="44"/>
      <c r="D1868" s="349"/>
      <c r="E1868" s="33"/>
      <c r="F1868" s="33"/>
      <c r="G1868" s="33"/>
      <c r="H1868" s="33"/>
      <c r="I1868" s="33"/>
      <c r="J1868" s="33"/>
      <c r="K1868" s="33"/>
      <c r="L1868" s="561"/>
      <c r="M1868" s="33"/>
      <c r="N1868" s="33"/>
      <c r="O1868" s="33"/>
      <c r="P1868" s="184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44"/>
      <c r="AP1868" s="37"/>
      <c r="AQ1868" s="27"/>
      <c r="AR1868" s="57"/>
      <c r="AS1868" s="56">
        <f>Tabela4[[#This Row],[Total R$]]-Tabela4[[#This Row],[Total Pago]]</f>
        <v>0</v>
      </c>
      <c r="AT1868" s="36"/>
    </row>
    <row r="1869" spans="2:46" x14ac:dyDescent="0.25">
      <c r="B1869" s="44"/>
      <c r="D1869" s="349"/>
      <c r="E1869" s="33"/>
      <c r="F1869" s="33"/>
      <c r="G1869" s="33"/>
      <c r="H1869" s="33"/>
      <c r="I1869" s="33"/>
      <c r="J1869" s="33"/>
      <c r="K1869" s="33"/>
      <c r="L1869" s="561"/>
      <c r="M1869" s="33"/>
      <c r="N1869" s="33"/>
      <c r="O1869" s="33"/>
      <c r="P1869" s="184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44"/>
      <c r="AP1869" s="37"/>
      <c r="AQ1869" s="27"/>
      <c r="AR1869" s="57"/>
      <c r="AS1869" s="56">
        <f>Tabela4[[#This Row],[Total R$]]-Tabela4[[#This Row],[Total Pago]]</f>
        <v>0</v>
      </c>
      <c r="AT1869" s="36"/>
    </row>
    <row r="1870" spans="2:46" x14ac:dyDescent="0.25">
      <c r="B1870" s="44"/>
      <c r="D1870" s="349"/>
      <c r="E1870" s="33"/>
      <c r="F1870" s="33"/>
      <c r="G1870" s="33"/>
      <c r="H1870" s="33"/>
      <c r="I1870" s="33"/>
      <c r="J1870" s="33"/>
      <c r="K1870" s="33"/>
      <c r="L1870" s="561"/>
      <c r="M1870" s="33"/>
      <c r="N1870" s="33"/>
      <c r="O1870" s="33"/>
      <c r="P1870" s="184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44"/>
      <c r="AP1870" s="37"/>
      <c r="AQ1870" s="27"/>
      <c r="AR1870" s="57"/>
      <c r="AS1870" s="56">
        <f>Tabela4[[#This Row],[Total R$]]-Tabela4[[#This Row],[Total Pago]]</f>
        <v>0</v>
      </c>
      <c r="AT1870" s="36"/>
    </row>
    <row r="1871" spans="2:46" x14ac:dyDescent="0.25">
      <c r="B1871" s="44"/>
      <c r="D1871" s="349"/>
      <c r="E1871" s="33"/>
      <c r="F1871" s="33"/>
      <c r="G1871" s="33"/>
      <c r="H1871" s="33"/>
      <c r="I1871" s="33"/>
      <c r="J1871" s="33"/>
      <c r="K1871" s="33"/>
      <c r="L1871" s="561"/>
      <c r="M1871" s="33"/>
      <c r="N1871" s="33"/>
      <c r="O1871" s="33"/>
      <c r="P1871" s="184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44"/>
      <c r="AP1871" s="37"/>
      <c r="AQ1871" s="27"/>
      <c r="AR1871" s="57"/>
      <c r="AS1871" s="56">
        <f>Tabela4[[#This Row],[Total R$]]-Tabela4[[#This Row],[Total Pago]]</f>
        <v>0</v>
      </c>
      <c r="AT1871" s="36"/>
    </row>
    <row r="1872" spans="2:46" x14ac:dyDescent="0.25">
      <c r="B1872" s="44"/>
      <c r="D1872" s="349"/>
      <c r="E1872" s="33"/>
      <c r="F1872" s="33"/>
      <c r="G1872" s="33"/>
      <c r="H1872" s="33"/>
      <c r="I1872" s="33"/>
      <c r="J1872" s="33"/>
      <c r="K1872" s="33"/>
      <c r="L1872" s="561"/>
      <c r="M1872" s="33"/>
      <c r="N1872" s="33"/>
      <c r="O1872" s="33"/>
      <c r="P1872" s="184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44"/>
      <c r="AP1872" s="37"/>
      <c r="AQ1872" s="27"/>
      <c r="AR1872" s="57"/>
      <c r="AS1872" s="56">
        <f>Tabela4[[#This Row],[Total R$]]-Tabela4[[#This Row],[Total Pago]]</f>
        <v>0</v>
      </c>
      <c r="AT1872" s="36"/>
    </row>
    <row r="1873" spans="2:46" x14ac:dyDescent="0.25">
      <c r="B1873" s="44"/>
      <c r="D1873" s="349"/>
      <c r="E1873" s="33"/>
      <c r="F1873" s="33"/>
      <c r="G1873" s="33"/>
      <c r="H1873" s="33"/>
      <c r="I1873" s="33"/>
      <c r="J1873" s="33"/>
      <c r="K1873" s="33"/>
      <c r="L1873" s="561"/>
      <c r="M1873" s="33"/>
      <c r="N1873" s="33"/>
      <c r="O1873" s="33"/>
      <c r="P1873" s="184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44"/>
      <c r="AP1873" s="37"/>
      <c r="AQ1873" s="27"/>
      <c r="AR1873" s="57"/>
      <c r="AS1873" s="56">
        <f>Tabela4[[#This Row],[Total R$]]-Tabela4[[#This Row],[Total Pago]]</f>
        <v>0</v>
      </c>
      <c r="AT1873" s="36"/>
    </row>
    <row r="1874" spans="2:46" x14ac:dyDescent="0.25">
      <c r="B1874" s="44"/>
      <c r="D1874" s="349"/>
      <c r="E1874" s="33"/>
      <c r="F1874" s="33"/>
      <c r="G1874" s="33"/>
      <c r="H1874" s="33"/>
      <c r="I1874" s="33"/>
      <c r="J1874" s="33"/>
      <c r="K1874" s="33"/>
      <c r="L1874" s="561"/>
      <c r="M1874" s="33"/>
      <c r="N1874" s="33"/>
      <c r="O1874" s="33"/>
      <c r="P1874" s="184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44"/>
      <c r="AP1874" s="37"/>
      <c r="AQ1874" s="27"/>
      <c r="AR1874" s="57"/>
      <c r="AS1874" s="56">
        <f>Tabela4[[#This Row],[Total R$]]-Tabela4[[#This Row],[Total Pago]]</f>
        <v>0</v>
      </c>
      <c r="AT1874" s="36"/>
    </row>
    <row r="1875" spans="2:46" x14ac:dyDescent="0.25">
      <c r="B1875" s="44"/>
      <c r="D1875" s="349"/>
      <c r="E1875" s="33"/>
      <c r="F1875" s="33"/>
      <c r="G1875" s="33"/>
      <c r="H1875" s="33"/>
      <c r="I1875" s="33"/>
      <c r="J1875" s="33"/>
      <c r="K1875" s="33"/>
      <c r="L1875" s="561"/>
      <c r="M1875" s="33"/>
      <c r="N1875" s="33"/>
      <c r="O1875" s="33"/>
      <c r="P1875" s="184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44"/>
      <c r="AP1875" s="37"/>
      <c r="AQ1875" s="27"/>
      <c r="AR1875" s="57"/>
      <c r="AS1875" s="56">
        <f>Tabela4[[#This Row],[Total R$]]-Tabela4[[#This Row],[Total Pago]]</f>
        <v>0</v>
      </c>
      <c r="AT1875" s="36"/>
    </row>
    <row r="1876" spans="2:46" x14ac:dyDescent="0.25">
      <c r="B1876" s="44"/>
      <c r="D1876" s="349"/>
      <c r="E1876" s="33"/>
      <c r="F1876" s="33"/>
      <c r="G1876" s="33"/>
      <c r="H1876" s="33"/>
      <c r="I1876" s="33"/>
      <c r="J1876" s="33"/>
      <c r="K1876" s="33"/>
      <c r="L1876" s="561"/>
      <c r="M1876" s="33"/>
      <c r="N1876" s="33"/>
      <c r="O1876" s="33"/>
      <c r="P1876" s="184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44"/>
      <c r="AP1876" s="37"/>
      <c r="AQ1876" s="27"/>
      <c r="AR1876" s="57"/>
      <c r="AS1876" s="56">
        <f>Tabela4[[#This Row],[Total R$]]-Tabela4[[#This Row],[Total Pago]]</f>
        <v>0</v>
      </c>
      <c r="AT1876" s="36"/>
    </row>
    <row r="1877" spans="2:46" x14ac:dyDescent="0.25">
      <c r="B1877" s="44"/>
      <c r="D1877" s="349"/>
      <c r="E1877" s="33"/>
      <c r="F1877" s="33"/>
      <c r="G1877" s="33"/>
      <c r="H1877" s="33"/>
      <c r="I1877" s="33"/>
      <c r="J1877" s="33"/>
      <c r="K1877" s="33"/>
      <c r="L1877" s="561"/>
      <c r="M1877" s="33"/>
      <c r="N1877" s="33"/>
      <c r="O1877" s="33"/>
      <c r="P1877" s="184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44"/>
      <c r="AP1877" s="37"/>
      <c r="AQ1877" s="27"/>
      <c r="AR1877" s="57"/>
      <c r="AS1877" s="56">
        <f>Tabela4[[#This Row],[Total R$]]-Tabela4[[#This Row],[Total Pago]]</f>
        <v>0</v>
      </c>
      <c r="AT1877" s="36"/>
    </row>
    <row r="1878" spans="2:46" x14ac:dyDescent="0.25">
      <c r="B1878" s="44"/>
      <c r="D1878" s="349"/>
      <c r="E1878" s="33"/>
      <c r="F1878" s="33"/>
      <c r="G1878" s="33"/>
      <c r="H1878" s="33"/>
      <c r="I1878" s="33"/>
      <c r="J1878" s="33"/>
      <c r="K1878" s="33"/>
      <c r="L1878" s="561"/>
      <c r="M1878" s="33"/>
      <c r="N1878" s="33"/>
      <c r="O1878" s="33"/>
      <c r="P1878" s="184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44"/>
      <c r="AP1878" s="37"/>
      <c r="AQ1878" s="27"/>
      <c r="AR1878" s="57"/>
      <c r="AS1878" s="56">
        <f>Tabela4[[#This Row],[Total R$]]-Tabela4[[#This Row],[Total Pago]]</f>
        <v>0</v>
      </c>
      <c r="AT1878" s="36"/>
    </row>
    <row r="1879" spans="2:46" x14ac:dyDescent="0.25">
      <c r="B1879" s="44"/>
      <c r="D1879" s="349"/>
      <c r="E1879" s="33"/>
      <c r="F1879" s="33"/>
      <c r="G1879" s="33"/>
      <c r="H1879" s="33"/>
      <c r="I1879" s="33"/>
      <c r="J1879" s="33"/>
      <c r="K1879" s="33"/>
      <c r="L1879" s="561"/>
      <c r="M1879" s="33"/>
      <c r="N1879" s="33"/>
      <c r="O1879" s="33"/>
      <c r="P1879" s="184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44"/>
      <c r="AP1879" s="37"/>
      <c r="AQ1879" s="27"/>
      <c r="AR1879" s="57"/>
      <c r="AS1879" s="56">
        <f>Tabela4[[#This Row],[Total R$]]-Tabela4[[#This Row],[Total Pago]]</f>
        <v>0</v>
      </c>
      <c r="AT1879" s="36"/>
    </row>
    <row r="1880" spans="2:46" x14ac:dyDescent="0.25">
      <c r="B1880" s="44"/>
      <c r="D1880" s="349"/>
      <c r="E1880" s="33"/>
      <c r="F1880" s="33"/>
      <c r="G1880" s="33"/>
      <c r="H1880" s="33"/>
      <c r="I1880" s="33"/>
      <c r="J1880" s="33"/>
      <c r="K1880" s="33"/>
      <c r="L1880" s="561"/>
      <c r="M1880" s="33"/>
      <c r="N1880" s="33"/>
      <c r="O1880" s="33"/>
      <c r="P1880" s="184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44"/>
      <c r="AP1880" s="37"/>
      <c r="AQ1880" s="27"/>
      <c r="AR1880" s="57"/>
      <c r="AS1880" s="56">
        <f>Tabela4[[#This Row],[Total R$]]-Tabela4[[#This Row],[Total Pago]]</f>
        <v>0</v>
      </c>
      <c r="AT1880" s="36"/>
    </row>
    <row r="1881" spans="2:46" x14ac:dyDescent="0.25">
      <c r="B1881" s="44"/>
      <c r="D1881" s="349"/>
      <c r="E1881" s="33"/>
      <c r="F1881" s="33"/>
      <c r="G1881" s="33"/>
      <c r="H1881" s="33"/>
      <c r="I1881" s="33"/>
      <c r="J1881" s="33"/>
      <c r="K1881" s="33"/>
      <c r="L1881" s="561"/>
      <c r="M1881" s="33"/>
      <c r="N1881" s="33"/>
      <c r="O1881" s="33"/>
      <c r="P1881" s="184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44"/>
      <c r="AP1881" s="37"/>
      <c r="AQ1881" s="27"/>
      <c r="AR1881" s="57"/>
      <c r="AS1881" s="56">
        <f>Tabela4[[#This Row],[Total R$]]-Tabela4[[#This Row],[Total Pago]]</f>
        <v>0</v>
      </c>
      <c r="AT1881" s="36"/>
    </row>
    <row r="1882" spans="2:46" x14ac:dyDescent="0.25">
      <c r="B1882" s="44"/>
      <c r="D1882" s="349"/>
      <c r="E1882" s="33"/>
      <c r="F1882" s="33"/>
      <c r="G1882" s="33"/>
      <c r="H1882" s="33"/>
      <c r="I1882" s="33"/>
      <c r="J1882" s="33"/>
      <c r="K1882" s="33"/>
      <c r="L1882" s="561"/>
      <c r="M1882" s="33"/>
      <c r="N1882" s="33"/>
      <c r="O1882" s="33"/>
      <c r="P1882" s="184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44"/>
      <c r="AP1882" s="37"/>
      <c r="AQ1882" s="27"/>
      <c r="AR1882" s="57"/>
      <c r="AS1882" s="56">
        <f>Tabela4[[#This Row],[Total R$]]-Tabela4[[#This Row],[Total Pago]]</f>
        <v>0</v>
      </c>
      <c r="AT1882" s="36"/>
    </row>
    <row r="1883" spans="2:46" x14ac:dyDescent="0.25">
      <c r="B1883" s="44"/>
      <c r="D1883" s="349"/>
      <c r="E1883" s="33"/>
      <c r="F1883" s="33"/>
      <c r="G1883" s="33"/>
      <c r="H1883" s="33"/>
      <c r="I1883" s="33"/>
      <c r="J1883" s="33"/>
      <c r="K1883" s="33"/>
      <c r="L1883" s="561"/>
      <c r="M1883" s="33"/>
      <c r="N1883" s="33"/>
      <c r="O1883" s="33"/>
      <c r="P1883" s="184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44"/>
      <c r="AP1883" s="37"/>
      <c r="AQ1883" s="27"/>
      <c r="AR1883" s="57"/>
      <c r="AS1883" s="56">
        <f>Tabela4[[#This Row],[Total R$]]-Tabela4[[#This Row],[Total Pago]]</f>
        <v>0</v>
      </c>
      <c r="AT1883" s="36"/>
    </row>
    <row r="1884" spans="2:46" x14ac:dyDescent="0.25">
      <c r="B1884" s="44"/>
      <c r="D1884" s="349"/>
      <c r="E1884" s="33"/>
      <c r="F1884" s="33"/>
      <c r="G1884" s="33"/>
      <c r="H1884" s="33"/>
      <c r="I1884" s="33"/>
      <c r="J1884" s="33"/>
      <c r="K1884" s="33"/>
      <c r="L1884" s="561"/>
      <c r="M1884" s="33"/>
      <c r="N1884" s="33"/>
      <c r="O1884" s="33"/>
      <c r="P1884" s="184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44"/>
      <c r="AP1884" s="37"/>
      <c r="AQ1884" s="27"/>
      <c r="AR1884" s="57"/>
      <c r="AS1884" s="56">
        <f>Tabela4[[#This Row],[Total R$]]-Tabela4[[#This Row],[Total Pago]]</f>
        <v>0</v>
      </c>
      <c r="AT1884" s="36"/>
    </row>
    <row r="1885" spans="2:46" x14ac:dyDescent="0.25">
      <c r="B1885" s="44"/>
      <c r="D1885" s="349"/>
      <c r="E1885" s="33"/>
      <c r="F1885" s="33"/>
      <c r="G1885" s="33"/>
      <c r="H1885" s="33"/>
      <c r="I1885" s="33"/>
      <c r="J1885" s="33"/>
      <c r="K1885" s="33"/>
      <c r="L1885" s="561"/>
      <c r="M1885" s="33"/>
      <c r="N1885" s="33"/>
      <c r="O1885" s="33"/>
      <c r="P1885" s="184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44"/>
      <c r="AP1885" s="37"/>
      <c r="AQ1885" s="27"/>
      <c r="AR1885" s="57"/>
      <c r="AS1885" s="56">
        <f>Tabela4[[#This Row],[Total R$]]-Tabela4[[#This Row],[Total Pago]]</f>
        <v>0</v>
      </c>
      <c r="AT1885" s="36"/>
    </row>
    <row r="1886" spans="2:46" x14ac:dyDescent="0.25">
      <c r="B1886" s="44"/>
      <c r="D1886" s="349"/>
      <c r="E1886" s="33"/>
      <c r="F1886" s="33"/>
      <c r="G1886" s="33"/>
      <c r="H1886" s="33"/>
      <c r="I1886" s="33"/>
      <c r="J1886" s="33"/>
      <c r="K1886" s="33"/>
      <c r="L1886" s="561"/>
      <c r="M1886" s="33"/>
      <c r="N1886" s="33"/>
      <c r="O1886" s="33"/>
      <c r="P1886" s="184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44"/>
      <c r="AP1886" s="37"/>
      <c r="AQ1886" s="27"/>
      <c r="AR1886" s="57"/>
      <c r="AS1886" s="56">
        <f>Tabela4[[#This Row],[Total R$]]-Tabela4[[#This Row],[Total Pago]]</f>
        <v>0</v>
      </c>
      <c r="AT1886" s="36"/>
    </row>
    <row r="1887" spans="2:46" x14ac:dyDescent="0.25">
      <c r="B1887" s="44"/>
      <c r="D1887" s="349"/>
      <c r="E1887" s="33"/>
      <c r="F1887" s="33"/>
      <c r="G1887" s="33"/>
      <c r="H1887" s="33"/>
      <c r="I1887" s="33"/>
      <c r="J1887" s="33"/>
      <c r="K1887" s="33"/>
      <c r="L1887" s="561"/>
      <c r="M1887" s="33"/>
      <c r="N1887" s="33"/>
      <c r="O1887" s="33"/>
      <c r="P1887" s="184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44"/>
      <c r="AP1887" s="37"/>
      <c r="AQ1887" s="27"/>
      <c r="AR1887" s="57"/>
      <c r="AS1887" s="56">
        <f>Tabela4[[#This Row],[Total R$]]-Tabela4[[#This Row],[Total Pago]]</f>
        <v>0</v>
      </c>
      <c r="AT1887" s="36"/>
    </row>
    <row r="1888" spans="2:46" x14ac:dyDescent="0.25">
      <c r="B1888" s="44"/>
      <c r="D1888" s="349"/>
      <c r="E1888" s="33"/>
      <c r="F1888" s="33"/>
      <c r="G1888" s="33"/>
      <c r="H1888" s="33"/>
      <c r="I1888" s="33"/>
      <c r="J1888" s="33"/>
      <c r="K1888" s="33"/>
      <c r="L1888" s="561"/>
      <c r="M1888" s="33"/>
      <c r="N1888" s="33"/>
      <c r="O1888" s="33"/>
      <c r="P1888" s="184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44"/>
      <c r="AP1888" s="37"/>
      <c r="AQ1888" s="27"/>
      <c r="AR1888" s="57"/>
      <c r="AS1888" s="56">
        <f>Tabela4[[#This Row],[Total R$]]-Tabela4[[#This Row],[Total Pago]]</f>
        <v>0</v>
      </c>
      <c r="AT1888" s="36"/>
    </row>
    <row r="1889" spans="2:46" x14ac:dyDescent="0.25">
      <c r="B1889" s="44"/>
      <c r="D1889" s="349"/>
      <c r="E1889" s="33"/>
      <c r="F1889" s="33"/>
      <c r="G1889" s="33"/>
      <c r="H1889" s="33"/>
      <c r="I1889" s="33"/>
      <c r="J1889" s="33"/>
      <c r="K1889" s="33"/>
      <c r="L1889" s="561"/>
      <c r="M1889" s="33"/>
      <c r="N1889" s="33"/>
      <c r="O1889" s="33"/>
      <c r="P1889" s="184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44"/>
      <c r="AP1889" s="37"/>
      <c r="AQ1889" s="27"/>
      <c r="AR1889" s="57"/>
      <c r="AS1889" s="56">
        <f>Tabela4[[#This Row],[Total R$]]-Tabela4[[#This Row],[Total Pago]]</f>
        <v>0</v>
      </c>
      <c r="AT1889" s="36"/>
    </row>
    <row r="1890" spans="2:46" x14ac:dyDescent="0.25">
      <c r="B1890" s="44"/>
      <c r="D1890" s="349"/>
      <c r="E1890" s="33"/>
      <c r="F1890" s="33"/>
      <c r="G1890" s="33"/>
      <c r="H1890" s="33"/>
      <c r="I1890" s="33"/>
      <c r="J1890" s="33"/>
      <c r="K1890" s="33"/>
      <c r="L1890" s="561"/>
      <c r="M1890" s="33"/>
      <c r="N1890" s="33"/>
      <c r="O1890" s="33"/>
      <c r="P1890" s="184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44"/>
      <c r="AP1890" s="37"/>
      <c r="AQ1890" s="27"/>
      <c r="AR1890" s="57"/>
      <c r="AS1890" s="56">
        <f>Tabela4[[#This Row],[Total R$]]-Tabela4[[#This Row],[Total Pago]]</f>
        <v>0</v>
      </c>
      <c r="AT1890" s="36"/>
    </row>
    <row r="1891" spans="2:46" x14ac:dyDescent="0.25">
      <c r="B1891" s="44"/>
      <c r="D1891" s="349"/>
      <c r="E1891" s="33"/>
      <c r="F1891" s="33"/>
      <c r="G1891" s="33"/>
      <c r="H1891" s="33"/>
      <c r="I1891" s="33"/>
      <c r="J1891" s="33"/>
      <c r="K1891" s="33"/>
      <c r="L1891" s="561"/>
      <c r="M1891" s="33"/>
      <c r="N1891" s="33"/>
      <c r="O1891" s="33"/>
      <c r="P1891" s="184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44"/>
      <c r="AP1891" s="37"/>
      <c r="AQ1891" s="27"/>
      <c r="AR1891" s="57"/>
      <c r="AS1891" s="56">
        <f>Tabela4[[#This Row],[Total R$]]-Tabela4[[#This Row],[Total Pago]]</f>
        <v>0</v>
      </c>
      <c r="AT1891" s="36"/>
    </row>
    <row r="1892" spans="2:46" x14ac:dyDescent="0.25">
      <c r="B1892" s="44"/>
      <c r="D1892" s="349"/>
      <c r="E1892" s="33"/>
      <c r="F1892" s="33"/>
      <c r="G1892" s="33"/>
      <c r="H1892" s="33"/>
      <c r="I1892" s="33"/>
      <c r="J1892" s="33"/>
      <c r="K1892" s="33"/>
      <c r="L1892" s="561"/>
      <c r="M1892" s="33"/>
      <c r="N1892" s="33"/>
      <c r="O1892" s="33"/>
      <c r="P1892" s="184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44"/>
      <c r="AP1892" s="37"/>
      <c r="AQ1892" s="27"/>
      <c r="AR1892" s="57"/>
      <c r="AS1892" s="56">
        <f>Tabela4[[#This Row],[Total R$]]-Tabela4[[#This Row],[Total Pago]]</f>
        <v>0</v>
      </c>
      <c r="AT1892" s="36"/>
    </row>
    <row r="1893" spans="2:46" x14ac:dyDescent="0.25">
      <c r="B1893" s="44"/>
      <c r="D1893" s="349"/>
      <c r="E1893" s="33"/>
      <c r="F1893" s="33"/>
      <c r="G1893" s="33"/>
      <c r="H1893" s="33"/>
      <c r="I1893" s="33"/>
      <c r="J1893" s="33"/>
      <c r="K1893" s="33"/>
      <c r="L1893" s="561"/>
      <c r="M1893" s="33"/>
      <c r="N1893" s="33"/>
      <c r="O1893" s="33"/>
      <c r="P1893" s="184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44"/>
      <c r="AP1893" s="37"/>
      <c r="AQ1893" s="27"/>
      <c r="AR1893" s="57"/>
      <c r="AS1893" s="56">
        <f>Tabela4[[#This Row],[Total R$]]-Tabela4[[#This Row],[Total Pago]]</f>
        <v>0</v>
      </c>
      <c r="AT1893" s="36"/>
    </row>
    <row r="1894" spans="2:46" x14ac:dyDescent="0.25">
      <c r="B1894" s="44"/>
      <c r="D1894" s="349"/>
      <c r="E1894" s="33"/>
      <c r="F1894" s="33"/>
      <c r="G1894" s="33"/>
      <c r="H1894" s="33"/>
      <c r="I1894" s="33"/>
      <c r="J1894" s="33"/>
      <c r="K1894" s="33"/>
      <c r="L1894" s="561"/>
      <c r="M1894" s="33"/>
      <c r="N1894" s="33"/>
      <c r="O1894" s="33"/>
      <c r="P1894" s="184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44"/>
      <c r="AP1894" s="37"/>
      <c r="AQ1894" s="27"/>
      <c r="AR1894" s="57"/>
      <c r="AS1894" s="56">
        <f>Tabela4[[#This Row],[Total R$]]-Tabela4[[#This Row],[Total Pago]]</f>
        <v>0</v>
      </c>
      <c r="AT1894" s="36"/>
    </row>
    <row r="1895" spans="2:46" x14ac:dyDescent="0.25">
      <c r="B1895" s="44"/>
      <c r="D1895" s="349"/>
      <c r="E1895" s="33"/>
      <c r="F1895" s="33"/>
      <c r="G1895" s="33"/>
      <c r="H1895" s="33"/>
      <c r="I1895" s="33"/>
      <c r="J1895" s="33"/>
      <c r="K1895" s="33"/>
      <c r="L1895" s="561"/>
      <c r="M1895" s="33"/>
      <c r="N1895" s="33"/>
      <c r="O1895" s="33"/>
      <c r="P1895" s="184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44"/>
      <c r="AP1895" s="37"/>
      <c r="AQ1895" s="27"/>
      <c r="AR1895" s="57"/>
      <c r="AS1895" s="56">
        <f>Tabela4[[#This Row],[Total R$]]-Tabela4[[#This Row],[Total Pago]]</f>
        <v>0</v>
      </c>
      <c r="AT1895" s="36"/>
    </row>
    <row r="1896" spans="2:46" x14ac:dyDescent="0.25">
      <c r="B1896" s="44"/>
      <c r="D1896" s="349"/>
      <c r="E1896" s="33"/>
      <c r="F1896" s="33"/>
      <c r="G1896" s="33"/>
      <c r="H1896" s="33"/>
      <c r="I1896" s="33"/>
      <c r="J1896" s="33"/>
      <c r="K1896" s="33"/>
      <c r="L1896" s="561"/>
      <c r="M1896" s="33"/>
      <c r="N1896" s="33"/>
      <c r="O1896" s="33"/>
      <c r="P1896" s="184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44"/>
      <c r="AP1896" s="37"/>
      <c r="AQ1896" s="27"/>
      <c r="AR1896" s="57"/>
      <c r="AS1896" s="56">
        <f>Tabela4[[#This Row],[Total R$]]-Tabela4[[#This Row],[Total Pago]]</f>
        <v>0</v>
      </c>
      <c r="AT1896" s="36"/>
    </row>
    <row r="1897" spans="2:46" x14ac:dyDescent="0.25">
      <c r="B1897" s="44"/>
      <c r="D1897" s="349"/>
      <c r="E1897" s="33"/>
      <c r="F1897" s="33"/>
      <c r="G1897" s="33"/>
      <c r="H1897" s="33"/>
      <c r="I1897" s="33"/>
      <c r="J1897" s="33"/>
      <c r="K1897" s="33"/>
      <c r="L1897" s="561"/>
      <c r="M1897" s="33"/>
      <c r="N1897" s="33"/>
      <c r="O1897" s="33"/>
      <c r="P1897" s="184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44"/>
      <c r="AP1897" s="37"/>
      <c r="AQ1897" s="27"/>
      <c r="AR1897" s="57"/>
      <c r="AS1897" s="56">
        <f>Tabela4[[#This Row],[Total R$]]-Tabela4[[#This Row],[Total Pago]]</f>
        <v>0</v>
      </c>
      <c r="AT1897" s="36"/>
    </row>
    <row r="1898" spans="2:46" x14ac:dyDescent="0.25">
      <c r="B1898" s="44"/>
      <c r="D1898" s="349"/>
      <c r="E1898" s="33"/>
      <c r="F1898" s="33"/>
      <c r="G1898" s="33"/>
      <c r="H1898" s="33"/>
      <c r="I1898" s="33"/>
      <c r="J1898" s="33"/>
      <c r="K1898" s="33"/>
      <c r="L1898" s="561"/>
      <c r="M1898" s="33"/>
      <c r="N1898" s="33"/>
      <c r="O1898" s="33"/>
      <c r="P1898" s="184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44"/>
      <c r="AP1898" s="37"/>
      <c r="AQ1898" s="27"/>
      <c r="AR1898" s="57"/>
      <c r="AS1898" s="56">
        <f>Tabela4[[#This Row],[Total R$]]-Tabela4[[#This Row],[Total Pago]]</f>
        <v>0</v>
      </c>
      <c r="AT1898" s="36"/>
    </row>
    <row r="1899" spans="2:46" x14ac:dyDescent="0.25">
      <c r="B1899" s="44"/>
      <c r="D1899" s="349"/>
      <c r="E1899" s="33"/>
      <c r="F1899" s="33"/>
      <c r="G1899" s="33"/>
      <c r="H1899" s="33"/>
      <c r="I1899" s="33"/>
      <c r="J1899" s="33"/>
      <c r="K1899" s="33"/>
      <c r="L1899" s="561"/>
      <c r="M1899" s="33"/>
      <c r="N1899" s="33"/>
      <c r="O1899" s="33"/>
      <c r="P1899" s="184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44"/>
      <c r="AP1899" s="37"/>
      <c r="AQ1899" s="27"/>
      <c r="AR1899" s="57"/>
      <c r="AS1899" s="56">
        <f>Tabela4[[#This Row],[Total R$]]-Tabela4[[#This Row],[Total Pago]]</f>
        <v>0</v>
      </c>
      <c r="AT1899" s="36"/>
    </row>
    <row r="1900" spans="2:46" x14ac:dyDescent="0.25">
      <c r="B1900" s="44"/>
      <c r="D1900" s="349"/>
      <c r="E1900" s="33"/>
      <c r="F1900" s="33"/>
      <c r="G1900" s="33"/>
      <c r="H1900" s="33"/>
      <c r="I1900" s="33"/>
      <c r="J1900" s="33"/>
      <c r="K1900" s="33"/>
      <c r="L1900" s="561"/>
      <c r="M1900" s="33"/>
      <c r="N1900" s="33"/>
      <c r="O1900" s="33"/>
      <c r="P1900" s="184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44"/>
      <c r="AP1900" s="37"/>
      <c r="AQ1900" s="27"/>
      <c r="AR1900" s="57"/>
      <c r="AS1900" s="56">
        <f>Tabela4[[#This Row],[Total R$]]-Tabela4[[#This Row],[Total Pago]]</f>
        <v>0</v>
      </c>
      <c r="AT1900" s="36"/>
    </row>
    <row r="1901" spans="2:46" x14ac:dyDescent="0.25">
      <c r="B1901" s="44"/>
      <c r="D1901" s="349"/>
      <c r="E1901" s="33"/>
      <c r="F1901" s="33"/>
      <c r="G1901" s="33"/>
      <c r="H1901" s="33"/>
      <c r="I1901" s="33"/>
      <c r="J1901" s="33"/>
      <c r="K1901" s="33"/>
      <c r="L1901" s="561"/>
      <c r="M1901" s="33"/>
      <c r="N1901" s="33"/>
      <c r="O1901" s="33"/>
      <c r="P1901" s="184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44"/>
      <c r="AP1901" s="37"/>
      <c r="AQ1901" s="27"/>
      <c r="AR1901" s="57"/>
      <c r="AS1901" s="56">
        <f>Tabela4[[#This Row],[Total R$]]-Tabela4[[#This Row],[Total Pago]]</f>
        <v>0</v>
      </c>
      <c r="AT1901" s="36"/>
    </row>
    <row r="1902" spans="2:46" x14ac:dyDescent="0.25">
      <c r="B1902" s="44"/>
      <c r="D1902" s="349"/>
      <c r="E1902" s="33"/>
      <c r="F1902" s="33"/>
      <c r="G1902" s="33"/>
      <c r="H1902" s="33"/>
      <c r="I1902" s="33"/>
      <c r="J1902" s="33"/>
      <c r="K1902" s="33"/>
      <c r="L1902" s="561"/>
      <c r="M1902" s="33"/>
      <c r="N1902" s="33"/>
      <c r="O1902" s="33"/>
      <c r="P1902" s="184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44"/>
      <c r="AP1902" s="37"/>
      <c r="AQ1902" s="27"/>
      <c r="AR1902" s="57"/>
      <c r="AS1902" s="56">
        <f>Tabela4[[#This Row],[Total R$]]-Tabela4[[#This Row],[Total Pago]]</f>
        <v>0</v>
      </c>
      <c r="AT1902" s="36"/>
    </row>
    <row r="1903" spans="2:46" x14ac:dyDescent="0.25">
      <c r="B1903" s="44"/>
      <c r="D1903" s="349"/>
      <c r="E1903" s="33"/>
      <c r="F1903" s="33"/>
      <c r="G1903" s="33"/>
      <c r="H1903" s="33"/>
      <c r="I1903" s="33"/>
      <c r="J1903" s="33"/>
      <c r="K1903" s="33"/>
      <c r="L1903" s="561"/>
      <c r="M1903" s="33"/>
      <c r="N1903" s="33"/>
      <c r="O1903" s="33"/>
      <c r="P1903" s="184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44"/>
      <c r="AP1903" s="37"/>
      <c r="AQ1903" s="27"/>
      <c r="AR1903" s="57"/>
      <c r="AS1903" s="56">
        <f>Tabela4[[#This Row],[Total R$]]-Tabela4[[#This Row],[Total Pago]]</f>
        <v>0</v>
      </c>
      <c r="AT1903" s="36"/>
    </row>
    <row r="1904" spans="2:46" x14ac:dyDescent="0.25">
      <c r="B1904" s="44"/>
      <c r="D1904" s="349"/>
      <c r="E1904" s="33"/>
      <c r="F1904" s="33"/>
      <c r="G1904" s="33"/>
      <c r="H1904" s="33"/>
      <c r="I1904" s="33"/>
      <c r="J1904" s="33"/>
      <c r="K1904" s="33"/>
      <c r="L1904" s="561"/>
      <c r="M1904" s="33"/>
      <c r="N1904" s="33"/>
      <c r="O1904" s="33"/>
      <c r="P1904" s="184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44"/>
      <c r="AP1904" s="37"/>
      <c r="AQ1904" s="27"/>
      <c r="AR1904" s="57"/>
      <c r="AS1904" s="56">
        <f>Tabela4[[#This Row],[Total R$]]-Tabela4[[#This Row],[Total Pago]]</f>
        <v>0</v>
      </c>
      <c r="AT1904" s="36"/>
    </row>
    <row r="1905" spans="2:46" x14ac:dyDescent="0.25">
      <c r="B1905" s="44"/>
      <c r="D1905" s="349"/>
      <c r="E1905" s="33"/>
      <c r="F1905" s="33"/>
      <c r="G1905" s="33"/>
      <c r="H1905" s="33"/>
      <c r="I1905" s="33"/>
      <c r="J1905" s="33"/>
      <c r="K1905" s="33"/>
      <c r="L1905" s="561"/>
      <c r="M1905" s="33"/>
      <c r="N1905" s="33"/>
      <c r="O1905" s="33"/>
      <c r="P1905" s="184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44"/>
      <c r="AP1905" s="37"/>
      <c r="AQ1905" s="27"/>
      <c r="AR1905" s="57"/>
      <c r="AS1905" s="56">
        <f>Tabela4[[#This Row],[Total R$]]-Tabela4[[#This Row],[Total Pago]]</f>
        <v>0</v>
      </c>
      <c r="AT1905" s="36"/>
    </row>
    <row r="1906" spans="2:46" x14ac:dyDescent="0.25">
      <c r="B1906" s="44"/>
      <c r="D1906" s="349"/>
      <c r="E1906" s="33"/>
      <c r="F1906" s="33"/>
      <c r="G1906" s="33"/>
      <c r="H1906" s="33"/>
      <c r="I1906" s="33"/>
      <c r="J1906" s="33"/>
      <c r="K1906" s="33"/>
      <c r="L1906" s="561"/>
      <c r="M1906" s="33"/>
      <c r="N1906" s="33"/>
      <c r="O1906" s="33"/>
      <c r="P1906" s="184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44"/>
      <c r="AP1906" s="37"/>
      <c r="AQ1906" s="27"/>
      <c r="AR1906" s="57"/>
      <c r="AS1906" s="56">
        <f>Tabela4[[#This Row],[Total R$]]-Tabela4[[#This Row],[Total Pago]]</f>
        <v>0</v>
      </c>
      <c r="AT1906" s="36"/>
    </row>
    <row r="1907" spans="2:46" x14ac:dyDescent="0.25">
      <c r="B1907" s="44"/>
      <c r="D1907" s="349"/>
      <c r="E1907" s="33"/>
      <c r="F1907" s="33"/>
      <c r="G1907" s="33"/>
      <c r="H1907" s="33"/>
      <c r="I1907" s="33"/>
      <c r="J1907" s="33"/>
      <c r="K1907" s="33"/>
      <c r="L1907" s="561"/>
      <c r="M1907" s="33"/>
      <c r="N1907" s="33"/>
      <c r="O1907" s="33"/>
      <c r="P1907" s="184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44"/>
      <c r="AP1907" s="37"/>
      <c r="AQ1907" s="27"/>
      <c r="AR1907" s="57"/>
      <c r="AS1907" s="56">
        <f>Tabela4[[#This Row],[Total R$]]-Tabela4[[#This Row],[Total Pago]]</f>
        <v>0</v>
      </c>
      <c r="AT1907" s="36"/>
    </row>
    <row r="1908" spans="2:46" x14ac:dyDescent="0.25">
      <c r="B1908" s="44"/>
      <c r="D1908" s="349"/>
      <c r="E1908" s="33"/>
      <c r="F1908" s="33"/>
      <c r="G1908" s="33"/>
      <c r="H1908" s="33"/>
      <c r="I1908" s="33"/>
      <c r="J1908" s="33"/>
      <c r="K1908" s="33"/>
      <c r="L1908" s="561"/>
      <c r="M1908" s="33"/>
      <c r="N1908" s="33"/>
      <c r="O1908" s="33"/>
      <c r="P1908" s="184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44"/>
      <c r="AP1908" s="37"/>
      <c r="AQ1908" s="27"/>
      <c r="AR1908" s="57"/>
      <c r="AS1908" s="56">
        <f>Tabela4[[#This Row],[Total R$]]-Tabela4[[#This Row],[Total Pago]]</f>
        <v>0</v>
      </c>
      <c r="AT1908" s="36"/>
    </row>
    <row r="1909" spans="2:46" x14ac:dyDescent="0.25">
      <c r="B1909" s="44"/>
      <c r="D1909" s="349"/>
      <c r="E1909" s="33"/>
      <c r="F1909" s="33"/>
      <c r="G1909" s="33"/>
      <c r="H1909" s="33"/>
      <c r="I1909" s="33"/>
      <c r="J1909" s="33"/>
      <c r="K1909" s="33"/>
      <c r="L1909" s="561"/>
      <c r="M1909" s="33"/>
      <c r="N1909" s="33"/>
      <c r="O1909" s="33"/>
      <c r="P1909" s="184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44"/>
      <c r="AP1909" s="37"/>
      <c r="AQ1909" s="27"/>
      <c r="AR1909" s="57"/>
      <c r="AS1909" s="56">
        <f>Tabela4[[#This Row],[Total R$]]-Tabela4[[#This Row],[Total Pago]]</f>
        <v>0</v>
      </c>
      <c r="AT1909" s="36"/>
    </row>
    <row r="1910" spans="2:46" x14ac:dyDescent="0.25">
      <c r="B1910" s="44"/>
      <c r="D1910" s="349"/>
      <c r="E1910" s="33"/>
      <c r="F1910" s="33"/>
      <c r="G1910" s="33"/>
      <c r="H1910" s="33"/>
      <c r="I1910" s="33"/>
      <c r="J1910" s="33"/>
      <c r="K1910" s="33"/>
      <c r="L1910" s="561"/>
      <c r="M1910" s="33"/>
      <c r="N1910" s="33"/>
      <c r="O1910" s="33"/>
      <c r="P1910" s="184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44"/>
      <c r="AP1910" s="37"/>
      <c r="AQ1910" s="27"/>
      <c r="AR1910" s="57"/>
      <c r="AS1910" s="56">
        <f>Tabela4[[#This Row],[Total R$]]-Tabela4[[#This Row],[Total Pago]]</f>
        <v>0</v>
      </c>
      <c r="AT1910" s="36"/>
    </row>
    <row r="1911" spans="2:46" x14ac:dyDescent="0.25">
      <c r="B1911" s="44"/>
      <c r="D1911" s="349"/>
      <c r="E1911" s="33"/>
      <c r="F1911" s="33"/>
      <c r="G1911" s="33"/>
      <c r="H1911" s="33"/>
      <c r="I1911" s="33"/>
      <c r="J1911" s="33"/>
      <c r="K1911" s="33"/>
      <c r="L1911" s="561"/>
      <c r="M1911" s="33"/>
      <c r="N1911" s="33"/>
      <c r="O1911" s="33"/>
      <c r="P1911" s="184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44"/>
      <c r="AP1911" s="37"/>
      <c r="AQ1911" s="27"/>
      <c r="AR1911" s="57"/>
      <c r="AS1911" s="56">
        <f>Tabela4[[#This Row],[Total R$]]-Tabela4[[#This Row],[Total Pago]]</f>
        <v>0</v>
      </c>
      <c r="AT1911" s="36"/>
    </row>
    <row r="1912" spans="2:46" x14ac:dyDescent="0.25">
      <c r="B1912" s="44"/>
      <c r="D1912" s="349"/>
      <c r="E1912" s="33"/>
      <c r="F1912" s="33"/>
      <c r="G1912" s="33"/>
      <c r="H1912" s="33"/>
      <c r="I1912" s="33"/>
      <c r="J1912" s="33"/>
      <c r="K1912" s="33"/>
      <c r="L1912" s="561"/>
      <c r="M1912" s="33"/>
      <c r="N1912" s="33"/>
      <c r="O1912" s="33"/>
      <c r="P1912" s="184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44"/>
      <c r="AP1912" s="37"/>
      <c r="AQ1912" s="27"/>
      <c r="AR1912" s="57"/>
      <c r="AS1912" s="56">
        <f>Tabela4[[#This Row],[Total R$]]-Tabela4[[#This Row],[Total Pago]]</f>
        <v>0</v>
      </c>
      <c r="AT1912" s="36"/>
    </row>
    <row r="1913" spans="2:46" x14ac:dyDescent="0.25">
      <c r="B1913" s="44"/>
      <c r="D1913" s="349"/>
      <c r="E1913" s="33"/>
      <c r="F1913" s="33"/>
      <c r="G1913" s="33"/>
      <c r="H1913" s="33"/>
      <c r="I1913" s="33"/>
      <c r="J1913" s="33"/>
      <c r="K1913" s="33"/>
      <c r="L1913" s="561"/>
      <c r="M1913" s="33"/>
      <c r="N1913" s="33"/>
      <c r="O1913" s="33"/>
      <c r="P1913" s="184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44"/>
      <c r="AP1913" s="37"/>
      <c r="AQ1913" s="27"/>
      <c r="AR1913" s="57"/>
      <c r="AS1913" s="56">
        <f>Tabela4[[#This Row],[Total R$]]-Tabela4[[#This Row],[Total Pago]]</f>
        <v>0</v>
      </c>
      <c r="AT1913" s="36"/>
    </row>
    <row r="1914" spans="2:46" x14ac:dyDescent="0.25">
      <c r="B1914" s="44"/>
      <c r="D1914" s="349"/>
      <c r="E1914" s="33"/>
      <c r="F1914" s="33"/>
      <c r="G1914" s="33"/>
      <c r="H1914" s="33"/>
      <c r="I1914" s="33"/>
      <c r="J1914" s="33"/>
      <c r="K1914" s="33"/>
      <c r="L1914" s="561"/>
      <c r="M1914" s="33"/>
      <c r="N1914" s="33"/>
      <c r="O1914" s="33"/>
      <c r="P1914" s="184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44"/>
      <c r="AP1914" s="37"/>
      <c r="AQ1914" s="27"/>
      <c r="AR1914" s="57"/>
      <c r="AS1914" s="56">
        <f>Tabela4[[#This Row],[Total R$]]-Tabela4[[#This Row],[Total Pago]]</f>
        <v>0</v>
      </c>
      <c r="AT1914" s="36"/>
    </row>
    <row r="1915" spans="2:46" x14ac:dyDescent="0.25">
      <c r="B1915" s="44"/>
      <c r="D1915" s="349"/>
      <c r="E1915" s="33"/>
      <c r="F1915" s="33"/>
      <c r="G1915" s="33"/>
      <c r="H1915" s="33"/>
      <c r="I1915" s="33"/>
      <c r="J1915" s="33"/>
      <c r="K1915" s="33"/>
      <c r="L1915" s="561"/>
      <c r="M1915" s="33"/>
      <c r="N1915" s="33"/>
      <c r="O1915" s="33"/>
      <c r="P1915" s="184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44"/>
      <c r="AP1915" s="37"/>
      <c r="AQ1915" s="27"/>
      <c r="AR1915" s="57"/>
      <c r="AS1915" s="56">
        <f>Tabela4[[#This Row],[Total R$]]-Tabela4[[#This Row],[Total Pago]]</f>
        <v>0</v>
      </c>
      <c r="AT1915" s="36"/>
    </row>
    <row r="1916" spans="2:46" x14ac:dyDescent="0.25">
      <c r="B1916" s="44"/>
      <c r="D1916" s="349"/>
      <c r="E1916" s="33"/>
      <c r="F1916" s="33"/>
      <c r="G1916" s="33"/>
      <c r="H1916" s="33"/>
      <c r="I1916" s="33"/>
      <c r="J1916" s="33"/>
      <c r="K1916" s="33"/>
      <c r="L1916" s="561"/>
      <c r="M1916" s="33"/>
      <c r="N1916" s="33"/>
      <c r="O1916" s="33"/>
      <c r="P1916" s="184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44"/>
      <c r="AP1916" s="37"/>
      <c r="AQ1916" s="27"/>
      <c r="AR1916" s="57"/>
      <c r="AS1916" s="56">
        <f>Tabela4[[#This Row],[Total R$]]-Tabela4[[#This Row],[Total Pago]]</f>
        <v>0</v>
      </c>
      <c r="AT1916" s="36"/>
    </row>
    <row r="1917" spans="2:46" x14ac:dyDescent="0.25">
      <c r="B1917" s="44"/>
      <c r="D1917" s="349"/>
      <c r="E1917" s="33"/>
      <c r="F1917" s="33"/>
      <c r="G1917" s="33"/>
      <c r="H1917" s="33"/>
      <c r="I1917" s="33"/>
      <c r="J1917" s="33"/>
      <c r="K1917" s="33"/>
      <c r="L1917" s="561"/>
      <c r="M1917" s="33"/>
      <c r="N1917" s="33"/>
      <c r="O1917" s="33"/>
      <c r="P1917" s="184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44"/>
      <c r="AP1917" s="37"/>
      <c r="AQ1917" s="27"/>
      <c r="AR1917" s="57"/>
      <c r="AS1917" s="56">
        <f>Tabela4[[#This Row],[Total R$]]-Tabela4[[#This Row],[Total Pago]]</f>
        <v>0</v>
      </c>
      <c r="AT1917" s="36"/>
    </row>
    <row r="1918" spans="2:46" x14ac:dyDescent="0.25">
      <c r="B1918" s="44"/>
      <c r="D1918" s="349"/>
      <c r="E1918" s="33"/>
      <c r="F1918" s="33"/>
      <c r="G1918" s="33"/>
      <c r="H1918" s="33"/>
      <c r="I1918" s="33"/>
      <c r="J1918" s="33"/>
      <c r="K1918" s="33"/>
      <c r="L1918" s="561"/>
      <c r="M1918" s="33"/>
      <c r="N1918" s="33"/>
      <c r="O1918" s="33"/>
      <c r="P1918" s="184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44"/>
      <c r="AP1918" s="37"/>
      <c r="AQ1918" s="27"/>
      <c r="AR1918" s="57"/>
      <c r="AS1918" s="56">
        <f>Tabela4[[#This Row],[Total R$]]-Tabela4[[#This Row],[Total Pago]]</f>
        <v>0</v>
      </c>
      <c r="AT1918" s="36"/>
    </row>
    <row r="1919" spans="2:46" x14ac:dyDescent="0.25">
      <c r="B1919" s="44"/>
      <c r="D1919" s="349"/>
      <c r="E1919" s="33"/>
      <c r="F1919" s="33"/>
      <c r="G1919" s="33"/>
      <c r="H1919" s="33"/>
      <c r="I1919" s="33"/>
      <c r="J1919" s="33"/>
      <c r="K1919" s="33"/>
      <c r="L1919" s="561"/>
      <c r="M1919" s="33"/>
      <c r="N1919" s="33"/>
      <c r="O1919" s="33"/>
      <c r="P1919" s="184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44"/>
      <c r="AP1919" s="37"/>
      <c r="AQ1919" s="27"/>
      <c r="AR1919" s="57"/>
      <c r="AS1919" s="56">
        <f>Tabela4[[#This Row],[Total R$]]-Tabela4[[#This Row],[Total Pago]]</f>
        <v>0</v>
      </c>
      <c r="AT1919" s="36"/>
    </row>
    <row r="1920" spans="2:46" x14ac:dyDescent="0.25">
      <c r="B1920" s="44"/>
      <c r="D1920" s="349"/>
      <c r="E1920" s="33"/>
      <c r="F1920" s="33"/>
      <c r="G1920" s="33"/>
      <c r="H1920" s="33"/>
      <c r="I1920" s="33"/>
      <c r="J1920" s="33"/>
      <c r="K1920" s="33"/>
      <c r="L1920" s="561"/>
      <c r="M1920" s="33"/>
      <c r="N1920" s="33"/>
      <c r="O1920" s="33"/>
      <c r="P1920" s="184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44"/>
      <c r="AP1920" s="37"/>
      <c r="AQ1920" s="27"/>
      <c r="AR1920" s="57"/>
      <c r="AS1920" s="56">
        <f>Tabela4[[#This Row],[Total R$]]-Tabela4[[#This Row],[Total Pago]]</f>
        <v>0</v>
      </c>
      <c r="AT1920" s="36"/>
    </row>
    <row r="1921" spans="2:46" x14ac:dyDescent="0.25">
      <c r="B1921" s="44"/>
      <c r="D1921" s="349"/>
      <c r="E1921" s="33"/>
      <c r="F1921" s="33"/>
      <c r="G1921" s="33"/>
      <c r="H1921" s="33"/>
      <c r="I1921" s="33"/>
      <c r="J1921" s="33"/>
      <c r="K1921" s="33"/>
      <c r="L1921" s="561"/>
      <c r="M1921" s="33"/>
      <c r="N1921" s="33"/>
      <c r="O1921" s="33"/>
      <c r="P1921" s="184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44"/>
      <c r="AP1921" s="37"/>
      <c r="AQ1921" s="27"/>
      <c r="AR1921" s="57"/>
      <c r="AS1921" s="56">
        <f>Tabela4[[#This Row],[Total R$]]-Tabela4[[#This Row],[Total Pago]]</f>
        <v>0</v>
      </c>
      <c r="AT1921" s="36"/>
    </row>
    <row r="1922" spans="2:46" x14ac:dyDescent="0.25">
      <c r="B1922" s="44"/>
      <c r="D1922" s="349"/>
      <c r="E1922" s="33"/>
      <c r="F1922" s="33"/>
      <c r="G1922" s="33"/>
      <c r="H1922" s="33"/>
      <c r="I1922" s="33"/>
      <c r="J1922" s="33"/>
      <c r="K1922" s="33"/>
      <c r="L1922" s="561"/>
      <c r="M1922" s="33"/>
      <c r="N1922" s="33"/>
      <c r="O1922" s="33"/>
      <c r="P1922" s="184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44"/>
      <c r="AP1922" s="37"/>
      <c r="AQ1922" s="27"/>
      <c r="AR1922" s="57"/>
      <c r="AS1922" s="56">
        <f>Tabela4[[#This Row],[Total R$]]-Tabela4[[#This Row],[Total Pago]]</f>
        <v>0</v>
      </c>
      <c r="AT1922" s="36"/>
    </row>
    <row r="1923" spans="2:46" x14ac:dyDescent="0.25">
      <c r="B1923" s="44"/>
      <c r="D1923" s="349"/>
      <c r="E1923" s="33"/>
      <c r="F1923" s="33"/>
      <c r="G1923" s="33"/>
      <c r="H1923" s="33"/>
      <c r="I1923" s="33"/>
      <c r="J1923" s="33"/>
      <c r="K1923" s="33"/>
      <c r="L1923" s="561"/>
      <c r="M1923" s="33"/>
      <c r="N1923" s="33"/>
      <c r="O1923" s="33"/>
      <c r="P1923" s="184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44"/>
      <c r="AP1923" s="37"/>
      <c r="AQ1923" s="27"/>
      <c r="AR1923" s="57"/>
      <c r="AS1923" s="56">
        <f>Tabela4[[#This Row],[Total R$]]-Tabela4[[#This Row],[Total Pago]]</f>
        <v>0</v>
      </c>
      <c r="AT1923" s="36"/>
    </row>
    <row r="1924" spans="2:46" x14ac:dyDescent="0.25">
      <c r="B1924" s="44"/>
      <c r="D1924" s="349"/>
      <c r="E1924" s="33"/>
      <c r="F1924" s="33"/>
      <c r="G1924" s="33"/>
      <c r="H1924" s="33"/>
      <c r="I1924" s="33"/>
      <c r="J1924" s="33"/>
      <c r="K1924" s="33"/>
      <c r="L1924" s="561"/>
      <c r="M1924" s="33"/>
      <c r="N1924" s="33"/>
      <c r="O1924" s="33"/>
      <c r="P1924" s="184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44"/>
      <c r="AP1924" s="37"/>
      <c r="AQ1924" s="27"/>
      <c r="AR1924" s="57"/>
      <c r="AS1924" s="56">
        <f>Tabela4[[#This Row],[Total R$]]-Tabela4[[#This Row],[Total Pago]]</f>
        <v>0</v>
      </c>
      <c r="AT1924" s="36"/>
    </row>
    <row r="1925" spans="2:46" x14ac:dyDescent="0.25">
      <c r="B1925" s="44"/>
      <c r="D1925" s="349"/>
      <c r="E1925" s="33"/>
      <c r="F1925" s="33"/>
      <c r="G1925" s="33"/>
      <c r="H1925" s="33"/>
      <c r="I1925" s="33"/>
      <c r="J1925" s="33"/>
      <c r="K1925" s="33"/>
      <c r="L1925" s="561"/>
      <c r="M1925" s="33"/>
      <c r="N1925" s="33"/>
      <c r="O1925" s="33"/>
      <c r="P1925" s="184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44"/>
      <c r="AP1925" s="37"/>
      <c r="AQ1925" s="27"/>
      <c r="AR1925" s="57"/>
      <c r="AS1925" s="56">
        <f>Tabela4[[#This Row],[Total R$]]-Tabela4[[#This Row],[Total Pago]]</f>
        <v>0</v>
      </c>
      <c r="AT1925" s="36"/>
    </row>
    <row r="1926" spans="2:46" x14ac:dyDescent="0.25">
      <c r="B1926" s="44"/>
      <c r="D1926" s="349"/>
      <c r="E1926" s="33"/>
      <c r="F1926" s="33"/>
      <c r="G1926" s="33"/>
      <c r="H1926" s="33"/>
      <c r="I1926" s="33"/>
      <c r="J1926" s="33"/>
      <c r="K1926" s="33"/>
      <c r="L1926" s="561"/>
      <c r="M1926" s="33"/>
      <c r="N1926" s="33"/>
      <c r="O1926" s="33"/>
      <c r="P1926" s="184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44"/>
      <c r="AP1926" s="37"/>
      <c r="AQ1926" s="27"/>
      <c r="AR1926" s="57"/>
      <c r="AS1926" s="56">
        <f>Tabela4[[#This Row],[Total R$]]-Tabela4[[#This Row],[Total Pago]]</f>
        <v>0</v>
      </c>
      <c r="AT1926" s="36"/>
    </row>
    <row r="1927" spans="2:46" x14ac:dyDescent="0.25">
      <c r="B1927" s="44"/>
      <c r="D1927" s="349"/>
      <c r="E1927" s="33"/>
      <c r="F1927" s="33"/>
      <c r="G1927" s="33"/>
      <c r="H1927" s="33"/>
      <c r="I1927" s="33"/>
      <c r="J1927" s="33"/>
      <c r="K1927" s="33"/>
      <c r="L1927" s="561"/>
      <c r="M1927" s="33"/>
      <c r="N1927" s="33"/>
      <c r="O1927" s="33"/>
      <c r="P1927" s="184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44"/>
      <c r="AP1927" s="37"/>
      <c r="AQ1927" s="27"/>
      <c r="AR1927" s="57"/>
      <c r="AS1927" s="56">
        <f>Tabela4[[#This Row],[Total R$]]-Tabela4[[#This Row],[Total Pago]]</f>
        <v>0</v>
      </c>
      <c r="AT1927" s="36"/>
    </row>
    <row r="1928" spans="2:46" x14ac:dyDescent="0.25">
      <c r="B1928" s="44"/>
      <c r="D1928" s="349"/>
      <c r="E1928" s="33"/>
      <c r="F1928" s="33"/>
      <c r="G1928" s="33"/>
      <c r="H1928" s="33"/>
      <c r="I1928" s="33"/>
      <c r="J1928" s="33"/>
      <c r="K1928" s="33"/>
      <c r="L1928" s="561"/>
      <c r="M1928" s="33"/>
      <c r="N1928" s="33"/>
      <c r="O1928" s="33"/>
      <c r="P1928" s="184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44"/>
      <c r="AP1928" s="37"/>
      <c r="AQ1928" s="27"/>
      <c r="AR1928" s="57"/>
      <c r="AS1928" s="56">
        <f>Tabela4[[#This Row],[Total R$]]-Tabela4[[#This Row],[Total Pago]]</f>
        <v>0</v>
      </c>
      <c r="AT1928" s="36"/>
    </row>
    <row r="1929" spans="2:46" x14ac:dyDescent="0.25">
      <c r="B1929" s="44"/>
      <c r="D1929" s="349"/>
      <c r="E1929" s="33"/>
      <c r="F1929" s="33"/>
      <c r="G1929" s="33"/>
      <c r="H1929" s="33"/>
      <c r="I1929" s="33"/>
      <c r="J1929" s="33"/>
      <c r="K1929" s="33"/>
      <c r="L1929" s="561"/>
      <c r="M1929" s="33"/>
      <c r="N1929" s="33"/>
      <c r="O1929" s="33"/>
      <c r="P1929" s="184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44"/>
      <c r="AP1929" s="37"/>
      <c r="AQ1929" s="27"/>
      <c r="AR1929" s="57"/>
      <c r="AS1929" s="56">
        <f>Tabela4[[#This Row],[Total R$]]-Tabela4[[#This Row],[Total Pago]]</f>
        <v>0</v>
      </c>
      <c r="AT1929" s="36"/>
    </row>
    <row r="1930" spans="2:46" x14ac:dyDescent="0.25">
      <c r="B1930" s="44"/>
      <c r="D1930" s="349"/>
      <c r="E1930" s="33"/>
      <c r="F1930" s="33"/>
      <c r="G1930" s="33"/>
      <c r="H1930" s="33"/>
      <c r="I1930" s="33"/>
      <c r="J1930" s="33"/>
      <c r="K1930" s="33"/>
      <c r="L1930" s="561"/>
      <c r="M1930" s="33"/>
      <c r="N1930" s="33"/>
      <c r="O1930" s="33"/>
      <c r="P1930" s="184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44"/>
      <c r="AP1930" s="37"/>
      <c r="AQ1930" s="27"/>
      <c r="AR1930" s="57"/>
      <c r="AS1930" s="56">
        <f>Tabela4[[#This Row],[Total R$]]-Tabela4[[#This Row],[Total Pago]]</f>
        <v>0</v>
      </c>
      <c r="AT1930" s="36"/>
    </row>
    <row r="1931" spans="2:46" x14ac:dyDescent="0.25">
      <c r="B1931" s="44"/>
      <c r="D1931" s="349"/>
      <c r="E1931" s="33"/>
      <c r="F1931" s="33"/>
      <c r="G1931" s="33"/>
      <c r="H1931" s="33"/>
      <c r="I1931" s="33"/>
      <c r="J1931" s="33"/>
      <c r="K1931" s="33"/>
      <c r="L1931" s="561"/>
      <c r="M1931" s="33"/>
      <c r="N1931" s="33"/>
      <c r="O1931" s="33"/>
      <c r="P1931" s="184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44"/>
      <c r="AP1931" s="37"/>
      <c r="AQ1931" s="27"/>
      <c r="AR1931" s="57"/>
      <c r="AS1931" s="56">
        <f>Tabela4[[#This Row],[Total R$]]-Tabela4[[#This Row],[Total Pago]]</f>
        <v>0</v>
      </c>
      <c r="AT1931" s="36"/>
    </row>
    <row r="1932" spans="2:46" x14ac:dyDescent="0.25">
      <c r="B1932" s="44"/>
      <c r="D1932" s="349"/>
      <c r="E1932" s="33"/>
      <c r="F1932" s="33"/>
      <c r="G1932" s="33"/>
      <c r="H1932" s="33"/>
      <c r="I1932" s="33"/>
      <c r="J1932" s="33"/>
      <c r="K1932" s="33"/>
      <c r="L1932" s="561"/>
      <c r="M1932" s="33"/>
      <c r="N1932" s="33"/>
      <c r="O1932" s="33"/>
      <c r="P1932" s="184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44"/>
      <c r="AP1932" s="37"/>
      <c r="AQ1932" s="27"/>
      <c r="AR1932" s="57"/>
      <c r="AS1932" s="56">
        <f>Tabela4[[#This Row],[Total R$]]-Tabela4[[#This Row],[Total Pago]]</f>
        <v>0</v>
      </c>
      <c r="AT1932" s="36"/>
    </row>
    <row r="1933" spans="2:46" x14ac:dyDescent="0.25">
      <c r="B1933" s="44"/>
      <c r="D1933" s="349"/>
      <c r="E1933" s="33"/>
      <c r="F1933" s="33"/>
      <c r="G1933" s="33"/>
      <c r="H1933" s="33"/>
      <c r="I1933" s="33"/>
      <c r="J1933" s="33"/>
      <c r="K1933" s="33"/>
      <c r="L1933" s="561"/>
      <c r="M1933" s="33"/>
      <c r="N1933" s="33"/>
      <c r="O1933" s="33"/>
      <c r="P1933" s="184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44"/>
      <c r="AP1933" s="37"/>
      <c r="AQ1933" s="27"/>
      <c r="AR1933" s="57"/>
      <c r="AS1933" s="56">
        <f>Tabela4[[#This Row],[Total R$]]-Tabela4[[#This Row],[Total Pago]]</f>
        <v>0</v>
      </c>
      <c r="AT1933" s="36"/>
    </row>
    <row r="1934" spans="2:46" x14ac:dyDescent="0.25">
      <c r="B1934" s="44"/>
      <c r="D1934" s="349"/>
      <c r="E1934" s="33"/>
      <c r="F1934" s="33"/>
      <c r="G1934" s="33"/>
      <c r="H1934" s="33"/>
      <c r="I1934" s="33"/>
      <c r="J1934" s="33"/>
      <c r="K1934" s="33"/>
      <c r="L1934" s="561"/>
      <c r="M1934" s="33"/>
      <c r="N1934" s="33"/>
      <c r="O1934" s="33"/>
      <c r="P1934" s="184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44"/>
      <c r="AP1934" s="37"/>
      <c r="AQ1934" s="27"/>
      <c r="AR1934" s="57"/>
      <c r="AS1934" s="56">
        <f>Tabela4[[#This Row],[Total R$]]-Tabela4[[#This Row],[Total Pago]]</f>
        <v>0</v>
      </c>
      <c r="AT1934" s="36"/>
    </row>
    <row r="1935" spans="2:46" x14ac:dyDescent="0.25">
      <c r="B1935" s="44"/>
      <c r="D1935" s="349"/>
      <c r="E1935" s="33"/>
      <c r="F1935" s="33"/>
      <c r="G1935" s="33"/>
      <c r="H1935" s="33"/>
      <c r="I1935" s="33"/>
      <c r="J1935" s="33"/>
      <c r="K1935" s="33"/>
      <c r="L1935" s="561"/>
      <c r="M1935" s="33"/>
      <c r="N1935" s="33"/>
      <c r="O1935" s="33"/>
      <c r="P1935" s="184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44"/>
      <c r="AP1935" s="37"/>
      <c r="AQ1935" s="27"/>
      <c r="AR1935" s="57"/>
      <c r="AS1935" s="56">
        <f>Tabela4[[#This Row],[Total R$]]-Tabela4[[#This Row],[Total Pago]]</f>
        <v>0</v>
      </c>
      <c r="AT1935" s="36"/>
    </row>
    <row r="1936" spans="2:46" x14ac:dyDescent="0.25">
      <c r="B1936" s="44"/>
      <c r="D1936" s="349"/>
      <c r="E1936" s="33"/>
      <c r="F1936" s="33"/>
      <c r="G1936" s="33"/>
      <c r="H1936" s="33"/>
      <c r="I1936" s="33"/>
      <c r="J1936" s="33"/>
      <c r="K1936" s="33"/>
      <c r="L1936" s="561"/>
      <c r="M1936" s="33"/>
      <c r="N1936" s="33"/>
      <c r="O1936" s="33"/>
      <c r="P1936" s="184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44"/>
      <c r="AP1936" s="37"/>
      <c r="AQ1936" s="27"/>
      <c r="AR1936" s="57"/>
      <c r="AS1936" s="56">
        <f>Tabela4[[#This Row],[Total R$]]-Tabela4[[#This Row],[Total Pago]]</f>
        <v>0</v>
      </c>
      <c r="AT1936" s="36"/>
    </row>
    <row r="1937" spans="2:46" x14ac:dyDescent="0.25">
      <c r="B1937" s="44"/>
      <c r="D1937" s="349"/>
      <c r="E1937" s="33"/>
      <c r="F1937" s="33"/>
      <c r="G1937" s="33"/>
      <c r="H1937" s="33"/>
      <c r="I1937" s="33"/>
      <c r="J1937" s="33"/>
      <c r="K1937" s="33"/>
      <c r="L1937" s="561"/>
      <c r="M1937" s="33"/>
      <c r="N1937" s="33"/>
      <c r="O1937" s="33"/>
      <c r="P1937" s="184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44"/>
      <c r="AP1937" s="37"/>
      <c r="AQ1937" s="27"/>
      <c r="AR1937" s="57"/>
      <c r="AS1937" s="56">
        <f>Tabela4[[#This Row],[Total R$]]-Tabela4[[#This Row],[Total Pago]]</f>
        <v>0</v>
      </c>
      <c r="AT1937" s="36"/>
    </row>
    <row r="1938" spans="2:46" x14ac:dyDescent="0.25">
      <c r="B1938" s="44"/>
      <c r="D1938" s="349"/>
      <c r="E1938" s="33"/>
      <c r="F1938" s="33"/>
      <c r="G1938" s="33"/>
      <c r="H1938" s="33"/>
      <c r="I1938" s="33"/>
      <c r="J1938" s="33"/>
      <c r="K1938" s="33"/>
      <c r="L1938" s="561"/>
      <c r="M1938" s="33"/>
      <c r="N1938" s="33"/>
      <c r="O1938" s="33"/>
      <c r="P1938" s="184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44"/>
      <c r="AP1938" s="37"/>
      <c r="AQ1938" s="27"/>
      <c r="AR1938" s="57"/>
      <c r="AS1938" s="56">
        <f>Tabela4[[#This Row],[Total R$]]-Tabela4[[#This Row],[Total Pago]]</f>
        <v>0</v>
      </c>
      <c r="AT1938" s="36"/>
    </row>
    <row r="1939" spans="2:46" x14ac:dyDescent="0.25">
      <c r="B1939" s="44"/>
      <c r="D1939" s="349"/>
      <c r="E1939" s="33"/>
      <c r="F1939" s="33"/>
      <c r="G1939" s="33"/>
      <c r="H1939" s="33"/>
      <c r="I1939" s="33"/>
      <c r="J1939" s="33"/>
      <c r="K1939" s="33"/>
      <c r="L1939" s="561"/>
      <c r="M1939" s="33"/>
      <c r="N1939" s="33"/>
      <c r="O1939" s="33"/>
      <c r="P1939" s="184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44"/>
      <c r="AP1939" s="37"/>
      <c r="AQ1939" s="27"/>
      <c r="AR1939" s="57"/>
      <c r="AS1939" s="56">
        <f>Tabela4[[#This Row],[Total R$]]-Tabela4[[#This Row],[Total Pago]]</f>
        <v>0</v>
      </c>
      <c r="AT1939" s="36"/>
    </row>
    <row r="1940" spans="2:46" x14ac:dyDescent="0.25">
      <c r="B1940" s="44"/>
      <c r="D1940" s="349"/>
      <c r="E1940" s="33"/>
      <c r="F1940" s="33"/>
      <c r="G1940" s="33"/>
      <c r="H1940" s="33"/>
      <c r="I1940" s="33"/>
      <c r="J1940" s="33"/>
      <c r="K1940" s="33"/>
      <c r="L1940" s="561"/>
      <c r="M1940" s="33"/>
      <c r="N1940" s="33"/>
      <c r="O1940" s="33"/>
      <c r="P1940" s="184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44"/>
      <c r="AP1940" s="37"/>
      <c r="AQ1940" s="27"/>
      <c r="AR1940" s="57"/>
      <c r="AS1940" s="56">
        <f>Tabela4[[#This Row],[Total R$]]-Tabela4[[#This Row],[Total Pago]]</f>
        <v>0</v>
      </c>
      <c r="AT1940" s="36"/>
    </row>
    <row r="1941" spans="2:46" x14ac:dyDescent="0.25">
      <c r="B1941" s="44"/>
      <c r="D1941" s="349"/>
      <c r="E1941" s="33"/>
      <c r="F1941" s="33"/>
      <c r="G1941" s="33"/>
      <c r="H1941" s="33"/>
      <c r="I1941" s="33"/>
      <c r="J1941" s="33"/>
      <c r="K1941" s="33"/>
      <c r="L1941" s="561"/>
      <c r="M1941" s="33"/>
      <c r="N1941" s="33"/>
      <c r="O1941" s="33"/>
      <c r="P1941" s="184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44"/>
      <c r="AP1941" s="37"/>
      <c r="AQ1941" s="27"/>
      <c r="AR1941" s="57"/>
      <c r="AS1941" s="56">
        <f>Tabela4[[#This Row],[Total R$]]-Tabela4[[#This Row],[Total Pago]]</f>
        <v>0</v>
      </c>
      <c r="AT1941" s="36"/>
    </row>
    <row r="1942" spans="2:46" x14ac:dyDescent="0.25">
      <c r="B1942" s="44"/>
      <c r="D1942" s="349"/>
      <c r="E1942" s="33"/>
      <c r="F1942" s="33"/>
      <c r="G1942" s="33"/>
      <c r="H1942" s="33"/>
      <c r="I1942" s="33"/>
      <c r="J1942" s="33"/>
      <c r="K1942" s="33"/>
      <c r="L1942" s="561"/>
      <c r="M1942" s="33"/>
      <c r="N1942" s="33"/>
      <c r="O1942" s="33"/>
      <c r="P1942" s="184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44"/>
      <c r="AP1942" s="37"/>
      <c r="AQ1942" s="27"/>
      <c r="AR1942" s="57"/>
      <c r="AS1942" s="56">
        <f>Tabela4[[#This Row],[Total R$]]-Tabela4[[#This Row],[Total Pago]]</f>
        <v>0</v>
      </c>
      <c r="AT1942" s="36"/>
    </row>
    <row r="1943" spans="2:46" x14ac:dyDescent="0.25">
      <c r="B1943" s="44"/>
      <c r="D1943" s="349"/>
      <c r="E1943" s="33"/>
      <c r="F1943" s="33"/>
      <c r="G1943" s="33"/>
      <c r="H1943" s="33"/>
      <c r="I1943" s="33"/>
      <c r="J1943" s="33"/>
      <c r="K1943" s="33"/>
      <c r="L1943" s="561"/>
      <c r="M1943" s="33"/>
      <c r="N1943" s="33"/>
      <c r="O1943" s="33"/>
      <c r="P1943" s="184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44"/>
      <c r="AP1943" s="37"/>
      <c r="AQ1943" s="27"/>
      <c r="AR1943" s="57"/>
      <c r="AS1943" s="56">
        <f>Tabela4[[#This Row],[Total R$]]-Tabela4[[#This Row],[Total Pago]]</f>
        <v>0</v>
      </c>
      <c r="AT1943" s="36"/>
    </row>
    <row r="1944" spans="2:46" x14ac:dyDescent="0.25">
      <c r="B1944" s="44"/>
      <c r="D1944" s="349"/>
      <c r="E1944" s="33"/>
      <c r="F1944" s="33"/>
      <c r="G1944" s="33"/>
      <c r="H1944" s="33"/>
      <c r="I1944" s="33"/>
      <c r="J1944" s="33"/>
      <c r="K1944" s="33"/>
      <c r="L1944" s="561"/>
      <c r="M1944" s="33"/>
      <c r="N1944" s="33"/>
      <c r="O1944" s="33"/>
      <c r="P1944" s="184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44"/>
      <c r="AP1944" s="37"/>
      <c r="AQ1944" s="27"/>
      <c r="AR1944" s="57"/>
      <c r="AS1944" s="56">
        <f>Tabela4[[#This Row],[Total R$]]-Tabela4[[#This Row],[Total Pago]]</f>
        <v>0</v>
      </c>
      <c r="AT1944" s="36"/>
    </row>
    <row r="1945" spans="2:46" x14ac:dyDescent="0.25">
      <c r="B1945" s="44"/>
      <c r="D1945" s="349"/>
      <c r="E1945" s="33"/>
      <c r="F1945" s="33"/>
      <c r="G1945" s="33"/>
      <c r="H1945" s="33"/>
      <c r="I1945" s="33"/>
      <c r="J1945" s="33"/>
      <c r="K1945" s="33"/>
      <c r="L1945" s="561"/>
      <c r="M1945" s="33"/>
      <c r="N1945" s="33"/>
      <c r="O1945" s="33"/>
      <c r="P1945" s="184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44"/>
      <c r="AP1945" s="37"/>
      <c r="AQ1945" s="27"/>
      <c r="AR1945" s="57"/>
      <c r="AS1945" s="56">
        <f>Tabela4[[#This Row],[Total R$]]-Tabela4[[#This Row],[Total Pago]]</f>
        <v>0</v>
      </c>
      <c r="AT1945" s="36"/>
    </row>
    <row r="1946" spans="2:46" x14ac:dyDescent="0.25">
      <c r="B1946" s="44"/>
      <c r="D1946" s="349"/>
      <c r="E1946" s="33"/>
      <c r="F1946" s="33"/>
      <c r="G1946" s="33"/>
      <c r="H1946" s="33"/>
      <c r="I1946" s="33"/>
      <c r="J1946" s="33"/>
      <c r="K1946" s="33"/>
      <c r="L1946" s="561"/>
      <c r="M1946" s="33"/>
      <c r="N1946" s="33"/>
      <c r="O1946" s="33"/>
      <c r="P1946" s="184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44"/>
      <c r="AP1946" s="37"/>
      <c r="AQ1946" s="27"/>
      <c r="AR1946" s="57"/>
      <c r="AS1946" s="56">
        <f>Tabela4[[#This Row],[Total R$]]-Tabela4[[#This Row],[Total Pago]]</f>
        <v>0</v>
      </c>
      <c r="AT1946" s="36"/>
    </row>
    <row r="1947" spans="2:46" x14ac:dyDescent="0.25">
      <c r="B1947" s="44"/>
      <c r="D1947" s="349"/>
      <c r="E1947" s="33"/>
      <c r="F1947" s="33"/>
      <c r="G1947" s="33"/>
      <c r="H1947" s="33"/>
      <c r="I1947" s="33"/>
      <c r="J1947" s="33"/>
      <c r="K1947" s="33"/>
      <c r="L1947" s="561"/>
      <c r="M1947" s="33"/>
      <c r="N1947" s="33"/>
      <c r="O1947" s="33"/>
      <c r="P1947" s="184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44"/>
      <c r="AP1947" s="37"/>
      <c r="AQ1947" s="27"/>
      <c r="AR1947" s="57"/>
      <c r="AS1947" s="56">
        <f>Tabela4[[#This Row],[Total R$]]-Tabela4[[#This Row],[Total Pago]]</f>
        <v>0</v>
      </c>
      <c r="AT1947" s="36"/>
    </row>
    <row r="1948" spans="2:46" x14ac:dyDescent="0.25">
      <c r="B1948" s="44"/>
      <c r="D1948" s="349"/>
      <c r="E1948" s="33"/>
      <c r="F1948" s="33"/>
      <c r="G1948" s="33"/>
      <c r="H1948" s="33"/>
      <c r="I1948" s="33"/>
      <c r="J1948" s="33"/>
      <c r="K1948" s="33"/>
      <c r="L1948" s="561"/>
      <c r="M1948" s="33"/>
      <c r="N1948" s="33"/>
      <c r="O1948" s="33"/>
      <c r="P1948" s="184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44"/>
      <c r="AP1948" s="37"/>
      <c r="AQ1948" s="27"/>
      <c r="AR1948" s="57"/>
      <c r="AS1948" s="56">
        <f>Tabela4[[#This Row],[Total R$]]-Tabela4[[#This Row],[Total Pago]]</f>
        <v>0</v>
      </c>
      <c r="AT1948" s="36"/>
    </row>
    <row r="1949" spans="2:46" x14ac:dyDescent="0.25">
      <c r="B1949" s="44"/>
      <c r="D1949" s="349"/>
      <c r="E1949" s="33"/>
      <c r="F1949" s="33"/>
      <c r="G1949" s="33"/>
      <c r="H1949" s="33"/>
      <c r="I1949" s="33"/>
      <c r="J1949" s="33"/>
      <c r="K1949" s="33"/>
      <c r="L1949" s="561"/>
      <c r="M1949" s="33"/>
      <c r="N1949" s="33"/>
      <c r="O1949" s="33"/>
      <c r="P1949" s="184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44"/>
      <c r="AP1949" s="37"/>
      <c r="AQ1949" s="27"/>
      <c r="AR1949" s="57"/>
      <c r="AS1949" s="56">
        <f>Tabela4[[#This Row],[Total R$]]-Tabela4[[#This Row],[Total Pago]]</f>
        <v>0</v>
      </c>
      <c r="AT1949" s="36"/>
    </row>
    <row r="1950" spans="2:46" x14ac:dyDescent="0.25">
      <c r="B1950" s="44"/>
      <c r="D1950" s="349"/>
      <c r="E1950" s="33"/>
      <c r="F1950" s="33"/>
      <c r="G1950" s="33"/>
      <c r="H1950" s="33"/>
      <c r="I1950" s="33"/>
      <c r="J1950" s="33"/>
      <c r="K1950" s="33"/>
      <c r="L1950" s="561"/>
      <c r="M1950" s="33"/>
      <c r="N1950" s="33"/>
      <c r="O1950" s="33"/>
      <c r="P1950" s="184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44"/>
      <c r="AP1950" s="37"/>
      <c r="AQ1950" s="27"/>
      <c r="AR1950" s="57"/>
      <c r="AS1950" s="56">
        <f>Tabela4[[#This Row],[Total R$]]-Tabela4[[#This Row],[Total Pago]]</f>
        <v>0</v>
      </c>
      <c r="AT1950" s="36"/>
    </row>
    <row r="1951" spans="2:46" x14ac:dyDescent="0.25">
      <c r="B1951" s="44"/>
      <c r="D1951" s="349"/>
      <c r="E1951" s="33"/>
      <c r="F1951" s="33"/>
      <c r="G1951" s="33"/>
      <c r="H1951" s="33"/>
      <c r="I1951" s="33"/>
      <c r="J1951" s="33"/>
      <c r="K1951" s="33"/>
      <c r="L1951" s="561"/>
      <c r="M1951" s="33"/>
      <c r="N1951" s="33"/>
      <c r="O1951" s="33"/>
      <c r="P1951" s="184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44"/>
      <c r="AP1951" s="37"/>
      <c r="AQ1951" s="27"/>
      <c r="AR1951" s="57"/>
      <c r="AS1951" s="56">
        <f>Tabela4[[#This Row],[Total R$]]-Tabela4[[#This Row],[Total Pago]]</f>
        <v>0</v>
      </c>
      <c r="AT1951" s="36"/>
    </row>
    <row r="1952" spans="2:46" x14ac:dyDescent="0.25">
      <c r="B1952" s="44"/>
      <c r="D1952" s="349"/>
      <c r="E1952" s="33"/>
      <c r="F1952" s="33"/>
      <c r="G1952" s="33"/>
      <c r="H1952" s="33"/>
      <c r="I1952" s="33"/>
      <c r="J1952" s="33"/>
      <c r="K1952" s="33"/>
      <c r="L1952" s="561"/>
      <c r="M1952" s="33"/>
      <c r="N1952" s="33"/>
      <c r="O1952" s="33"/>
      <c r="P1952" s="184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44"/>
      <c r="AP1952" s="37"/>
      <c r="AQ1952" s="27"/>
      <c r="AR1952" s="57"/>
      <c r="AS1952" s="56">
        <f>Tabela4[[#This Row],[Total R$]]-Tabela4[[#This Row],[Total Pago]]</f>
        <v>0</v>
      </c>
      <c r="AT1952" s="36"/>
    </row>
    <row r="1953" spans="2:46" x14ac:dyDescent="0.25">
      <c r="B1953" s="44"/>
      <c r="D1953" s="349"/>
      <c r="E1953" s="33"/>
      <c r="F1953" s="33"/>
      <c r="G1953" s="33"/>
      <c r="H1953" s="33"/>
      <c r="I1953" s="33"/>
      <c r="J1953" s="33"/>
      <c r="K1953" s="33"/>
      <c r="L1953" s="561"/>
      <c r="M1953" s="33"/>
      <c r="N1953" s="33"/>
      <c r="O1953" s="33"/>
      <c r="P1953" s="184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44"/>
      <c r="AP1953" s="37"/>
      <c r="AQ1953" s="27"/>
      <c r="AR1953" s="57"/>
      <c r="AS1953" s="56">
        <f>Tabela4[[#This Row],[Total R$]]-Tabela4[[#This Row],[Total Pago]]</f>
        <v>0</v>
      </c>
      <c r="AT1953" s="36"/>
    </row>
    <row r="1954" spans="2:46" x14ac:dyDescent="0.25">
      <c r="B1954" s="44"/>
      <c r="D1954" s="349"/>
      <c r="E1954" s="33"/>
      <c r="F1954" s="33"/>
      <c r="G1954" s="33"/>
      <c r="H1954" s="33"/>
      <c r="I1954" s="33"/>
      <c r="J1954" s="33"/>
      <c r="K1954" s="33"/>
      <c r="L1954" s="561"/>
      <c r="M1954" s="33"/>
      <c r="N1954" s="33"/>
      <c r="O1954" s="33"/>
      <c r="P1954" s="184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44"/>
      <c r="AP1954" s="37"/>
      <c r="AQ1954" s="27"/>
      <c r="AR1954" s="57"/>
      <c r="AS1954" s="56">
        <f>Tabela4[[#This Row],[Total R$]]-Tabela4[[#This Row],[Total Pago]]</f>
        <v>0</v>
      </c>
      <c r="AT1954" s="36"/>
    </row>
    <row r="1955" spans="2:46" x14ac:dyDescent="0.25">
      <c r="B1955" s="44"/>
      <c r="D1955" s="349"/>
      <c r="E1955" s="33"/>
      <c r="F1955" s="33"/>
      <c r="G1955" s="33"/>
      <c r="H1955" s="33"/>
      <c r="I1955" s="33"/>
      <c r="J1955" s="33"/>
      <c r="K1955" s="33"/>
      <c r="L1955" s="561"/>
      <c r="M1955" s="33"/>
      <c r="N1955" s="33"/>
      <c r="O1955" s="33"/>
      <c r="P1955" s="184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44"/>
      <c r="AP1955" s="37"/>
      <c r="AQ1955" s="27"/>
      <c r="AR1955" s="57"/>
      <c r="AS1955" s="56">
        <f>Tabela4[[#This Row],[Total R$]]-Tabela4[[#This Row],[Total Pago]]</f>
        <v>0</v>
      </c>
      <c r="AT1955" s="36"/>
    </row>
    <row r="1956" spans="2:46" x14ac:dyDescent="0.25">
      <c r="B1956" s="44"/>
      <c r="D1956" s="349"/>
      <c r="E1956" s="33"/>
      <c r="F1956" s="33"/>
      <c r="G1956" s="33"/>
      <c r="H1956" s="33"/>
      <c r="I1956" s="33"/>
      <c r="J1956" s="33"/>
      <c r="K1956" s="33"/>
      <c r="L1956" s="561"/>
      <c r="M1956" s="33"/>
      <c r="N1956" s="33"/>
      <c r="O1956" s="33"/>
      <c r="P1956" s="184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44"/>
      <c r="AP1956" s="37"/>
      <c r="AQ1956" s="27"/>
      <c r="AR1956" s="57"/>
      <c r="AS1956" s="56">
        <f>Tabela4[[#This Row],[Total R$]]-Tabela4[[#This Row],[Total Pago]]</f>
        <v>0</v>
      </c>
      <c r="AT1956" s="36"/>
    </row>
    <row r="1957" spans="2:46" x14ac:dyDescent="0.25">
      <c r="B1957" s="44"/>
      <c r="D1957" s="349"/>
      <c r="E1957" s="33"/>
      <c r="F1957" s="33"/>
      <c r="G1957" s="33"/>
      <c r="H1957" s="33"/>
      <c r="I1957" s="33"/>
      <c r="J1957" s="33"/>
      <c r="K1957" s="33"/>
      <c r="L1957" s="561"/>
      <c r="M1957" s="33"/>
      <c r="N1957" s="33"/>
      <c r="O1957" s="33"/>
      <c r="P1957" s="184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44"/>
      <c r="AP1957" s="37"/>
      <c r="AQ1957" s="27"/>
      <c r="AR1957" s="57"/>
      <c r="AS1957" s="56">
        <f>Tabela4[[#This Row],[Total R$]]-Tabela4[[#This Row],[Total Pago]]</f>
        <v>0</v>
      </c>
      <c r="AT1957" s="36"/>
    </row>
    <row r="1958" spans="2:46" x14ac:dyDescent="0.25">
      <c r="B1958" s="44"/>
      <c r="D1958" s="349"/>
      <c r="E1958" s="33"/>
      <c r="F1958" s="33"/>
      <c r="G1958" s="33"/>
      <c r="H1958" s="33"/>
      <c r="I1958" s="33"/>
      <c r="J1958" s="33"/>
      <c r="K1958" s="33"/>
      <c r="L1958" s="561"/>
      <c r="M1958" s="33"/>
      <c r="N1958" s="33"/>
      <c r="O1958" s="33"/>
      <c r="P1958" s="184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44"/>
      <c r="AP1958" s="37"/>
      <c r="AQ1958" s="27"/>
      <c r="AR1958" s="57"/>
      <c r="AS1958" s="56">
        <f>Tabela4[[#This Row],[Total R$]]-Tabela4[[#This Row],[Total Pago]]</f>
        <v>0</v>
      </c>
      <c r="AT1958" s="36"/>
    </row>
    <row r="1959" spans="2:46" x14ac:dyDescent="0.25">
      <c r="B1959" s="44"/>
      <c r="D1959" s="349"/>
      <c r="E1959" s="33"/>
      <c r="F1959" s="33"/>
      <c r="G1959" s="33"/>
      <c r="H1959" s="33"/>
      <c r="I1959" s="33"/>
      <c r="J1959" s="33"/>
      <c r="K1959" s="33"/>
      <c r="L1959" s="561"/>
      <c r="M1959" s="33"/>
      <c r="N1959" s="33"/>
      <c r="O1959" s="33"/>
      <c r="P1959" s="184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44"/>
      <c r="AP1959" s="37"/>
      <c r="AQ1959" s="27"/>
      <c r="AR1959" s="57"/>
      <c r="AS1959" s="56">
        <f>Tabela4[[#This Row],[Total R$]]-Tabela4[[#This Row],[Total Pago]]</f>
        <v>0</v>
      </c>
      <c r="AT1959" s="36"/>
    </row>
    <row r="1960" spans="2:46" x14ac:dyDescent="0.25">
      <c r="B1960" s="44"/>
      <c r="D1960" s="349"/>
      <c r="E1960" s="33"/>
      <c r="F1960" s="33"/>
      <c r="G1960" s="33"/>
      <c r="H1960" s="33"/>
      <c r="I1960" s="33"/>
      <c r="J1960" s="33"/>
      <c r="K1960" s="33"/>
      <c r="L1960" s="561"/>
      <c r="M1960" s="33"/>
      <c r="N1960" s="33"/>
      <c r="O1960" s="33"/>
      <c r="P1960" s="184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44"/>
      <c r="AP1960" s="37"/>
      <c r="AQ1960" s="27"/>
      <c r="AR1960" s="57"/>
      <c r="AS1960" s="56">
        <f>Tabela4[[#This Row],[Total R$]]-Tabela4[[#This Row],[Total Pago]]</f>
        <v>0</v>
      </c>
      <c r="AT1960" s="36"/>
    </row>
    <row r="1961" spans="2:46" x14ac:dyDescent="0.25">
      <c r="B1961" s="44"/>
      <c r="D1961" s="349"/>
      <c r="E1961" s="33"/>
      <c r="F1961" s="33"/>
      <c r="G1961" s="33"/>
      <c r="H1961" s="33"/>
      <c r="I1961" s="33"/>
      <c r="J1961" s="33"/>
      <c r="K1961" s="33"/>
      <c r="L1961" s="561"/>
      <c r="M1961" s="33"/>
      <c r="N1961" s="33"/>
      <c r="O1961" s="33"/>
      <c r="P1961" s="184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44"/>
      <c r="AP1961" s="37"/>
      <c r="AQ1961" s="27"/>
      <c r="AR1961" s="57"/>
      <c r="AS1961" s="56">
        <f>Tabela4[[#This Row],[Total R$]]-Tabela4[[#This Row],[Total Pago]]</f>
        <v>0</v>
      </c>
      <c r="AT1961" s="36"/>
    </row>
    <row r="1962" spans="2:46" x14ac:dyDescent="0.25">
      <c r="B1962" s="44"/>
      <c r="D1962" s="349"/>
      <c r="E1962" s="33"/>
      <c r="F1962" s="33"/>
      <c r="G1962" s="33"/>
      <c r="H1962" s="33"/>
      <c r="I1962" s="33"/>
      <c r="J1962" s="33"/>
      <c r="K1962" s="33"/>
      <c r="L1962" s="561"/>
      <c r="M1962" s="33"/>
      <c r="N1962" s="33"/>
      <c r="O1962" s="33"/>
      <c r="P1962" s="184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44"/>
      <c r="AP1962" s="37"/>
      <c r="AQ1962" s="27"/>
      <c r="AR1962" s="57"/>
      <c r="AS1962" s="56">
        <f>Tabela4[[#This Row],[Total R$]]-Tabela4[[#This Row],[Total Pago]]</f>
        <v>0</v>
      </c>
      <c r="AT1962" s="36"/>
    </row>
    <row r="1963" spans="2:46" x14ac:dyDescent="0.25">
      <c r="B1963" s="44"/>
      <c r="D1963" s="349"/>
      <c r="E1963" s="33"/>
      <c r="F1963" s="33"/>
      <c r="G1963" s="33"/>
      <c r="H1963" s="33"/>
      <c r="I1963" s="33"/>
      <c r="J1963" s="33"/>
      <c r="K1963" s="33"/>
      <c r="L1963" s="561"/>
      <c r="M1963" s="33"/>
      <c r="N1963" s="33"/>
      <c r="O1963" s="33"/>
      <c r="P1963" s="184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44"/>
      <c r="AP1963" s="37"/>
      <c r="AQ1963" s="27"/>
      <c r="AR1963" s="57"/>
      <c r="AS1963" s="56">
        <f>Tabela4[[#This Row],[Total R$]]-Tabela4[[#This Row],[Total Pago]]</f>
        <v>0</v>
      </c>
      <c r="AT1963" s="36"/>
    </row>
    <row r="1964" spans="2:46" x14ac:dyDescent="0.25">
      <c r="B1964" s="44"/>
      <c r="D1964" s="349"/>
      <c r="E1964" s="33"/>
      <c r="F1964" s="33"/>
      <c r="G1964" s="33"/>
      <c r="H1964" s="33"/>
      <c r="I1964" s="33"/>
      <c r="J1964" s="33"/>
      <c r="K1964" s="33"/>
      <c r="L1964" s="561"/>
      <c r="M1964" s="33"/>
      <c r="N1964" s="33"/>
      <c r="O1964" s="33"/>
      <c r="P1964" s="184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44"/>
      <c r="AP1964" s="37"/>
      <c r="AQ1964" s="27"/>
      <c r="AR1964" s="57"/>
      <c r="AS1964" s="56">
        <f>Tabela4[[#This Row],[Total R$]]-Tabela4[[#This Row],[Total Pago]]</f>
        <v>0</v>
      </c>
      <c r="AT1964" s="36"/>
    </row>
    <row r="1965" spans="2:46" x14ac:dyDescent="0.25">
      <c r="B1965" s="44"/>
      <c r="D1965" s="349"/>
      <c r="E1965" s="33"/>
      <c r="F1965" s="33"/>
      <c r="G1965" s="33"/>
      <c r="H1965" s="33"/>
      <c r="I1965" s="33"/>
      <c r="J1965" s="33"/>
      <c r="K1965" s="33"/>
      <c r="L1965" s="561"/>
      <c r="M1965" s="33"/>
      <c r="N1965" s="33"/>
      <c r="O1965" s="33"/>
      <c r="P1965" s="184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44"/>
      <c r="AP1965" s="37"/>
      <c r="AQ1965" s="27"/>
      <c r="AR1965" s="57"/>
      <c r="AS1965" s="56">
        <f>Tabela4[[#This Row],[Total R$]]-Tabela4[[#This Row],[Total Pago]]</f>
        <v>0</v>
      </c>
      <c r="AT1965" s="36"/>
    </row>
    <row r="1966" spans="2:46" x14ac:dyDescent="0.25">
      <c r="B1966" s="44"/>
      <c r="D1966" s="349"/>
      <c r="E1966" s="33"/>
      <c r="F1966" s="33"/>
      <c r="G1966" s="33"/>
      <c r="H1966" s="33"/>
      <c r="I1966" s="33"/>
      <c r="J1966" s="33"/>
      <c r="K1966" s="33"/>
      <c r="L1966" s="561"/>
      <c r="M1966" s="33"/>
      <c r="N1966" s="33"/>
      <c r="O1966" s="33"/>
      <c r="P1966" s="184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44"/>
      <c r="AP1966" s="37"/>
      <c r="AQ1966" s="27"/>
      <c r="AR1966" s="57"/>
      <c r="AS1966" s="56">
        <f>Tabela4[[#This Row],[Total R$]]-Tabela4[[#This Row],[Total Pago]]</f>
        <v>0</v>
      </c>
      <c r="AT1966" s="36"/>
    </row>
    <row r="1967" spans="2:46" x14ac:dyDescent="0.25">
      <c r="B1967" s="44"/>
      <c r="D1967" s="349"/>
      <c r="E1967" s="33"/>
      <c r="F1967" s="33"/>
      <c r="G1967" s="33"/>
      <c r="H1967" s="33"/>
      <c r="I1967" s="33"/>
      <c r="J1967" s="33"/>
      <c r="K1967" s="33"/>
      <c r="L1967" s="561"/>
      <c r="M1967" s="33"/>
      <c r="N1967" s="33"/>
      <c r="O1967" s="33"/>
      <c r="P1967" s="184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44"/>
      <c r="AP1967" s="37"/>
      <c r="AQ1967" s="27"/>
      <c r="AR1967" s="57"/>
      <c r="AS1967" s="56">
        <f>Tabela4[[#This Row],[Total R$]]-Tabela4[[#This Row],[Total Pago]]</f>
        <v>0</v>
      </c>
      <c r="AT1967" s="36"/>
    </row>
    <row r="1968" spans="2:46" x14ac:dyDescent="0.25">
      <c r="B1968" s="44"/>
      <c r="D1968" s="349"/>
      <c r="E1968" s="33"/>
      <c r="F1968" s="33"/>
      <c r="G1968" s="33"/>
      <c r="H1968" s="33"/>
      <c r="I1968" s="33"/>
      <c r="J1968" s="33"/>
      <c r="K1968" s="33"/>
      <c r="L1968" s="561"/>
      <c r="M1968" s="33"/>
      <c r="N1968" s="33"/>
      <c r="O1968" s="33"/>
      <c r="P1968" s="184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44"/>
      <c r="AP1968" s="37"/>
      <c r="AQ1968" s="27"/>
      <c r="AR1968" s="57"/>
      <c r="AS1968" s="56">
        <f>Tabela4[[#This Row],[Total R$]]-Tabela4[[#This Row],[Total Pago]]</f>
        <v>0</v>
      </c>
      <c r="AT1968" s="36"/>
    </row>
    <row r="1969" spans="2:46" x14ac:dyDescent="0.25">
      <c r="B1969" s="44"/>
      <c r="D1969" s="349"/>
      <c r="E1969" s="33"/>
      <c r="F1969" s="33"/>
      <c r="G1969" s="33"/>
      <c r="H1969" s="33"/>
      <c r="I1969" s="33"/>
      <c r="J1969" s="33"/>
      <c r="K1969" s="33"/>
      <c r="L1969" s="561"/>
      <c r="M1969" s="33"/>
      <c r="N1969" s="33"/>
      <c r="O1969" s="33"/>
      <c r="P1969" s="184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44"/>
      <c r="AP1969" s="37"/>
      <c r="AQ1969" s="27"/>
      <c r="AR1969" s="57"/>
      <c r="AS1969" s="56">
        <f>Tabela4[[#This Row],[Total R$]]-Tabela4[[#This Row],[Total Pago]]</f>
        <v>0</v>
      </c>
      <c r="AT1969" s="36"/>
    </row>
    <row r="1970" spans="2:46" x14ac:dyDescent="0.25">
      <c r="B1970" s="44"/>
      <c r="D1970" s="349"/>
      <c r="E1970" s="33"/>
      <c r="F1970" s="33"/>
      <c r="G1970" s="33"/>
      <c r="H1970" s="33"/>
      <c r="I1970" s="33"/>
      <c r="J1970" s="33"/>
      <c r="K1970" s="33"/>
      <c r="L1970" s="561"/>
      <c r="M1970" s="33"/>
      <c r="N1970" s="33"/>
      <c r="O1970" s="33"/>
      <c r="P1970" s="184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44"/>
      <c r="AP1970" s="37"/>
      <c r="AQ1970" s="27"/>
      <c r="AR1970" s="57"/>
      <c r="AS1970" s="56">
        <f>Tabela4[[#This Row],[Total R$]]-Tabela4[[#This Row],[Total Pago]]</f>
        <v>0</v>
      </c>
      <c r="AT1970" s="36"/>
    </row>
    <row r="1971" spans="2:46" x14ac:dyDescent="0.25">
      <c r="B1971" s="44"/>
      <c r="D1971" s="349"/>
      <c r="E1971" s="33"/>
      <c r="F1971" s="33"/>
      <c r="G1971" s="33"/>
      <c r="H1971" s="33"/>
      <c r="I1971" s="33"/>
      <c r="J1971" s="33"/>
      <c r="K1971" s="33"/>
      <c r="L1971" s="561"/>
      <c r="M1971" s="33"/>
      <c r="N1971" s="33"/>
      <c r="O1971" s="33"/>
      <c r="P1971" s="184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44"/>
      <c r="AP1971" s="37"/>
      <c r="AQ1971" s="27"/>
      <c r="AR1971" s="57"/>
      <c r="AS1971" s="56">
        <f>Tabela4[[#This Row],[Total R$]]-Tabela4[[#This Row],[Total Pago]]</f>
        <v>0</v>
      </c>
      <c r="AT1971" s="36"/>
    </row>
    <row r="1972" spans="2:46" x14ac:dyDescent="0.25">
      <c r="B1972" s="44"/>
      <c r="D1972" s="349"/>
      <c r="E1972" s="33"/>
      <c r="F1972" s="33"/>
      <c r="G1972" s="33"/>
      <c r="H1972" s="33"/>
      <c r="I1972" s="33"/>
      <c r="J1972" s="33"/>
      <c r="K1972" s="33"/>
      <c r="L1972" s="561"/>
      <c r="M1972" s="33"/>
      <c r="N1972" s="33"/>
      <c r="O1972" s="33"/>
      <c r="P1972" s="184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44"/>
      <c r="AP1972" s="37"/>
      <c r="AQ1972" s="27"/>
      <c r="AR1972" s="57"/>
      <c r="AS1972" s="56">
        <f>Tabela4[[#This Row],[Total R$]]-Tabela4[[#This Row],[Total Pago]]</f>
        <v>0</v>
      </c>
      <c r="AT1972" s="36"/>
    </row>
    <row r="1973" spans="2:46" x14ac:dyDescent="0.25">
      <c r="B1973" s="44"/>
      <c r="D1973" s="349"/>
      <c r="E1973" s="33"/>
      <c r="F1973" s="33"/>
      <c r="G1973" s="33"/>
      <c r="H1973" s="33"/>
      <c r="I1973" s="33"/>
      <c r="J1973" s="33"/>
      <c r="K1973" s="33"/>
      <c r="L1973" s="561"/>
      <c r="M1973" s="33"/>
      <c r="N1973" s="33"/>
      <c r="O1973" s="33"/>
      <c r="P1973" s="184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44"/>
      <c r="AP1973" s="37"/>
      <c r="AQ1973" s="27"/>
      <c r="AR1973" s="57"/>
      <c r="AS1973" s="56">
        <f>Tabela4[[#This Row],[Total R$]]-Tabela4[[#This Row],[Total Pago]]</f>
        <v>0</v>
      </c>
      <c r="AT1973" s="36"/>
    </row>
    <row r="1974" spans="2:46" x14ac:dyDescent="0.25">
      <c r="B1974" s="44"/>
      <c r="D1974" s="349"/>
      <c r="E1974" s="33"/>
      <c r="F1974" s="33"/>
      <c r="G1974" s="33"/>
      <c r="H1974" s="33"/>
      <c r="I1974" s="33"/>
      <c r="J1974" s="33"/>
      <c r="K1974" s="33"/>
      <c r="L1974" s="561"/>
      <c r="M1974" s="33"/>
      <c r="N1974" s="33"/>
      <c r="O1974" s="33"/>
      <c r="P1974" s="184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44"/>
      <c r="AP1974" s="37"/>
      <c r="AQ1974" s="27"/>
      <c r="AR1974" s="57"/>
      <c r="AS1974" s="56">
        <f>Tabela4[[#This Row],[Total R$]]-Tabela4[[#This Row],[Total Pago]]</f>
        <v>0</v>
      </c>
      <c r="AT1974" s="36"/>
    </row>
    <row r="1975" spans="2:46" x14ac:dyDescent="0.25">
      <c r="B1975" s="44"/>
      <c r="D1975" s="349"/>
      <c r="E1975" s="33"/>
      <c r="F1975" s="33"/>
      <c r="G1975" s="33"/>
      <c r="H1975" s="33"/>
      <c r="I1975" s="33"/>
      <c r="J1975" s="33"/>
      <c r="K1975" s="33"/>
      <c r="L1975" s="561"/>
      <c r="M1975" s="33"/>
      <c r="N1975" s="33"/>
      <c r="O1975" s="33"/>
      <c r="P1975" s="184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44"/>
      <c r="AP1975" s="37"/>
      <c r="AQ1975" s="27"/>
      <c r="AR1975" s="57"/>
      <c r="AS1975" s="56">
        <f>Tabela4[[#This Row],[Total R$]]-Tabela4[[#This Row],[Total Pago]]</f>
        <v>0</v>
      </c>
      <c r="AT1975" s="36"/>
    </row>
    <row r="1976" spans="2:46" x14ac:dyDescent="0.25">
      <c r="B1976" s="44"/>
      <c r="D1976" s="349"/>
      <c r="E1976" s="33"/>
      <c r="F1976" s="33"/>
      <c r="G1976" s="33"/>
      <c r="H1976" s="33"/>
      <c r="I1976" s="33"/>
      <c r="J1976" s="33"/>
      <c r="K1976" s="33"/>
      <c r="L1976" s="561"/>
      <c r="M1976" s="33"/>
      <c r="N1976" s="33"/>
      <c r="O1976" s="33"/>
      <c r="P1976" s="184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44"/>
      <c r="AP1976" s="37"/>
      <c r="AQ1976" s="27"/>
      <c r="AR1976" s="57"/>
      <c r="AS1976" s="56">
        <f>Tabela4[[#This Row],[Total R$]]-Tabela4[[#This Row],[Total Pago]]</f>
        <v>0</v>
      </c>
      <c r="AT1976" s="36"/>
    </row>
    <row r="1977" spans="2:46" x14ac:dyDescent="0.25">
      <c r="B1977" s="44"/>
      <c r="D1977" s="349"/>
      <c r="E1977" s="33"/>
      <c r="F1977" s="33"/>
      <c r="G1977" s="33"/>
      <c r="H1977" s="33"/>
      <c r="I1977" s="33"/>
      <c r="J1977" s="33"/>
      <c r="K1977" s="33"/>
      <c r="L1977" s="561"/>
      <c r="M1977" s="33"/>
      <c r="N1977" s="33"/>
      <c r="O1977" s="33"/>
      <c r="P1977" s="184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44"/>
      <c r="AP1977" s="37"/>
      <c r="AQ1977" s="27"/>
      <c r="AR1977" s="57"/>
      <c r="AS1977" s="56">
        <f>Tabela4[[#This Row],[Total R$]]-Tabela4[[#This Row],[Total Pago]]</f>
        <v>0</v>
      </c>
      <c r="AT1977" s="36"/>
    </row>
    <row r="1978" spans="2:46" x14ac:dyDescent="0.25">
      <c r="B1978" s="44"/>
      <c r="D1978" s="349"/>
      <c r="E1978" s="33"/>
      <c r="F1978" s="33"/>
      <c r="G1978" s="33"/>
      <c r="H1978" s="33"/>
      <c r="I1978" s="33"/>
      <c r="J1978" s="33"/>
      <c r="K1978" s="33"/>
      <c r="L1978" s="561"/>
      <c r="M1978" s="33"/>
      <c r="N1978" s="33"/>
      <c r="O1978" s="33"/>
      <c r="P1978" s="184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44"/>
      <c r="AP1978" s="37"/>
      <c r="AQ1978" s="27"/>
      <c r="AR1978" s="57"/>
      <c r="AS1978" s="56">
        <f>Tabela4[[#This Row],[Total R$]]-Tabela4[[#This Row],[Total Pago]]</f>
        <v>0</v>
      </c>
      <c r="AT1978" s="36"/>
    </row>
    <row r="1979" spans="2:46" x14ac:dyDescent="0.25">
      <c r="B1979" s="44"/>
      <c r="D1979" s="349"/>
      <c r="E1979" s="33"/>
      <c r="F1979" s="33"/>
      <c r="G1979" s="33"/>
      <c r="H1979" s="33"/>
      <c r="I1979" s="33"/>
      <c r="J1979" s="33"/>
      <c r="K1979" s="33"/>
      <c r="L1979" s="561"/>
      <c r="M1979" s="33"/>
      <c r="N1979" s="33"/>
      <c r="O1979" s="33"/>
      <c r="P1979" s="184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44"/>
      <c r="AP1979" s="37"/>
      <c r="AQ1979" s="27"/>
      <c r="AR1979" s="57"/>
      <c r="AS1979" s="56">
        <f>Tabela4[[#This Row],[Total R$]]-Tabela4[[#This Row],[Total Pago]]</f>
        <v>0</v>
      </c>
      <c r="AT1979" s="36"/>
    </row>
    <row r="1980" spans="2:46" x14ac:dyDescent="0.25">
      <c r="B1980" s="44"/>
      <c r="D1980" s="349"/>
      <c r="E1980" s="33"/>
      <c r="F1980" s="33"/>
      <c r="G1980" s="33"/>
      <c r="H1980" s="33"/>
      <c r="I1980" s="33"/>
      <c r="J1980" s="33"/>
      <c r="K1980" s="33"/>
      <c r="L1980" s="561"/>
      <c r="M1980" s="33"/>
      <c r="N1980" s="33"/>
      <c r="O1980" s="33"/>
      <c r="P1980" s="184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44"/>
      <c r="AP1980" s="37"/>
      <c r="AQ1980" s="27"/>
      <c r="AR1980" s="57"/>
      <c r="AS1980" s="56">
        <f>Tabela4[[#This Row],[Total R$]]-Tabela4[[#This Row],[Total Pago]]</f>
        <v>0</v>
      </c>
      <c r="AT1980" s="36"/>
    </row>
    <row r="1981" spans="2:46" x14ac:dyDescent="0.25">
      <c r="B1981" s="44"/>
      <c r="D1981" s="349"/>
      <c r="E1981" s="33"/>
      <c r="F1981" s="33"/>
      <c r="G1981" s="33"/>
      <c r="H1981" s="33"/>
      <c r="I1981" s="33"/>
      <c r="J1981" s="33"/>
      <c r="K1981" s="33"/>
      <c r="L1981" s="561"/>
      <c r="M1981" s="33"/>
      <c r="N1981" s="33"/>
      <c r="O1981" s="33"/>
      <c r="P1981" s="184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44"/>
      <c r="AP1981" s="37"/>
      <c r="AQ1981" s="27"/>
      <c r="AR1981" s="57"/>
      <c r="AS1981" s="56">
        <f>Tabela4[[#This Row],[Total R$]]-Tabela4[[#This Row],[Total Pago]]</f>
        <v>0</v>
      </c>
      <c r="AT1981" s="36"/>
    </row>
    <row r="1982" spans="2:46" x14ac:dyDescent="0.25">
      <c r="B1982" s="44"/>
      <c r="D1982" s="349"/>
      <c r="E1982" s="33"/>
      <c r="F1982" s="33"/>
      <c r="G1982" s="33"/>
      <c r="H1982" s="33"/>
      <c r="I1982" s="33"/>
      <c r="J1982" s="33"/>
      <c r="K1982" s="33"/>
      <c r="L1982" s="561"/>
      <c r="M1982" s="33"/>
      <c r="N1982" s="33"/>
      <c r="O1982" s="33"/>
      <c r="P1982" s="184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44"/>
      <c r="AP1982" s="37"/>
      <c r="AQ1982" s="27"/>
      <c r="AR1982" s="57"/>
      <c r="AS1982" s="56">
        <f>Tabela4[[#This Row],[Total R$]]-Tabela4[[#This Row],[Total Pago]]</f>
        <v>0</v>
      </c>
      <c r="AT1982" s="36"/>
    </row>
    <row r="1983" spans="2:46" x14ac:dyDescent="0.25">
      <c r="B1983" s="44"/>
      <c r="D1983" s="349"/>
      <c r="E1983" s="33"/>
      <c r="F1983" s="33"/>
      <c r="G1983" s="33"/>
      <c r="H1983" s="33"/>
      <c r="I1983" s="33"/>
      <c r="J1983" s="33"/>
      <c r="K1983" s="33"/>
      <c r="L1983" s="561"/>
      <c r="M1983" s="33"/>
      <c r="N1983" s="33"/>
      <c r="O1983" s="33"/>
      <c r="P1983" s="184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44"/>
      <c r="AP1983" s="37"/>
      <c r="AQ1983" s="27"/>
      <c r="AR1983" s="57"/>
      <c r="AS1983" s="56">
        <f>Tabela4[[#This Row],[Total R$]]-Tabela4[[#This Row],[Total Pago]]</f>
        <v>0</v>
      </c>
      <c r="AT1983" s="36"/>
    </row>
    <row r="1984" spans="2:46" x14ac:dyDescent="0.25">
      <c r="B1984" s="44"/>
      <c r="D1984" s="349"/>
      <c r="E1984" s="33"/>
      <c r="F1984" s="33"/>
      <c r="G1984" s="33"/>
      <c r="H1984" s="33"/>
      <c r="I1984" s="33"/>
      <c r="J1984" s="33"/>
      <c r="K1984" s="33"/>
      <c r="L1984" s="561"/>
      <c r="M1984" s="33"/>
      <c r="N1984" s="33"/>
      <c r="O1984" s="33"/>
      <c r="P1984" s="184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44"/>
      <c r="AP1984" s="37"/>
      <c r="AQ1984" s="27"/>
      <c r="AR1984" s="57"/>
      <c r="AS1984" s="56">
        <f>Tabela4[[#This Row],[Total R$]]-Tabela4[[#This Row],[Total Pago]]</f>
        <v>0</v>
      </c>
      <c r="AT1984" s="36"/>
    </row>
    <row r="1985" spans="2:46" x14ac:dyDescent="0.25">
      <c r="B1985" s="44"/>
      <c r="D1985" s="349"/>
      <c r="E1985" s="33"/>
      <c r="F1985" s="33"/>
      <c r="G1985" s="33"/>
      <c r="H1985" s="33"/>
      <c r="I1985" s="33"/>
      <c r="J1985" s="33"/>
      <c r="K1985" s="33"/>
      <c r="L1985" s="561"/>
      <c r="M1985" s="33"/>
      <c r="N1985" s="33"/>
      <c r="O1985" s="33"/>
      <c r="P1985" s="184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44"/>
      <c r="AP1985" s="37"/>
      <c r="AQ1985" s="27"/>
      <c r="AR1985" s="57"/>
      <c r="AS1985" s="56">
        <f>Tabela4[[#This Row],[Total R$]]-Tabela4[[#This Row],[Total Pago]]</f>
        <v>0</v>
      </c>
      <c r="AT1985" s="36"/>
    </row>
    <row r="1986" spans="2:46" x14ac:dyDescent="0.25">
      <c r="B1986" s="44"/>
      <c r="D1986" s="349"/>
      <c r="E1986" s="33"/>
      <c r="F1986" s="33"/>
      <c r="G1986" s="33"/>
      <c r="H1986" s="33"/>
      <c r="I1986" s="33"/>
      <c r="J1986" s="33"/>
      <c r="K1986" s="33"/>
      <c r="L1986" s="561"/>
      <c r="M1986" s="33"/>
      <c r="N1986" s="33"/>
      <c r="O1986" s="33"/>
      <c r="P1986" s="184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44"/>
      <c r="AP1986" s="37"/>
      <c r="AQ1986" s="27"/>
      <c r="AR1986" s="57"/>
      <c r="AS1986" s="56">
        <f>Tabela4[[#This Row],[Total R$]]-Tabela4[[#This Row],[Total Pago]]</f>
        <v>0</v>
      </c>
      <c r="AT1986" s="36"/>
    </row>
    <row r="1987" spans="2:46" x14ac:dyDescent="0.25">
      <c r="B1987" s="44"/>
      <c r="D1987" s="349"/>
      <c r="E1987" s="33"/>
      <c r="F1987" s="33"/>
      <c r="G1987" s="33"/>
      <c r="H1987" s="33"/>
      <c r="I1987" s="33"/>
      <c r="J1987" s="33"/>
      <c r="K1987" s="33"/>
      <c r="L1987" s="561"/>
      <c r="M1987" s="33"/>
      <c r="N1987" s="33"/>
      <c r="O1987" s="33"/>
      <c r="P1987" s="184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44"/>
      <c r="AP1987" s="37"/>
      <c r="AQ1987" s="27"/>
      <c r="AR1987" s="57"/>
      <c r="AS1987" s="56">
        <f>Tabela4[[#This Row],[Total R$]]-Tabela4[[#This Row],[Total Pago]]</f>
        <v>0</v>
      </c>
      <c r="AT1987" s="36"/>
    </row>
    <row r="1988" spans="2:46" x14ac:dyDescent="0.25">
      <c r="B1988" s="44"/>
      <c r="D1988" s="349"/>
      <c r="E1988" s="33"/>
      <c r="F1988" s="33"/>
      <c r="G1988" s="33"/>
      <c r="H1988" s="33"/>
      <c r="I1988" s="33"/>
      <c r="J1988" s="33"/>
      <c r="K1988" s="33"/>
      <c r="L1988" s="561"/>
      <c r="M1988" s="33"/>
      <c r="N1988" s="33"/>
      <c r="O1988" s="33"/>
      <c r="P1988" s="184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44"/>
      <c r="AP1988" s="37"/>
      <c r="AQ1988" s="27"/>
      <c r="AR1988" s="57"/>
      <c r="AS1988" s="56">
        <f>Tabela4[[#This Row],[Total R$]]-Tabela4[[#This Row],[Total Pago]]</f>
        <v>0</v>
      </c>
      <c r="AT1988" s="36"/>
    </row>
    <row r="1989" spans="2:46" x14ac:dyDescent="0.25">
      <c r="B1989" s="44"/>
      <c r="D1989" s="349"/>
      <c r="E1989" s="33"/>
      <c r="F1989" s="33"/>
      <c r="G1989" s="33"/>
      <c r="H1989" s="33"/>
      <c r="I1989" s="33"/>
      <c r="J1989" s="33"/>
      <c r="K1989" s="33"/>
      <c r="L1989" s="561"/>
      <c r="M1989" s="33"/>
      <c r="N1989" s="33"/>
      <c r="O1989" s="33"/>
      <c r="P1989" s="184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44"/>
      <c r="AP1989" s="37"/>
      <c r="AQ1989" s="27"/>
      <c r="AR1989" s="57"/>
      <c r="AS1989" s="56">
        <f>Tabela4[[#This Row],[Total R$]]-Tabela4[[#This Row],[Total Pago]]</f>
        <v>0</v>
      </c>
      <c r="AT1989" s="36"/>
    </row>
    <row r="1990" spans="2:46" x14ac:dyDescent="0.25">
      <c r="B1990" s="44"/>
      <c r="D1990" s="349"/>
      <c r="E1990" s="33"/>
      <c r="F1990" s="33"/>
      <c r="G1990" s="33"/>
      <c r="H1990" s="33"/>
      <c r="I1990" s="33"/>
      <c r="J1990" s="33"/>
      <c r="K1990" s="33"/>
      <c r="L1990" s="561"/>
      <c r="M1990" s="33"/>
      <c r="N1990" s="33"/>
      <c r="O1990" s="33"/>
      <c r="P1990" s="184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44"/>
      <c r="AP1990" s="37"/>
      <c r="AQ1990" s="27"/>
      <c r="AR1990" s="57"/>
      <c r="AS1990" s="56">
        <f>Tabela4[[#This Row],[Total R$]]-Tabela4[[#This Row],[Total Pago]]</f>
        <v>0</v>
      </c>
      <c r="AT1990" s="36"/>
    </row>
    <row r="1991" spans="2:46" x14ac:dyDescent="0.25">
      <c r="B1991" s="44"/>
      <c r="D1991" s="349"/>
      <c r="E1991" s="33"/>
      <c r="F1991" s="33"/>
      <c r="G1991" s="33"/>
      <c r="H1991" s="33"/>
      <c r="I1991" s="33"/>
      <c r="J1991" s="33"/>
      <c r="K1991" s="33"/>
      <c r="L1991" s="561"/>
      <c r="M1991" s="33"/>
      <c r="N1991" s="33"/>
      <c r="O1991" s="33"/>
      <c r="P1991" s="184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44"/>
      <c r="AP1991" s="37"/>
      <c r="AQ1991" s="27"/>
      <c r="AR1991" s="57"/>
      <c r="AS1991" s="56">
        <f>Tabela4[[#This Row],[Total R$]]-Tabela4[[#This Row],[Total Pago]]</f>
        <v>0</v>
      </c>
      <c r="AT1991" s="36"/>
    </row>
    <row r="1992" spans="2:46" x14ac:dyDescent="0.25">
      <c r="B1992" s="44"/>
      <c r="D1992" s="349"/>
      <c r="E1992" s="33"/>
      <c r="F1992" s="33"/>
      <c r="G1992" s="33"/>
      <c r="H1992" s="33"/>
      <c r="I1992" s="33"/>
      <c r="J1992" s="33"/>
      <c r="K1992" s="33"/>
      <c r="L1992" s="561"/>
      <c r="M1992" s="33"/>
      <c r="N1992" s="33"/>
      <c r="O1992" s="33"/>
      <c r="P1992" s="184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44"/>
      <c r="AP1992" s="37"/>
      <c r="AQ1992" s="27"/>
      <c r="AR1992" s="57"/>
      <c r="AS1992" s="56">
        <f>Tabela4[[#This Row],[Total R$]]-Tabela4[[#This Row],[Total Pago]]</f>
        <v>0</v>
      </c>
      <c r="AT1992" s="36"/>
    </row>
    <row r="1993" spans="2:46" x14ac:dyDescent="0.25">
      <c r="B1993" s="44"/>
      <c r="D1993" s="349"/>
      <c r="E1993" s="33"/>
      <c r="F1993" s="33"/>
      <c r="G1993" s="33"/>
      <c r="H1993" s="33"/>
      <c r="I1993" s="33"/>
      <c r="J1993" s="33"/>
      <c r="K1993" s="33"/>
      <c r="L1993" s="561"/>
      <c r="M1993" s="33"/>
      <c r="N1993" s="33"/>
      <c r="O1993" s="33"/>
      <c r="P1993" s="184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44"/>
      <c r="AP1993" s="37"/>
      <c r="AQ1993" s="27"/>
      <c r="AR1993" s="57"/>
      <c r="AS1993" s="56">
        <f>Tabela4[[#This Row],[Total R$]]-Tabela4[[#This Row],[Total Pago]]</f>
        <v>0</v>
      </c>
      <c r="AT1993" s="36"/>
    </row>
    <row r="1994" spans="2:46" x14ac:dyDescent="0.25">
      <c r="B1994" s="44"/>
      <c r="D1994" s="349"/>
      <c r="E1994" s="33"/>
      <c r="F1994" s="33"/>
      <c r="G1994" s="33"/>
      <c r="H1994" s="33"/>
      <c r="I1994" s="33"/>
      <c r="J1994" s="33"/>
      <c r="K1994" s="33"/>
      <c r="L1994" s="561"/>
      <c r="M1994" s="33"/>
      <c r="N1994" s="33"/>
      <c r="O1994" s="33"/>
      <c r="P1994" s="184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44"/>
      <c r="AP1994" s="37"/>
      <c r="AQ1994" s="27"/>
      <c r="AR1994" s="57"/>
      <c r="AS1994" s="56">
        <f>Tabela4[[#This Row],[Total R$]]-Tabela4[[#This Row],[Total Pago]]</f>
        <v>0</v>
      </c>
      <c r="AT1994" s="36"/>
    </row>
    <row r="1995" spans="2:46" x14ac:dyDescent="0.25">
      <c r="B1995" s="44"/>
      <c r="D1995" s="349"/>
      <c r="E1995" s="33"/>
      <c r="F1995" s="33"/>
      <c r="G1995" s="33"/>
      <c r="H1995" s="33"/>
      <c r="I1995" s="33"/>
      <c r="J1995" s="33"/>
      <c r="K1995" s="33"/>
      <c r="L1995" s="561"/>
      <c r="M1995" s="33"/>
      <c r="N1995" s="33"/>
      <c r="O1995" s="33"/>
      <c r="P1995" s="184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44"/>
      <c r="AP1995" s="37"/>
      <c r="AQ1995" s="27"/>
      <c r="AR1995" s="57"/>
      <c r="AS1995" s="56">
        <f>Tabela4[[#This Row],[Total R$]]-Tabela4[[#This Row],[Total Pago]]</f>
        <v>0</v>
      </c>
      <c r="AT1995" s="36"/>
    </row>
    <row r="1996" spans="2:46" x14ac:dyDescent="0.25">
      <c r="B1996" s="44"/>
      <c r="D1996" s="349"/>
      <c r="E1996" s="33"/>
      <c r="F1996" s="33"/>
      <c r="G1996" s="33"/>
      <c r="H1996" s="33"/>
      <c r="I1996" s="33"/>
      <c r="J1996" s="33"/>
      <c r="K1996" s="33"/>
      <c r="L1996" s="561"/>
      <c r="M1996" s="33"/>
      <c r="N1996" s="33"/>
      <c r="O1996" s="33"/>
      <c r="P1996" s="184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44"/>
      <c r="AP1996" s="37"/>
      <c r="AQ1996" s="27"/>
      <c r="AR1996" s="57"/>
      <c r="AS1996" s="56">
        <f>Tabela4[[#This Row],[Total R$]]-Tabela4[[#This Row],[Total Pago]]</f>
        <v>0</v>
      </c>
      <c r="AT1996" s="36"/>
    </row>
    <row r="1997" spans="2:46" x14ac:dyDescent="0.25">
      <c r="B1997" s="44"/>
      <c r="D1997" s="349"/>
      <c r="E1997" s="33"/>
      <c r="F1997" s="33"/>
      <c r="G1997" s="33"/>
      <c r="H1997" s="33"/>
      <c r="I1997" s="33"/>
      <c r="J1997" s="33"/>
      <c r="K1997" s="33"/>
      <c r="L1997" s="561"/>
      <c r="M1997" s="33"/>
      <c r="N1997" s="33"/>
      <c r="O1997" s="33"/>
      <c r="P1997" s="184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44"/>
      <c r="AP1997" s="37"/>
      <c r="AQ1997" s="27"/>
      <c r="AR1997" s="57"/>
      <c r="AS1997" s="56">
        <f>Tabela4[[#This Row],[Total R$]]-Tabela4[[#This Row],[Total Pago]]</f>
        <v>0</v>
      </c>
      <c r="AT1997" s="36"/>
    </row>
    <row r="1998" spans="2:46" x14ac:dyDescent="0.25">
      <c r="B1998" s="44"/>
      <c r="D1998" s="349"/>
      <c r="E1998" s="33"/>
      <c r="F1998" s="33"/>
      <c r="G1998" s="33"/>
      <c r="H1998" s="33"/>
      <c r="I1998" s="33"/>
      <c r="J1998" s="33"/>
      <c r="K1998" s="33"/>
      <c r="L1998" s="561"/>
      <c r="M1998" s="33"/>
      <c r="N1998" s="33"/>
      <c r="O1998" s="33"/>
      <c r="P1998" s="184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44"/>
      <c r="AP1998" s="37"/>
      <c r="AQ1998" s="27"/>
      <c r="AR1998" s="57"/>
      <c r="AS1998" s="56">
        <f>Tabela4[[#This Row],[Total R$]]-Tabela4[[#This Row],[Total Pago]]</f>
        <v>0</v>
      </c>
      <c r="AT1998" s="36"/>
    </row>
    <row r="1999" spans="2:46" x14ac:dyDescent="0.25">
      <c r="B1999" s="44"/>
      <c r="D1999" s="349"/>
      <c r="E1999" s="33"/>
      <c r="F1999" s="33"/>
      <c r="G1999" s="33"/>
      <c r="H1999" s="33"/>
      <c r="I1999" s="33"/>
      <c r="J1999" s="33"/>
      <c r="K1999" s="33"/>
      <c r="L1999" s="561"/>
      <c r="M1999" s="33"/>
      <c r="N1999" s="33"/>
      <c r="O1999" s="33"/>
      <c r="P1999" s="184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44"/>
      <c r="AP1999" s="37"/>
      <c r="AQ1999" s="27"/>
      <c r="AR1999" s="57"/>
      <c r="AS1999" s="56">
        <f>Tabela4[[#This Row],[Total R$]]-Tabela4[[#This Row],[Total Pago]]</f>
        <v>0</v>
      </c>
      <c r="AT1999" s="36"/>
    </row>
    <row r="2000" spans="2:46" x14ac:dyDescent="0.25">
      <c r="B2000" s="44"/>
      <c r="D2000" s="349"/>
      <c r="E2000" s="33"/>
      <c r="F2000" s="33"/>
      <c r="G2000" s="33"/>
      <c r="H2000" s="33"/>
      <c r="I2000" s="33"/>
      <c r="J2000" s="33"/>
      <c r="K2000" s="33"/>
      <c r="L2000" s="561"/>
      <c r="M2000" s="33"/>
      <c r="N2000" s="33"/>
      <c r="O2000" s="33"/>
      <c r="P2000" s="184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44"/>
      <c r="AP2000" s="37"/>
      <c r="AQ2000" s="27"/>
      <c r="AR2000" s="57"/>
      <c r="AS2000" s="56">
        <f>Tabela4[[#This Row],[Total R$]]-Tabela4[[#This Row],[Total Pago]]</f>
        <v>0</v>
      </c>
      <c r="AT2000" s="36"/>
    </row>
    <row r="2001" spans="2:46" x14ac:dyDescent="0.25">
      <c r="B2001" s="44"/>
      <c r="D2001" s="349"/>
      <c r="E2001" s="33"/>
      <c r="F2001" s="33"/>
      <c r="G2001" s="33"/>
      <c r="H2001" s="33"/>
      <c r="I2001" s="33"/>
      <c r="J2001" s="33"/>
      <c r="K2001" s="33"/>
      <c r="L2001" s="561"/>
      <c r="M2001" s="33"/>
      <c r="N2001" s="33"/>
      <c r="O2001" s="33"/>
      <c r="P2001" s="184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44"/>
      <c r="AP2001" s="37"/>
      <c r="AQ2001" s="27"/>
      <c r="AR2001" s="57"/>
      <c r="AS2001" s="56">
        <f>Tabela4[[#This Row],[Total R$]]-Tabela4[[#This Row],[Total Pago]]</f>
        <v>0</v>
      </c>
      <c r="AT2001" s="36"/>
    </row>
    <row r="2002" spans="2:46" x14ac:dyDescent="0.25">
      <c r="B2002" s="44"/>
      <c r="D2002" s="349"/>
      <c r="E2002" s="33"/>
      <c r="F2002" s="33"/>
      <c r="G2002" s="33"/>
      <c r="H2002" s="33"/>
      <c r="I2002" s="33"/>
      <c r="J2002" s="33"/>
      <c r="K2002" s="33"/>
      <c r="L2002" s="561"/>
      <c r="M2002" s="33"/>
      <c r="N2002" s="33"/>
      <c r="O2002" s="33"/>
      <c r="P2002" s="184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44"/>
      <c r="AP2002" s="37"/>
      <c r="AQ2002" s="27"/>
      <c r="AR2002" s="57"/>
      <c r="AS2002" s="56">
        <f>Tabela4[[#This Row],[Total R$]]-Tabela4[[#This Row],[Total Pago]]</f>
        <v>0</v>
      </c>
      <c r="AT2002" s="36"/>
    </row>
    <row r="2003" spans="2:46" x14ac:dyDescent="0.25">
      <c r="B2003" s="44"/>
      <c r="D2003" s="349"/>
      <c r="E2003" s="33"/>
      <c r="F2003" s="33"/>
      <c r="G2003" s="33"/>
      <c r="H2003" s="33"/>
      <c r="I2003" s="33"/>
      <c r="J2003" s="33"/>
      <c r="K2003" s="33"/>
      <c r="L2003" s="561"/>
      <c r="M2003" s="33"/>
      <c r="N2003" s="33"/>
      <c r="O2003" s="33"/>
      <c r="P2003" s="184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44"/>
      <c r="AP2003" s="37"/>
      <c r="AQ2003" s="27"/>
      <c r="AR2003" s="57"/>
      <c r="AS2003" s="56">
        <f>Tabela4[[#This Row],[Total R$]]-Tabela4[[#This Row],[Total Pago]]</f>
        <v>0</v>
      </c>
      <c r="AT2003" s="36"/>
    </row>
    <row r="2004" spans="2:46" x14ac:dyDescent="0.25">
      <c r="B2004" s="44"/>
      <c r="D2004" s="349"/>
      <c r="E2004" s="33"/>
      <c r="F2004" s="33"/>
      <c r="G2004" s="33"/>
      <c r="H2004" s="33"/>
      <c r="I2004" s="33"/>
      <c r="J2004" s="33"/>
      <c r="K2004" s="33"/>
      <c r="L2004" s="561"/>
      <c r="M2004" s="33"/>
      <c r="N2004" s="33"/>
      <c r="O2004" s="33"/>
      <c r="P2004" s="184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44"/>
      <c r="AP2004" s="37"/>
      <c r="AQ2004" s="27"/>
      <c r="AR2004" s="57"/>
      <c r="AS2004" s="56">
        <f>Tabela4[[#This Row],[Total R$]]-Tabela4[[#This Row],[Total Pago]]</f>
        <v>0</v>
      </c>
      <c r="AT2004" s="36"/>
    </row>
    <row r="2005" spans="2:46" x14ac:dyDescent="0.25">
      <c r="B2005" s="44"/>
      <c r="D2005" s="349"/>
      <c r="E2005" s="33"/>
      <c r="F2005" s="33"/>
      <c r="G2005" s="33"/>
      <c r="H2005" s="33"/>
      <c r="I2005" s="33"/>
      <c r="J2005" s="33"/>
      <c r="K2005" s="33"/>
      <c r="L2005" s="561"/>
      <c r="M2005" s="33"/>
      <c r="N2005" s="33"/>
      <c r="O2005" s="33"/>
      <c r="P2005" s="184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44"/>
      <c r="AP2005" s="37"/>
      <c r="AQ2005" s="27"/>
      <c r="AR2005" s="57"/>
      <c r="AS2005" s="56">
        <f>Tabela4[[#This Row],[Total R$]]-Tabela4[[#This Row],[Total Pago]]</f>
        <v>0</v>
      </c>
      <c r="AT2005" s="36"/>
    </row>
    <row r="2006" spans="2:46" x14ac:dyDescent="0.25">
      <c r="B2006" s="44"/>
      <c r="D2006" s="349"/>
      <c r="E2006" s="33"/>
      <c r="F2006" s="33"/>
      <c r="G2006" s="33"/>
      <c r="H2006" s="33"/>
      <c r="I2006" s="33"/>
      <c r="J2006" s="33"/>
      <c r="K2006" s="33"/>
      <c r="L2006" s="561"/>
      <c r="M2006" s="33"/>
      <c r="N2006" s="33"/>
      <c r="O2006" s="33"/>
      <c r="P2006" s="184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44"/>
      <c r="AP2006" s="37"/>
      <c r="AQ2006" s="27"/>
      <c r="AR2006" s="57"/>
      <c r="AS2006" s="56">
        <f>Tabela4[[#This Row],[Total R$]]-Tabela4[[#This Row],[Total Pago]]</f>
        <v>0</v>
      </c>
      <c r="AT2006" s="36"/>
    </row>
    <row r="2007" spans="2:46" x14ac:dyDescent="0.25">
      <c r="B2007" s="44"/>
      <c r="D2007" s="349"/>
      <c r="E2007" s="33"/>
      <c r="F2007" s="33"/>
      <c r="G2007" s="33"/>
      <c r="H2007" s="33"/>
      <c r="I2007" s="33"/>
      <c r="J2007" s="33"/>
      <c r="K2007" s="33"/>
      <c r="L2007" s="561"/>
      <c r="M2007" s="33"/>
      <c r="N2007" s="33"/>
      <c r="O2007" s="33"/>
      <c r="P2007" s="184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44"/>
      <c r="AP2007" s="37"/>
      <c r="AQ2007" s="27"/>
      <c r="AR2007" s="57"/>
      <c r="AS2007" s="56">
        <f>Tabela4[[#This Row],[Total R$]]-Tabela4[[#This Row],[Total Pago]]</f>
        <v>0</v>
      </c>
      <c r="AT2007" s="36"/>
    </row>
    <row r="2008" spans="2:46" x14ac:dyDescent="0.25">
      <c r="B2008" s="44"/>
      <c r="D2008" s="349"/>
      <c r="E2008" s="33"/>
      <c r="F2008" s="33"/>
      <c r="G2008" s="33"/>
      <c r="H2008" s="33"/>
      <c r="I2008" s="33"/>
      <c r="J2008" s="33"/>
      <c r="K2008" s="33"/>
      <c r="L2008" s="561"/>
      <c r="M2008" s="33"/>
      <c r="N2008" s="33"/>
      <c r="O2008" s="33"/>
      <c r="P2008" s="184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44"/>
      <c r="AP2008" s="37"/>
      <c r="AQ2008" s="27"/>
      <c r="AR2008" s="57"/>
      <c r="AS2008" s="56">
        <f>Tabela4[[#This Row],[Total R$]]-Tabela4[[#This Row],[Total Pago]]</f>
        <v>0</v>
      </c>
      <c r="AT2008" s="36"/>
    </row>
    <row r="2009" spans="2:46" x14ac:dyDescent="0.25">
      <c r="B2009" s="44"/>
      <c r="D2009" s="349"/>
      <c r="E2009" s="33"/>
      <c r="F2009" s="33"/>
      <c r="G2009" s="33"/>
      <c r="H2009" s="33"/>
      <c r="I2009" s="33"/>
      <c r="J2009" s="33"/>
      <c r="K2009" s="33"/>
      <c r="L2009" s="561"/>
      <c r="M2009" s="33"/>
      <c r="N2009" s="33"/>
      <c r="O2009" s="33"/>
      <c r="P2009" s="184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44"/>
      <c r="AP2009" s="37"/>
      <c r="AQ2009" s="27"/>
      <c r="AR2009" s="57"/>
      <c r="AS2009" s="56">
        <f>Tabela4[[#This Row],[Total R$]]-Tabela4[[#This Row],[Total Pago]]</f>
        <v>0</v>
      </c>
      <c r="AT2009" s="36"/>
    </row>
    <row r="2010" spans="2:46" x14ac:dyDescent="0.25">
      <c r="B2010" s="44"/>
      <c r="D2010" s="349"/>
      <c r="E2010" s="33"/>
      <c r="F2010" s="33"/>
      <c r="G2010" s="33"/>
      <c r="H2010" s="33"/>
      <c r="I2010" s="33"/>
      <c r="J2010" s="33"/>
      <c r="K2010" s="33"/>
      <c r="L2010" s="561"/>
      <c r="M2010" s="33"/>
      <c r="N2010" s="33"/>
      <c r="O2010" s="33"/>
      <c r="P2010" s="184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44"/>
      <c r="AP2010" s="37"/>
      <c r="AQ2010" s="27"/>
      <c r="AR2010" s="57"/>
      <c r="AS2010" s="56">
        <f>Tabela4[[#This Row],[Total R$]]-Tabela4[[#This Row],[Total Pago]]</f>
        <v>0</v>
      </c>
      <c r="AT2010" s="36"/>
    </row>
    <row r="2011" spans="2:46" x14ac:dyDescent="0.25">
      <c r="B2011" s="44"/>
      <c r="D2011" s="349"/>
      <c r="E2011" s="33"/>
      <c r="F2011" s="33"/>
      <c r="G2011" s="33"/>
      <c r="H2011" s="33"/>
      <c r="I2011" s="33"/>
      <c r="J2011" s="33"/>
      <c r="K2011" s="33"/>
      <c r="L2011" s="561"/>
      <c r="M2011" s="33"/>
      <c r="N2011" s="33"/>
      <c r="O2011" s="33"/>
      <c r="P2011" s="184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44"/>
      <c r="AP2011" s="37"/>
      <c r="AQ2011" s="27"/>
      <c r="AR2011" s="57"/>
      <c r="AS2011" s="56">
        <f>Tabela4[[#This Row],[Total R$]]-Tabela4[[#This Row],[Total Pago]]</f>
        <v>0</v>
      </c>
      <c r="AT2011" s="36"/>
    </row>
    <row r="2016" spans="2:46" x14ac:dyDescent="0.25">
      <c r="B2016" s="44"/>
    </row>
    <row r="2017" spans="2:2" x14ac:dyDescent="0.25">
      <c r="B2017" s="44"/>
    </row>
  </sheetData>
  <phoneticPr fontId="20" type="noConversion"/>
  <pageMargins left="0.511811024" right="0.511811024" top="0.78740157499999996" bottom="0.78740157499999996" header="0.31496062000000002" footer="0.31496062000000002"/>
  <pageSetup paperSize="119" scale="17" fitToHeight="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D3D2-4A35-40B3-A517-FA8868CA5490}">
  <sheetPr codeName="Planilha8">
    <pageSetUpPr fitToPage="1"/>
  </sheetPr>
  <dimension ref="A1:DQ333"/>
  <sheetViews>
    <sheetView tabSelected="1" zoomScale="25" zoomScaleNormal="25" workbookViewId="0">
      <selection activeCell="B10" sqref="B10:E10"/>
    </sheetView>
  </sheetViews>
  <sheetFormatPr defaultRowHeight="15" x14ac:dyDescent="0.25"/>
  <cols>
    <col min="1" max="1" width="128.140625" style="17" customWidth="1"/>
    <col min="2" max="2" width="34.42578125" style="17" bestFit="1" customWidth="1"/>
    <col min="3" max="3" width="33.28515625" style="17" customWidth="1"/>
    <col min="4" max="4" width="32.140625" style="17" customWidth="1"/>
    <col min="5" max="5" width="55.5703125" style="17" customWidth="1"/>
    <col min="6" max="15" width="9.140625" style="17"/>
    <col min="16" max="16" width="9" style="17" customWidth="1"/>
    <col min="17" max="19" width="9.140625" style="17"/>
    <col min="20" max="20" width="81.28515625" style="17" bestFit="1" customWidth="1"/>
    <col min="21" max="21" width="1.7109375" style="17" hidden="1" customWidth="1"/>
    <col min="22" max="22" width="6.28515625" style="17" customWidth="1"/>
    <col min="23" max="23" width="8.5703125" style="17" customWidth="1"/>
    <col min="24" max="24" width="9.140625" style="17" hidden="1" customWidth="1"/>
    <col min="25" max="31" width="9.140625" style="17"/>
    <col min="32" max="32" width="27.42578125" style="17" customWidth="1"/>
    <col min="33" max="16384" width="9.140625" style="17"/>
  </cols>
  <sheetData>
    <row r="1" spans="1:121" ht="60" customHeight="1" thickTop="1" thickBot="1" x14ac:dyDescent="0.8">
      <c r="A1" s="125"/>
      <c r="B1" s="125" t="s">
        <v>290</v>
      </c>
      <c r="C1" s="125"/>
      <c r="D1" s="125"/>
      <c r="E1" s="125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7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360" t="s">
        <v>356</v>
      </c>
      <c r="AP1" s="360"/>
      <c r="AQ1" s="360"/>
      <c r="AR1" s="360"/>
      <c r="AS1" s="360"/>
      <c r="AT1" s="360"/>
      <c r="AU1" s="360"/>
      <c r="AV1" s="360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</row>
    <row r="2" spans="1:121" ht="59.25" customHeight="1" thickTop="1" thickBot="1" x14ac:dyDescent="0.8">
      <c r="A2" s="125"/>
      <c r="B2" s="125"/>
      <c r="C2" s="125"/>
      <c r="D2" s="125"/>
      <c r="E2" s="125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362"/>
      <c r="U2" s="363"/>
      <c r="V2" s="363"/>
      <c r="W2" s="363"/>
      <c r="X2" s="363"/>
      <c r="Y2" s="363"/>
      <c r="Z2" s="363"/>
      <c r="AA2" s="363"/>
      <c r="AB2" s="363"/>
      <c r="AC2" s="364"/>
      <c r="AD2" s="368"/>
      <c r="AE2" s="369"/>
      <c r="AF2" s="370"/>
      <c r="AG2" s="126"/>
      <c r="AH2" s="126"/>
      <c r="AI2" s="126"/>
      <c r="AJ2" s="126"/>
      <c r="AK2" s="126"/>
      <c r="AL2" s="126"/>
      <c r="AM2" s="126"/>
      <c r="AN2" s="126"/>
      <c r="AO2" s="360"/>
      <c r="AP2" s="360"/>
      <c r="AQ2" s="360"/>
      <c r="AR2" s="360"/>
      <c r="AS2" s="360"/>
      <c r="AT2" s="360"/>
      <c r="AU2" s="360"/>
      <c r="AV2" s="360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6"/>
      <c r="CV2" s="126"/>
      <c r="CW2" s="126"/>
      <c r="CX2" s="126"/>
      <c r="CY2" s="126"/>
      <c r="CZ2" s="126"/>
      <c r="DA2" s="126"/>
      <c r="DB2" s="126"/>
      <c r="DC2" s="126"/>
      <c r="DD2" s="126"/>
      <c r="DE2" s="126"/>
      <c r="DF2" s="126"/>
      <c r="DG2" s="126"/>
      <c r="DH2" s="126"/>
      <c r="DI2" s="126"/>
      <c r="DJ2" s="126"/>
      <c r="DK2" s="126"/>
      <c r="DL2" s="126"/>
      <c r="DM2" s="126"/>
      <c r="DN2" s="126"/>
      <c r="DO2" s="126"/>
      <c r="DP2" s="126"/>
      <c r="DQ2" s="126"/>
    </row>
    <row r="3" spans="1:121" ht="84.75" customHeight="1" thickTop="1" thickBot="1" x14ac:dyDescent="0.8">
      <c r="A3" s="125"/>
      <c r="B3" s="125"/>
      <c r="C3" s="125"/>
      <c r="D3" s="125"/>
      <c r="E3" s="125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365"/>
      <c r="U3" s="366"/>
      <c r="V3" s="366"/>
      <c r="W3" s="366"/>
      <c r="X3" s="366"/>
      <c r="Y3" s="366"/>
      <c r="Z3" s="366"/>
      <c r="AA3" s="366"/>
      <c r="AB3" s="366"/>
      <c r="AC3" s="367"/>
      <c r="AD3" s="371"/>
      <c r="AE3" s="372"/>
      <c r="AF3" s="373"/>
      <c r="AG3" s="126"/>
      <c r="AH3" s="126"/>
      <c r="AI3" s="126"/>
      <c r="AJ3" s="126"/>
      <c r="AK3" s="126"/>
      <c r="AL3" s="126"/>
      <c r="AM3" s="126"/>
      <c r="AN3" s="126"/>
      <c r="AO3" s="360"/>
      <c r="AP3" s="360"/>
      <c r="AQ3" s="360"/>
      <c r="AR3" s="360"/>
      <c r="AS3" s="360"/>
      <c r="AT3" s="360"/>
      <c r="AU3" s="360"/>
      <c r="AV3" s="360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6"/>
      <c r="CY3" s="126"/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</row>
    <row r="4" spans="1:121" ht="55.5" hidden="1" customHeight="1" x14ac:dyDescent="0.75">
      <c r="A4" s="125"/>
      <c r="B4" s="125"/>
      <c r="C4" s="125"/>
      <c r="D4" s="125"/>
      <c r="E4" s="125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6"/>
      <c r="AK4" s="126"/>
      <c r="AL4" s="126"/>
      <c r="AM4" s="126"/>
      <c r="AN4" s="126"/>
      <c r="AO4" s="128"/>
      <c r="AP4" s="128"/>
      <c r="AQ4" s="128"/>
      <c r="AR4" s="128"/>
      <c r="AS4" s="128"/>
      <c r="AT4" s="128"/>
      <c r="AU4" s="128"/>
      <c r="AV4" s="128"/>
      <c r="AW4" s="126"/>
      <c r="AX4" s="126"/>
      <c r="AY4" s="126"/>
      <c r="AZ4" s="126"/>
      <c r="BA4" s="126"/>
      <c r="BB4" s="126"/>
      <c r="BC4" s="126"/>
      <c r="BD4" s="126"/>
      <c r="BE4" s="126"/>
      <c r="BF4" s="126"/>
      <c r="BG4" s="126"/>
      <c r="BH4" s="126"/>
      <c r="BI4" s="126"/>
      <c r="BJ4" s="126"/>
      <c r="BK4" s="126"/>
      <c r="BL4" s="126"/>
      <c r="BM4" s="126"/>
      <c r="BN4" s="126"/>
      <c r="BO4" s="126"/>
      <c r="BP4" s="126"/>
      <c r="BQ4" s="126"/>
      <c r="BR4" s="126"/>
      <c r="BS4" s="126"/>
      <c r="BT4" s="126"/>
      <c r="BU4" s="126"/>
      <c r="BV4" s="126"/>
      <c r="BW4" s="126"/>
      <c r="BX4" s="126"/>
      <c r="BY4" s="126"/>
      <c r="BZ4" s="126"/>
      <c r="CA4" s="126"/>
      <c r="CB4" s="126"/>
      <c r="CC4" s="126"/>
      <c r="CD4" s="126"/>
      <c r="CE4" s="126"/>
      <c r="CF4" s="126"/>
      <c r="CG4" s="126"/>
      <c r="CH4" s="126"/>
      <c r="CI4" s="126"/>
      <c r="CJ4" s="126"/>
      <c r="CK4" s="126"/>
      <c r="CL4" s="126"/>
      <c r="CM4" s="126"/>
      <c r="CN4" s="126"/>
      <c r="CO4" s="126"/>
      <c r="CP4" s="126"/>
      <c r="CQ4" s="126"/>
      <c r="CR4" s="126"/>
      <c r="CS4" s="126"/>
      <c r="CT4" s="126"/>
      <c r="CU4" s="126"/>
      <c r="CV4" s="126"/>
      <c r="CW4" s="126"/>
      <c r="CX4" s="126"/>
      <c r="CY4" s="126"/>
      <c r="CZ4" s="126"/>
      <c r="DA4" s="126"/>
      <c r="DB4" s="126"/>
      <c r="DC4" s="126"/>
      <c r="DD4" s="126"/>
      <c r="DE4" s="126"/>
      <c r="DF4" s="126"/>
      <c r="DG4" s="126"/>
      <c r="DH4" s="126"/>
      <c r="DI4" s="126"/>
      <c r="DJ4" s="126"/>
      <c r="DK4" s="126"/>
      <c r="DL4" s="126"/>
      <c r="DM4" s="126"/>
      <c r="DN4" s="126"/>
      <c r="DO4" s="126"/>
      <c r="DP4" s="126"/>
      <c r="DQ4" s="126"/>
    </row>
    <row r="5" spans="1:121" ht="21" customHeight="1" thickTop="1" thickBot="1" x14ac:dyDescent="0.8">
      <c r="A5" s="125"/>
      <c r="B5" s="125"/>
      <c r="C5" s="125"/>
      <c r="D5" s="125"/>
      <c r="E5" s="125"/>
      <c r="F5" s="126"/>
      <c r="G5" s="126"/>
      <c r="H5" s="126"/>
      <c r="I5" s="126"/>
      <c r="J5" s="126"/>
      <c r="K5" s="126"/>
      <c r="L5" s="186">
        <v>45897</v>
      </c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361" t="s">
        <v>357</v>
      </c>
      <c r="AP5" s="361"/>
      <c r="AQ5" s="361"/>
      <c r="AR5" s="361"/>
      <c r="AS5" s="361"/>
      <c r="AT5" s="361"/>
      <c r="AU5" s="361"/>
      <c r="AV5" s="361"/>
      <c r="AW5" s="126"/>
      <c r="AX5" s="126"/>
      <c r="AY5" s="126"/>
      <c r="AZ5" s="126"/>
      <c r="BA5" s="126"/>
      <c r="BB5" s="126"/>
      <c r="BC5" s="126"/>
      <c r="BD5" s="126"/>
      <c r="BE5" s="126"/>
      <c r="BF5" s="126"/>
      <c r="BG5" s="126"/>
      <c r="BH5" s="126"/>
      <c r="BI5" s="126"/>
      <c r="BJ5" s="126"/>
      <c r="BK5" s="126"/>
      <c r="BL5" s="126"/>
      <c r="BM5" s="126"/>
      <c r="BN5" s="126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  <c r="DG5" s="126"/>
      <c r="DH5" s="126"/>
      <c r="DI5" s="126"/>
      <c r="DJ5" s="126"/>
      <c r="DK5" s="126"/>
      <c r="DL5" s="126"/>
      <c r="DM5" s="126"/>
      <c r="DN5" s="126"/>
      <c r="DO5" s="126"/>
      <c r="DP5" s="126"/>
      <c r="DQ5" s="126"/>
    </row>
    <row r="6" spans="1:121" ht="51" customHeight="1" thickTop="1" thickBot="1" x14ac:dyDescent="0.8">
      <c r="A6" s="125"/>
      <c r="B6" s="125"/>
      <c r="C6" s="125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361"/>
      <c r="AP6" s="361"/>
      <c r="AQ6" s="361"/>
      <c r="AR6" s="361"/>
      <c r="AS6" s="361"/>
      <c r="AT6" s="361"/>
      <c r="AU6" s="361"/>
      <c r="AV6" s="361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6"/>
      <c r="BU6" s="126"/>
      <c r="BV6" s="126"/>
      <c r="BW6" s="126"/>
      <c r="BX6" s="126"/>
      <c r="BY6" s="126"/>
      <c r="BZ6" s="126"/>
      <c r="CA6" s="126"/>
      <c r="CB6" s="126"/>
      <c r="CC6" s="126"/>
      <c r="CD6" s="126"/>
      <c r="CE6" s="126"/>
      <c r="CF6" s="126"/>
      <c r="CG6" s="126"/>
      <c r="CH6" s="126"/>
      <c r="CI6" s="126"/>
      <c r="CJ6" s="126"/>
      <c r="CK6" s="126"/>
      <c r="CL6" s="126"/>
      <c r="CM6" s="126"/>
      <c r="CN6" s="126"/>
      <c r="CO6" s="126"/>
      <c r="CP6" s="126"/>
      <c r="CQ6" s="126"/>
      <c r="CR6" s="126"/>
      <c r="CS6" s="126"/>
      <c r="CT6" s="126"/>
      <c r="CU6" s="126"/>
      <c r="CV6" s="126"/>
      <c r="CW6" s="126"/>
      <c r="CX6" s="126"/>
      <c r="CY6" s="126"/>
      <c r="CZ6" s="126"/>
      <c r="DA6" s="126"/>
      <c r="DB6" s="126"/>
      <c r="DC6" s="126"/>
      <c r="DD6" s="126"/>
      <c r="DE6" s="126"/>
      <c r="DF6" s="126"/>
      <c r="DG6" s="126"/>
      <c r="DH6" s="126"/>
      <c r="DI6" s="126"/>
      <c r="DJ6" s="126"/>
      <c r="DK6" s="126"/>
      <c r="DL6" s="126"/>
      <c r="DM6" s="126"/>
      <c r="DN6" s="126"/>
      <c r="DO6" s="126"/>
      <c r="DP6" s="126"/>
      <c r="DQ6" s="126"/>
    </row>
    <row r="7" spans="1:121" ht="45" hidden="1" customHeight="1" thickBot="1" x14ac:dyDescent="0.8">
      <c r="A7" s="125"/>
      <c r="B7" s="125"/>
      <c r="C7" s="125"/>
      <c r="D7" s="125"/>
      <c r="E7" s="125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361"/>
      <c r="AP7" s="361"/>
      <c r="AQ7" s="361"/>
      <c r="AR7" s="361"/>
      <c r="AS7" s="361"/>
      <c r="AT7" s="361"/>
      <c r="AU7" s="361"/>
      <c r="AV7" s="361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</row>
    <row r="8" spans="1:121" ht="42" hidden="1" customHeight="1" thickBot="1" x14ac:dyDescent="0.8">
      <c r="A8" s="125"/>
      <c r="B8" s="125"/>
      <c r="C8" s="125"/>
      <c r="D8" s="125"/>
      <c r="E8" s="125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  <c r="AI8" s="126"/>
      <c r="AJ8" s="126"/>
      <c r="AK8" s="126"/>
      <c r="AL8" s="126"/>
      <c r="AM8" s="126"/>
      <c r="AN8" s="126"/>
      <c r="AO8" s="361"/>
      <c r="AP8" s="361"/>
      <c r="AQ8" s="361"/>
      <c r="AR8" s="361"/>
      <c r="AS8" s="361"/>
      <c r="AT8" s="361"/>
      <c r="AU8" s="361"/>
      <c r="AV8" s="361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26"/>
      <c r="CI8" s="126"/>
      <c r="CJ8" s="126"/>
      <c r="CK8" s="126"/>
      <c r="CL8" s="126"/>
      <c r="CM8" s="126"/>
      <c r="CN8" s="126"/>
      <c r="CO8" s="126"/>
      <c r="CP8" s="126"/>
      <c r="CQ8" s="126"/>
      <c r="CR8" s="126"/>
      <c r="CS8" s="126"/>
      <c r="CT8" s="126"/>
      <c r="CU8" s="126"/>
      <c r="CV8" s="126"/>
      <c r="CW8" s="126"/>
      <c r="CX8" s="126"/>
      <c r="CY8" s="126"/>
      <c r="CZ8" s="126"/>
      <c r="DA8" s="126"/>
      <c r="DB8" s="126"/>
      <c r="DC8" s="126"/>
      <c r="DD8" s="126"/>
      <c r="DE8" s="126"/>
      <c r="DF8" s="126"/>
      <c r="DG8" s="126"/>
      <c r="DH8" s="126"/>
      <c r="DI8" s="126"/>
      <c r="DJ8" s="126"/>
      <c r="DK8" s="126"/>
      <c r="DL8" s="126"/>
      <c r="DM8" s="126"/>
      <c r="DN8" s="126"/>
      <c r="DO8" s="126"/>
      <c r="DP8" s="126"/>
      <c r="DQ8" s="126"/>
    </row>
    <row r="9" spans="1:121" ht="60" hidden="1" customHeight="1" thickBot="1" x14ac:dyDescent="0.8">
      <c r="A9" s="125"/>
      <c r="B9" s="125"/>
      <c r="C9" s="125"/>
      <c r="D9" s="125"/>
      <c r="E9" s="125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361"/>
      <c r="AP9" s="361"/>
      <c r="AQ9" s="361"/>
      <c r="AR9" s="361"/>
      <c r="AS9" s="361"/>
      <c r="AT9" s="361"/>
      <c r="AU9" s="361"/>
      <c r="AV9" s="361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6"/>
      <c r="BJ9" s="126"/>
      <c r="BK9" s="126"/>
      <c r="BL9" s="126"/>
      <c r="BM9" s="126"/>
      <c r="BN9" s="126"/>
      <c r="BO9" s="126"/>
      <c r="BP9" s="126"/>
      <c r="BQ9" s="126"/>
      <c r="BR9" s="126"/>
      <c r="BS9" s="126"/>
      <c r="BT9" s="126"/>
      <c r="BU9" s="126"/>
      <c r="BV9" s="126"/>
      <c r="BW9" s="126"/>
      <c r="BX9" s="126"/>
      <c r="BY9" s="126"/>
      <c r="BZ9" s="126"/>
      <c r="CA9" s="126"/>
      <c r="CB9" s="126"/>
      <c r="CC9" s="126"/>
      <c r="CD9" s="126"/>
      <c r="CE9" s="126"/>
      <c r="CF9" s="126"/>
      <c r="CG9" s="126"/>
      <c r="CH9" s="126"/>
      <c r="CI9" s="126"/>
      <c r="CJ9" s="126"/>
      <c r="CK9" s="126"/>
      <c r="CL9" s="126"/>
      <c r="CM9" s="126"/>
      <c r="CN9" s="126"/>
      <c r="CO9" s="126"/>
      <c r="CP9" s="126"/>
      <c r="CQ9" s="126"/>
      <c r="CR9" s="126"/>
      <c r="CS9" s="126"/>
      <c r="CT9" s="126"/>
      <c r="CU9" s="126"/>
      <c r="CV9" s="126"/>
      <c r="CW9" s="126"/>
      <c r="CX9" s="126"/>
      <c r="CY9" s="126"/>
      <c r="CZ9" s="126"/>
      <c r="DA9" s="126"/>
      <c r="DB9" s="126"/>
      <c r="DC9" s="126"/>
      <c r="DD9" s="126"/>
      <c r="DE9" s="126"/>
      <c r="DF9" s="126"/>
      <c r="DG9" s="126"/>
      <c r="DH9" s="126"/>
      <c r="DI9" s="126"/>
      <c r="DJ9" s="126"/>
      <c r="DK9" s="126"/>
      <c r="DL9" s="126"/>
      <c r="DM9" s="126"/>
      <c r="DN9" s="126"/>
      <c r="DO9" s="126"/>
      <c r="DP9" s="126"/>
      <c r="DQ9" s="126"/>
    </row>
    <row r="10" spans="1:121" ht="87.75" customHeight="1" thickTop="1" thickBot="1" x14ac:dyDescent="1.1000000000000001">
      <c r="A10" s="129" t="s">
        <v>46</v>
      </c>
      <c r="B10" s="374"/>
      <c r="C10" s="375"/>
      <c r="D10" s="375"/>
      <c r="E10" s="376"/>
      <c r="F10" s="126"/>
      <c r="G10" s="130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31" t="s">
        <v>335</v>
      </c>
      <c r="U10" s="132"/>
      <c r="V10" s="387">
        <v>45897</v>
      </c>
      <c r="W10" s="388"/>
      <c r="X10" s="388"/>
      <c r="Y10" s="388"/>
      <c r="Z10" s="388"/>
      <c r="AA10" s="388"/>
      <c r="AB10" s="388"/>
      <c r="AC10" s="388"/>
      <c r="AD10" s="388"/>
      <c r="AE10" s="388"/>
      <c r="AF10" s="388"/>
      <c r="AG10" s="126"/>
      <c r="AH10" s="126"/>
      <c r="AI10" s="126"/>
      <c r="AJ10" s="126"/>
      <c r="AK10" s="126"/>
      <c r="AL10" s="126"/>
      <c r="AM10" s="126"/>
      <c r="AN10" s="126"/>
      <c r="AO10" s="361"/>
      <c r="AP10" s="361"/>
      <c r="AQ10" s="361"/>
      <c r="AR10" s="361"/>
      <c r="AS10" s="361"/>
      <c r="AT10" s="361"/>
      <c r="AU10" s="361"/>
      <c r="AV10" s="361"/>
      <c r="AW10" s="126"/>
      <c r="AX10" s="126"/>
      <c r="AY10" s="126"/>
      <c r="AZ10" s="126"/>
      <c r="BA10" s="126"/>
      <c r="BB10" s="126"/>
      <c r="BC10" s="126"/>
      <c r="BD10" s="126"/>
      <c r="BE10" s="126"/>
      <c r="BF10" s="126"/>
      <c r="BG10" s="126"/>
      <c r="BH10" s="126"/>
      <c r="BI10" s="126"/>
      <c r="BJ10" s="126"/>
      <c r="BK10" s="126"/>
      <c r="BL10" s="126"/>
      <c r="BM10" s="126"/>
      <c r="BN10" s="126"/>
      <c r="BO10" s="126"/>
      <c r="BP10" s="126"/>
      <c r="BQ10" s="126"/>
      <c r="BR10" s="126"/>
      <c r="BS10" s="126"/>
      <c r="BT10" s="126"/>
      <c r="BU10" s="126"/>
      <c r="BV10" s="126"/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  <c r="CG10" s="126"/>
      <c r="CH10" s="126"/>
      <c r="CI10" s="126"/>
      <c r="CJ10" s="126"/>
      <c r="CK10" s="126"/>
      <c r="CL10" s="126"/>
      <c r="CM10" s="126"/>
      <c r="CN10" s="126"/>
      <c r="CO10" s="126"/>
      <c r="CP10" s="126"/>
      <c r="CQ10" s="126"/>
      <c r="CR10" s="126"/>
      <c r="CS10" s="126"/>
      <c r="CT10" s="126"/>
      <c r="CU10" s="126"/>
      <c r="CV10" s="126"/>
      <c r="CW10" s="126"/>
      <c r="CX10" s="126"/>
      <c r="CY10" s="126"/>
      <c r="CZ10" s="126"/>
      <c r="DA10" s="126"/>
      <c r="DB10" s="126"/>
      <c r="DC10" s="126"/>
      <c r="DD10" s="126"/>
      <c r="DE10" s="126"/>
      <c r="DF10" s="126"/>
      <c r="DG10" s="126"/>
      <c r="DH10" s="126"/>
      <c r="DI10" s="126"/>
      <c r="DJ10" s="126"/>
      <c r="DK10" s="126"/>
      <c r="DL10" s="126"/>
      <c r="DM10" s="126"/>
      <c r="DN10" s="126"/>
      <c r="DO10" s="126"/>
      <c r="DP10" s="126"/>
      <c r="DQ10" s="126"/>
    </row>
    <row r="11" spans="1:121" ht="81.75" thickTop="1" thickBot="1" x14ac:dyDescent="0.85">
      <c r="A11" s="133" t="s">
        <v>95</v>
      </c>
      <c r="B11" s="395"/>
      <c r="C11" s="396"/>
      <c r="D11" s="396"/>
      <c r="E11" s="397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361"/>
      <c r="AP11" s="361"/>
      <c r="AQ11" s="361"/>
      <c r="AR11" s="361"/>
      <c r="AS11" s="361"/>
      <c r="AT11" s="361"/>
      <c r="AU11" s="361"/>
      <c r="AV11" s="361"/>
      <c r="AW11" s="126"/>
      <c r="AX11" s="126"/>
      <c r="AY11" s="126"/>
      <c r="AZ11" s="126"/>
      <c r="BA11" s="126"/>
      <c r="BB11" s="126"/>
      <c r="BC11" s="126"/>
      <c r="BD11" s="126"/>
      <c r="BE11" s="126"/>
      <c r="BF11" s="126"/>
      <c r="BG11" s="126"/>
      <c r="BH11" s="126"/>
      <c r="BI11" s="126"/>
      <c r="BJ11" s="126"/>
      <c r="BK11" s="126"/>
      <c r="BL11" s="126"/>
      <c r="BM11" s="126"/>
      <c r="BN11" s="126"/>
      <c r="BO11" s="126"/>
      <c r="BP11" s="126"/>
      <c r="BQ11" s="126"/>
      <c r="BR11" s="126"/>
      <c r="BS11" s="126"/>
      <c r="BT11" s="126"/>
      <c r="BU11" s="126"/>
      <c r="BV11" s="126"/>
      <c r="BW11" s="126"/>
      <c r="BX11" s="126"/>
      <c r="BY11" s="126"/>
      <c r="BZ11" s="126"/>
      <c r="CA11" s="126"/>
      <c r="CB11" s="126"/>
      <c r="CC11" s="126"/>
      <c r="CD11" s="126"/>
      <c r="CE11" s="126"/>
      <c r="CF11" s="126"/>
      <c r="CG11" s="126"/>
      <c r="CH11" s="126"/>
      <c r="CI11" s="126"/>
      <c r="CJ11" s="126"/>
      <c r="CK11" s="126"/>
      <c r="CL11" s="126"/>
      <c r="CM11" s="126"/>
      <c r="CN11" s="126"/>
      <c r="CO11" s="126"/>
      <c r="CP11" s="126"/>
      <c r="CQ11" s="126"/>
      <c r="CR11" s="126"/>
      <c r="CS11" s="126"/>
      <c r="CT11" s="126"/>
      <c r="CU11" s="126"/>
      <c r="CV11" s="126"/>
      <c r="CW11" s="126"/>
      <c r="CX11" s="126"/>
      <c r="CY11" s="126"/>
      <c r="CZ11" s="126"/>
      <c r="DA11" s="126"/>
      <c r="DB11" s="126"/>
      <c r="DC11" s="126"/>
      <c r="DD11" s="126"/>
      <c r="DE11" s="126"/>
      <c r="DF11" s="126"/>
      <c r="DG11" s="126"/>
      <c r="DH11" s="126"/>
      <c r="DI11" s="126"/>
      <c r="DJ11" s="126"/>
      <c r="DK11" s="126"/>
      <c r="DL11" s="126"/>
      <c r="DM11" s="126"/>
      <c r="DN11" s="126"/>
      <c r="DO11" s="126"/>
      <c r="DP11" s="126"/>
      <c r="DQ11" s="126"/>
    </row>
    <row r="12" spans="1:121" ht="81.75" thickTop="1" thickBot="1" x14ac:dyDescent="0.95">
      <c r="A12" s="129" t="s">
        <v>96</v>
      </c>
      <c r="B12" s="393"/>
      <c r="C12" s="394"/>
      <c r="D12" s="134" t="s">
        <v>47</v>
      </c>
      <c r="E12" s="152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26"/>
      <c r="BB12" s="126"/>
      <c r="BC12" s="126"/>
      <c r="BD12" s="126"/>
      <c r="BE12" s="126"/>
      <c r="BF12" s="126"/>
      <c r="BG12" s="126"/>
      <c r="BH12" s="126"/>
      <c r="BI12" s="126"/>
      <c r="BJ12" s="126"/>
      <c r="BK12" s="126"/>
      <c r="BL12" s="126"/>
      <c r="BM12" s="126"/>
      <c r="BN12" s="126"/>
      <c r="BO12" s="126"/>
      <c r="BP12" s="126"/>
      <c r="BQ12" s="126"/>
      <c r="BR12" s="126"/>
      <c r="BS12" s="126"/>
      <c r="BT12" s="126"/>
      <c r="BU12" s="126"/>
      <c r="BV12" s="126"/>
      <c r="BW12" s="126"/>
      <c r="BX12" s="126"/>
      <c r="BY12" s="126"/>
      <c r="BZ12" s="126"/>
      <c r="CA12" s="126"/>
      <c r="CB12" s="126"/>
      <c r="CC12" s="126"/>
      <c r="CD12" s="126"/>
      <c r="CE12" s="126"/>
      <c r="CF12" s="126"/>
      <c r="CG12" s="126"/>
      <c r="CH12" s="126"/>
      <c r="CI12" s="126"/>
      <c r="CJ12" s="126"/>
      <c r="CK12" s="126"/>
      <c r="CL12" s="126"/>
      <c r="CM12" s="126"/>
      <c r="CN12" s="126"/>
      <c r="CO12" s="126"/>
      <c r="CP12" s="126"/>
      <c r="CQ12" s="126"/>
      <c r="CR12" s="126"/>
      <c r="CS12" s="126"/>
      <c r="CT12" s="126"/>
      <c r="CU12" s="126"/>
      <c r="CV12" s="126"/>
      <c r="CW12" s="126"/>
      <c r="CX12" s="126"/>
      <c r="CY12" s="126"/>
      <c r="CZ12" s="126"/>
      <c r="DA12" s="126"/>
      <c r="DB12" s="126"/>
      <c r="DC12" s="126"/>
      <c r="DD12" s="126"/>
      <c r="DE12" s="126"/>
      <c r="DF12" s="126"/>
      <c r="DG12" s="126"/>
      <c r="DH12" s="126"/>
      <c r="DI12" s="126"/>
      <c r="DJ12" s="126"/>
      <c r="DK12" s="126"/>
      <c r="DL12" s="126"/>
      <c r="DM12" s="126"/>
      <c r="DN12" s="126"/>
      <c r="DO12" s="126"/>
      <c r="DP12" s="126"/>
      <c r="DQ12" s="126"/>
    </row>
    <row r="13" spans="1:121" ht="60.75" thickTop="1" thickBot="1" x14ac:dyDescent="0.8">
      <c r="A13" s="125"/>
      <c r="B13" s="125"/>
      <c r="C13" s="125"/>
      <c r="D13" s="125"/>
      <c r="E13" s="125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6"/>
      <c r="BG13" s="126"/>
      <c r="BH13" s="126"/>
      <c r="BI13" s="126"/>
      <c r="BJ13" s="126"/>
      <c r="BK13" s="126"/>
      <c r="BL13" s="126"/>
      <c r="BM13" s="126"/>
      <c r="BN13" s="126"/>
      <c r="BO13" s="126"/>
      <c r="BP13" s="126"/>
      <c r="BQ13" s="126"/>
      <c r="BR13" s="126"/>
      <c r="BS13" s="126"/>
      <c r="BT13" s="126"/>
      <c r="BU13" s="126"/>
      <c r="BV13" s="126"/>
      <c r="BW13" s="126"/>
      <c r="BX13" s="126"/>
      <c r="BY13" s="126"/>
      <c r="BZ13" s="126"/>
      <c r="CA13" s="126"/>
      <c r="CB13" s="126"/>
      <c r="CC13" s="126"/>
      <c r="CD13" s="126"/>
      <c r="CE13" s="126"/>
      <c r="CF13" s="126"/>
      <c r="CG13" s="126"/>
      <c r="CH13" s="126"/>
      <c r="CI13" s="126"/>
      <c r="CJ13" s="126"/>
      <c r="CK13" s="126"/>
      <c r="CL13" s="126"/>
      <c r="CM13" s="126"/>
      <c r="CN13" s="126"/>
      <c r="CO13" s="126"/>
      <c r="CP13" s="126"/>
      <c r="CQ13" s="126"/>
      <c r="CR13" s="126"/>
      <c r="CS13" s="126"/>
      <c r="CT13" s="126"/>
      <c r="CU13" s="126"/>
      <c r="CV13" s="126"/>
      <c r="CW13" s="126"/>
      <c r="CX13" s="126"/>
      <c r="CY13" s="126"/>
      <c r="CZ13" s="126"/>
      <c r="DA13" s="126"/>
      <c r="DB13" s="126"/>
      <c r="DC13" s="126"/>
      <c r="DD13" s="126"/>
      <c r="DE13" s="126"/>
      <c r="DF13" s="126"/>
      <c r="DG13" s="126"/>
      <c r="DH13" s="126"/>
      <c r="DI13" s="126"/>
      <c r="DJ13" s="126"/>
      <c r="DK13" s="126"/>
      <c r="DL13" s="126"/>
      <c r="DM13" s="126"/>
      <c r="DN13" s="126"/>
      <c r="DO13" s="126"/>
      <c r="DP13" s="126"/>
      <c r="DQ13" s="126"/>
    </row>
    <row r="14" spans="1:121" ht="61.5" thickTop="1" thickBot="1" x14ac:dyDescent="0.85">
      <c r="A14" s="390" t="s">
        <v>53</v>
      </c>
      <c r="B14" s="391"/>
      <c r="C14" s="391"/>
      <c r="D14" s="391"/>
      <c r="E14" s="392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401" t="s">
        <v>320</v>
      </c>
      <c r="U14" s="402"/>
      <c r="V14" s="402"/>
      <c r="W14" s="402"/>
      <c r="X14" s="402"/>
      <c r="Y14" s="402"/>
      <c r="Z14" s="402"/>
      <c r="AA14" s="402"/>
      <c r="AB14" s="402"/>
      <c r="AC14" s="402"/>
      <c r="AD14" s="402"/>
      <c r="AE14" s="402"/>
      <c r="AF14" s="403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6"/>
      <c r="BG14" s="126"/>
      <c r="BH14" s="126"/>
      <c r="BI14" s="126"/>
      <c r="BJ14" s="126"/>
      <c r="BK14" s="126"/>
      <c r="BL14" s="126"/>
      <c r="BM14" s="126"/>
      <c r="BN14" s="126"/>
      <c r="BO14" s="126"/>
      <c r="BP14" s="126"/>
      <c r="BQ14" s="126"/>
      <c r="BR14" s="126"/>
      <c r="BS14" s="126"/>
      <c r="BT14" s="126"/>
      <c r="BU14" s="126"/>
      <c r="BV14" s="126"/>
      <c r="BW14" s="126"/>
      <c r="BX14" s="126"/>
      <c r="BY14" s="126"/>
      <c r="BZ14" s="126"/>
      <c r="CA14" s="126"/>
      <c r="CB14" s="126"/>
      <c r="CC14" s="126"/>
      <c r="CD14" s="126"/>
      <c r="CE14" s="126"/>
      <c r="CF14" s="126"/>
      <c r="CG14" s="126"/>
      <c r="CH14" s="126"/>
      <c r="CI14" s="126"/>
      <c r="CJ14" s="126"/>
      <c r="CK14" s="126"/>
      <c r="CL14" s="126"/>
      <c r="CM14" s="126"/>
      <c r="CN14" s="126"/>
      <c r="CO14" s="126"/>
      <c r="CP14" s="126"/>
      <c r="CQ14" s="126"/>
      <c r="CR14" s="126"/>
      <c r="CS14" s="126"/>
      <c r="CT14" s="126"/>
      <c r="CU14" s="126"/>
      <c r="CV14" s="126"/>
      <c r="CW14" s="126"/>
      <c r="CX14" s="126"/>
      <c r="CY14" s="126"/>
      <c r="CZ14" s="126"/>
      <c r="DA14" s="126"/>
      <c r="DB14" s="126"/>
      <c r="DC14" s="126"/>
      <c r="DD14" s="126"/>
      <c r="DE14" s="126"/>
      <c r="DF14" s="126"/>
      <c r="DG14" s="126"/>
      <c r="DH14" s="126"/>
      <c r="DI14" s="126"/>
      <c r="DJ14" s="126"/>
      <c r="DK14" s="126"/>
      <c r="DL14" s="126"/>
      <c r="DM14" s="126"/>
      <c r="DN14" s="126"/>
      <c r="DO14" s="126"/>
      <c r="DP14" s="126"/>
      <c r="DQ14" s="126"/>
    </row>
    <row r="15" spans="1:121" ht="49.5" customHeight="1" thickTop="1" thickBot="1" x14ac:dyDescent="0.85">
      <c r="A15" s="135" t="s">
        <v>97</v>
      </c>
      <c r="B15" s="136" t="s">
        <v>118</v>
      </c>
      <c r="C15" s="400" t="s">
        <v>98</v>
      </c>
      <c r="D15" s="392"/>
      <c r="E15" s="137" t="s">
        <v>99</v>
      </c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38" t="s">
        <v>46</v>
      </c>
      <c r="U15" s="139"/>
      <c r="V15" s="404" t="s">
        <v>58</v>
      </c>
      <c r="W15" s="405"/>
      <c r="X15" s="405"/>
      <c r="Y15" s="405"/>
      <c r="Z15" s="405"/>
      <c r="AA15" s="405"/>
      <c r="AB15" s="405"/>
      <c r="AC15" s="405"/>
      <c r="AD15" s="405"/>
      <c r="AE15" s="405"/>
      <c r="AF15" s="40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126"/>
      <c r="BG15" s="126"/>
      <c r="BH15" s="126"/>
      <c r="BI15" s="126"/>
      <c r="BJ15" s="126"/>
      <c r="BK15" s="126"/>
      <c r="BL15" s="126"/>
      <c r="BM15" s="126"/>
      <c r="BN15" s="126"/>
      <c r="BO15" s="126"/>
      <c r="BP15" s="126"/>
      <c r="BQ15" s="126"/>
      <c r="BR15" s="126"/>
      <c r="BS15" s="126"/>
      <c r="BT15" s="126"/>
      <c r="BU15" s="126"/>
      <c r="BV15" s="126"/>
      <c r="BW15" s="126"/>
      <c r="BX15" s="126"/>
      <c r="BY15" s="126"/>
      <c r="BZ15" s="126"/>
      <c r="CA15" s="126"/>
      <c r="CB15" s="126"/>
      <c r="CC15" s="126"/>
      <c r="CD15" s="126"/>
      <c r="CE15" s="126"/>
      <c r="CF15" s="126"/>
      <c r="CG15" s="126"/>
      <c r="CH15" s="126"/>
      <c r="CI15" s="126"/>
      <c r="CJ15" s="126"/>
      <c r="CK15" s="126"/>
      <c r="CL15" s="126"/>
      <c r="CM15" s="126"/>
      <c r="CN15" s="126"/>
      <c r="CO15" s="126"/>
      <c r="CP15" s="126"/>
      <c r="CQ15" s="126"/>
      <c r="CR15" s="126"/>
      <c r="CS15" s="126"/>
      <c r="CT15" s="126"/>
      <c r="CU15" s="126"/>
      <c r="CV15" s="126"/>
      <c r="CW15" s="126"/>
      <c r="CX15" s="126"/>
      <c r="CY15" s="126"/>
      <c r="CZ15" s="126"/>
      <c r="DA15" s="126"/>
      <c r="DB15" s="126"/>
      <c r="DC15" s="126"/>
      <c r="DD15" s="126"/>
      <c r="DE15" s="126"/>
      <c r="DF15" s="126"/>
      <c r="DG15" s="126"/>
      <c r="DH15" s="126"/>
      <c r="DI15" s="126"/>
      <c r="DJ15" s="126"/>
      <c r="DK15" s="126"/>
      <c r="DL15" s="126"/>
      <c r="DM15" s="126"/>
      <c r="DN15" s="126"/>
      <c r="DO15" s="126"/>
      <c r="DP15" s="126"/>
      <c r="DQ15" s="126"/>
    </row>
    <row r="16" spans="1:121" ht="61.5" thickTop="1" thickBot="1" x14ac:dyDescent="0.85">
      <c r="A16" s="140" t="s">
        <v>440</v>
      </c>
      <c r="B16" s="153"/>
      <c r="C16" s="377"/>
      <c r="D16" s="378"/>
      <c r="E16" s="141">
        <f>B16*C60</f>
        <v>0</v>
      </c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38" t="s">
        <v>47</v>
      </c>
      <c r="U16" s="142"/>
      <c r="V16" s="407">
        <v>45897</v>
      </c>
      <c r="W16" s="408"/>
      <c r="X16" s="408"/>
      <c r="Y16" s="408"/>
      <c r="Z16" s="408"/>
      <c r="AA16" s="408"/>
      <c r="AB16" s="408"/>
      <c r="AC16" s="408"/>
      <c r="AD16" s="408"/>
      <c r="AE16" s="408"/>
      <c r="AF16" s="409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26"/>
      <c r="BF16" s="126"/>
      <c r="BG16" s="126"/>
      <c r="BH16" s="126"/>
      <c r="BI16" s="126"/>
      <c r="BJ16" s="126"/>
      <c r="BK16" s="126"/>
      <c r="BL16" s="126"/>
      <c r="BM16" s="126"/>
      <c r="BN16" s="126"/>
      <c r="BO16" s="126"/>
      <c r="BP16" s="126"/>
      <c r="BQ16" s="126"/>
      <c r="BR16" s="126"/>
      <c r="BS16" s="126"/>
      <c r="BT16" s="126"/>
      <c r="BU16" s="126"/>
      <c r="BV16" s="126"/>
      <c r="BW16" s="126"/>
      <c r="BX16" s="126"/>
      <c r="BY16" s="126"/>
      <c r="BZ16" s="126"/>
      <c r="CA16" s="126"/>
      <c r="CB16" s="126"/>
      <c r="CC16" s="126"/>
      <c r="CD16" s="126"/>
      <c r="CE16" s="126"/>
      <c r="CF16" s="126"/>
      <c r="CG16" s="126"/>
      <c r="CH16" s="126"/>
      <c r="CI16" s="126"/>
      <c r="CJ16" s="126"/>
      <c r="CK16" s="126"/>
      <c r="CL16" s="126"/>
      <c r="CM16" s="126"/>
      <c r="CN16" s="126"/>
      <c r="CO16" s="126"/>
      <c r="CP16" s="126"/>
      <c r="CQ16" s="126"/>
      <c r="CR16" s="126"/>
      <c r="CS16" s="126"/>
      <c r="CT16" s="126"/>
      <c r="CU16" s="126"/>
      <c r="CV16" s="126"/>
      <c r="CW16" s="126"/>
      <c r="CX16" s="126"/>
      <c r="CY16" s="126"/>
      <c r="CZ16" s="126"/>
      <c r="DA16" s="126"/>
      <c r="DB16" s="126"/>
      <c r="DC16" s="126"/>
      <c r="DD16" s="126"/>
      <c r="DE16" s="126"/>
      <c r="DF16" s="126"/>
      <c r="DG16" s="126"/>
      <c r="DH16" s="126"/>
      <c r="DI16" s="126"/>
      <c r="DJ16" s="126"/>
      <c r="DK16" s="126"/>
      <c r="DL16" s="126"/>
      <c r="DM16" s="126"/>
      <c r="DN16" s="126"/>
      <c r="DO16" s="126"/>
      <c r="DP16" s="126"/>
      <c r="DQ16" s="126"/>
    </row>
    <row r="17" spans="1:121" ht="61.5" thickTop="1" thickBot="1" x14ac:dyDescent="0.85">
      <c r="A17" s="143" t="s">
        <v>116</v>
      </c>
      <c r="B17" s="154"/>
      <c r="C17" s="377"/>
      <c r="D17" s="378"/>
      <c r="E17" s="141">
        <f>B17*C60</f>
        <v>0</v>
      </c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38" t="s">
        <v>318</v>
      </c>
      <c r="U17" s="142"/>
      <c r="V17" s="410">
        <v>50</v>
      </c>
      <c r="W17" s="411"/>
      <c r="X17" s="411"/>
      <c r="Y17" s="411"/>
      <c r="Z17" s="411"/>
      <c r="AA17" s="411"/>
      <c r="AB17" s="411"/>
      <c r="AC17" s="411"/>
      <c r="AD17" s="411"/>
      <c r="AE17" s="411"/>
      <c r="AF17" s="412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26"/>
      <c r="BF17" s="126"/>
      <c r="BG17" s="126"/>
      <c r="BH17" s="126"/>
      <c r="BI17" s="126"/>
      <c r="BJ17" s="126"/>
      <c r="BK17" s="126"/>
      <c r="BL17" s="126"/>
      <c r="BM17" s="126"/>
      <c r="BN17" s="126"/>
      <c r="BO17" s="126"/>
      <c r="BP17" s="126"/>
      <c r="BQ17" s="126"/>
      <c r="BR17" s="126"/>
      <c r="BS17" s="126"/>
      <c r="BT17" s="126"/>
      <c r="BU17" s="126"/>
      <c r="BV17" s="126"/>
      <c r="BW17" s="126"/>
      <c r="BX17" s="126"/>
      <c r="BY17" s="126"/>
      <c r="BZ17" s="126"/>
      <c r="CA17" s="126"/>
      <c r="CB17" s="126"/>
      <c r="CC17" s="126"/>
      <c r="CD17" s="126"/>
      <c r="CE17" s="126"/>
      <c r="CF17" s="126"/>
      <c r="CG17" s="126"/>
      <c r="CH17" s="126"/>
      <c r="CI17" s="126"/>
      <c r="CJ17" s="126"/>
      <c r="CK17" s="126"/>
      <c r="CL17" s="126"/>
      <c r="CM17" s="126"/>
      <c r="CN17" s="126"/>
      <c r="CO17" s="126"/>
      <c r="CP17" s="126"/>
      <c r="CQ17" s="126"/>
      <c r="CR17" s="126"/>
      <c r="CS17" s="126"/>
      <c r="CT17" s="126"/>
      <c r="CU17" s="126"/>
      <c r="CV17" s="126"/>
      <c r="CW17" s="126"/>
      <c r="CX17" s="126"/>
      <c r="CY17" s="126"/>
      <c r="CZ17" s="126"/>
      <c r="DA17" s="126"/>
      <c r="DB17" s="126"/>
      <c r="DC17" s="126"/>
      <c r="DD17" s="126"/>
      <c r="DE17" s="126"/>
      <c r="DF17" s="126"/>
      <c r="DG17" s="126"/>
      <c r="DH17" s="126"/>
      <c r="DI17" s="126"/>
      <c r="DJ17" s="126"/>
      <c r="DK17" s="126"/>
      <c r="DL17" s="126"/>
      <c r="DM17" s="126"/>
      <c r="DN17" s="126"/>
      <c r="DO17" s="126"/>
      <c r="DP17" s="126"/>
      <c r="DQ17" s="126"/>
    </row>
    <row r="18" spans="1:121" ht="61.5" thickTop="1" thickBot="1" x14ac:dyDescent="0.85">
      <c r="A18" s="144" t="s">
        <v>441</v>
      </c>
      <c r="B18" s="154"/>
      <c r="C18" s="389"/>
      <c r="D18" s="381"/>
      <c r="E18" s="141">
        <f>B18*C60</f>
        <v>0</v>
      </c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38" t="s">
        <v>319</v>
      </c>
      <c r="U18" s="145"/>
      <c r="V18" s="413">
        <v>125</v>
      </c>
      <c r="W18" s="414"/>
      <c r="X18" s="414"/>
      <c r="Y18" s="414"/>
      <c r="Z18" s="414"/>
      <c r="AA18" s="414"/>
      <c r="AB18" s="414"/>
      <c r="AC18" s="414"/>
      <c r="AD18" s="414"/>
      <c r="AE18" s="414"/>
      <c r="AF18" s="415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126"/>
      <c r="BG18" s="126"/>
      <c r="BH18" s="126"/>
      <c r="BI18" s="126"/>
      <c r="BJ18" s="126"/>
      <c r="BK18" s="126"/>
      <c r="BL18" s="126"/>
      <c r="BM18" s="126"/>
      <c r="BN18" s="126"/>
      <c r="BO18" s="126"/>
      <c r="BP18" s="126"/>
      <c r="BQ18" s="126"/>
      <c r="BR18" s="126"/>
      <c r="BS18" s="126"/>
      <c r="BT18" s="126"/>
      <c r="BU18" s="126"/>
      <c r="BV18" s="126"/>
      <c r="BW18" s="126"/>
      <c r="BX18" s="126"/>
      <c r="BY18" s="126"/>
      <c r="BZ18" s="126"/>
      <c r="CA18" s="126"/>
      <c r="CB18" s="126"/>
      <c r="CC18" s="126"/>
      <c r="CD18" s="126"/>
      <c r="CE18" s="126"/>
      <c r="CF18" s="126"/>
      <c r="CG18" s="126"/>
      <c r="CH18" s="126"/>
      <c r="CI18" s="126"/>
      <c r="CJ18" s="126"/>
      <c r="CK18" s="126"/>
      <c r="CL18" s="126"/>
      <c r="CM18" s="126"/>
      <c r="CN18" s="126"/>
      <c r="CO18" s="126"/>
      <c r="CP18" s="126"/>
      <c r="CQ18" s="126"/>
      <c r="CR18" s="126"/>
      <c r="CS18" s="126"/>
      <c r="CT18" s="126"/>
      <c r="CU18" s="126"/>
      <c r="CV18" s="126"/>
      <c r="CW18" s="126"/>
      <c r="CX18" s="126"/>
      <c r="CY18" s="126"/>
      <c r="CZ18" s="126"/>
      <c r="DA18" s="126"/>
      <c r="DB18" s="126"/>
      <c r="DC18" s="126"/>
      <c r="DD18" s="126"/>
      <c r="DE18" s="126"/>
      <c r="DF18" s="126"/>
      <c r="DG18" s="126"/>
      <c r="DH18" s="126"/>
      <c r="DI18" s="126"/>
      <c r="DJ18" s="126"/>
      <c r="DK18" s="126"/>
      <c r="DL18" s="126"/>
      <c r="DM18" s="126"/>
      <c r="DN18" s="126"/>
      <c r="DO18" s="126"/>
      <c r="DP18" s="126"/>
      <c r="DQ18" s="126"/>
    </row>
    <row r="19" spans="1:121" ht="61.5" thickTop="1" thickBot="1" x14ac:dyDescent="0.85">
      <c r="A19" s="144" t="s">
        <v>442</v>
      </c>
      <c r="B19" s="154"/>
      <c r="C19" s="377"/>
      <c r="D19" s="378"/>
      <c r="E19" s="141">
        <f>B19*C60</f>
        <v>0</v>
      </c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126"/>
      <c r="BH19" s="126"/>
      <c r="BI19" s="126"/>
      <c r="BJ19" s="126"/>
      <c r="BK19" s="126"/>
      <c r="BL19" s="126"/>
      <c r="BM19" s="126"/>
      <c r="BN19" s="126"/>
      <c r="BO19" s="126"/>
      <c r="BP19" s="126"/>
      <c r="BQ19" s="126"/>
      <c r="BR19" s="126"/>
      <c r="BS19" s="126"/>
      <c r="BT19" s="126"/>
      <c r="BU19" s="126"/>
      <c r="BV19" s="126"/>
      <c r="BW19" s="126"/>
      <c r="BX19" s="126"/>
      <c r="BY19" s="126"/>
      <c r="BZ19" s="126"/>
      <c r="CA19" s="126"/>
      <c r="CB19" s="126"/>
      <c r="CC19" s="126"/>
      <c r="CD19" s="126"/>
      <c r="CE19" s="126"/>
      <c r="CF19" s="126"/>
      <c r="CG19" s="126"/>
      <c r="CH19" s="126"/>
      <c r="CI19" s="126"/>
      <c r="CJ19" s="126"/>
      <c r="CK19" s="126"/>
      <c r="CL19" s="126"/>
      <c r="CM19" s="126"/>
      <c r="CN19" s="126"/>
      <c r="CO19" s="126"/>
      <c r="CP19" s="126"/>
      <c r="CQ19" s="126"/>
      <c r="CR19" s="126"/>
      <c r="CS19" s="126"/>
      <c r="CT19" s="126"/>
      <c r="CU19" s="126"/>
      <c r="CV19" s="126"/>
      <c r="CW19" s="126"/>
      <c r="CX19" s="126"/>
      <c r="CY19" s="126"/>
      <c r="CZ19" s="126"/>
      <c r="DA19" s="126"/>
      <c r="DB19" s="126"/>
      <c r="DC19" s="126"/>
      <c r="DD19" s="126"/>
      <c r="DE19" s="126"/>
      <c r="DF19" s="126"/>
      <c r="DG19" s="126"/>
      <c r="DH19" s="126"/>
      <c r="DI19" s="126"/>
      <c r="DJ19" s="126"/>
      <c r="DK19" s="126"/>
      <c r="DL19" s="126"/>
      <c r="DM19" s="126"/>
      <c r="DN19" s="126"/>
      <c r="DO19" s="126"/>
      <c r="DP19" s="126"/>
      <c r="DQ19" s="126"/>
    </row>
    <row r="20" spans="1:121" ht="61.5" thickTop="1" thickBot="1" x14ac:dyDescent="0.85">
      <c r="A20" s="148" t="s">
        <v>431</v>
      </c>
      <c r="B20" s="154"/>
      <c r="C20" s="354"/>
      <c r="D20" s="355"/>
      <c r="E20" s="141">
        <f>B20*C60</f>
        <v>0</v>
      </c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126"/>
      <c r="BH20" s="126"/>
      <c r="BI20" s="126"/>
      <c r="BJ20" s="126"/>
      <c r="BK20" s="126"/>
      <c r="BL20" s="126"/>
      <c r="BM20" s="126"/>
      <c r="BN20" s="126"/>
      <c r="BO20" s="126"/>
      <c r="BP20" s="126"/>
      <c r="BQ20" s="126"/>
      <c r="BR20" s="126"/>
      <c r="BS20" s="126"/>
      <c r="BT20" s="126"/>
      <c r="BU20" s="126"/>
      <c r="BV20" s="126"/>
      <c r="BW20" s="126"/>
      <c r="BX20" s="126"/>
      <c r="BY20" s="126"/>
      <c r="BZ20" s="126"/>
      <c r="CA20" s="126"/>
      <c r="CB20" s="126"/>
      <c r="CC20" s="126"/>
      <c r="CD20" s="126"/>
      <c r="CE20" s="126"/>
      <c r="CF20" s="126"/>
      <c r="CG20" s="126"/>
      <c r="CH20" s="126"/>
      <c r="CI20" s="126"/>
      <c r="CJ20" s="126"/>
      <c r="CK20" s="126"/>
      <c r="CL20" s="126"/>
      <c r="CM20" s="126"/>
      <c r="CN20" s="126"/>
      <c r="CO20" s="126"/>
      <c r="CP20" s="126"/>
      <c r="CQ20" s="126"/>
      <c r="CR20" s="126"/>
      <c r="CS20" s="126"/>
      <c r="CT20" s="126"/>
      <c r="CU20" s="126"/>
      <c r="CV20" s="126"/>
      <c r="CW20" s="126"/>
      <c r="CX20" s="126"/>
      <c r="CY20" s="126"/>
      <c r="CZ20" s="126"/>
      <c r="DA20" s="126"/>
      <c r="DB20" s="126"/>
      <c r="DC20" s="126"/>
      <c r="DD20" s="126"/>
      <c r="DE20" s="126"/>
      <c r="DF20" s="126"/>
      <c r="DG20" s="126"/>
      <c r="DH20" s="126"/>
      <c r="DI20" s="126"/>
      <c r="DJ20" s="126"/>
      <c r="DK20" s="126"/>
      <c r="DL20" s="126"/>
      <c r="DM20" s="126"/>
      <c r="DN20" s="126"/>
      <c r="DO20" s="126"/>
      <c r="DP20" s="126"/>
      <c r="DQ20" s="126"/>
    </row>
    <row r="21" spans="1:121" ht="61.5" thickTop="1" thickBot="1" x14ac:dyDescent="0.85">
      <c r="A21" s="183"/>
      <c r="B21" s="183"/>
      <c r="C21" s="183"/>
      <c r="D21" s="183"/>
      <c r="E21" s="183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26"/>
      <c r="BH21" s="126"/>
      <c r="BI21" s="126"/>
      <c r="BJ21" s="126"/>
      <c r="BK21" s="126"/>
      <c r="BL21" s="126"/>
      <c r="BM21" s="126"/>
      <c r="BN21" s="126"/>
      <c r="BO21" s="126"/>
      <c r="BP21" s="126"/>
      <c r="BQ21" s="126"/>
      <c r="BR21" s="126"/>
      <c r="BS21" s="126"/>
      <c r="BT21" s="126"/>
      <c r="BU21" s="126"/>
      <c r="BV21" s="126"/>
      <c r="BW21" s="126"/>
      <c r="BX21" s="126"/>
      <c r="BY21" s="126"/>
      <c r="BZ21" s="126"/>
      <c r="CA21" s="126"/>
      <c r="CB21" s="126"/>
      <c r="CC21" s="126"/>
      <c r="CD21" s="126"/>
      <c r="CE21" s="126"/>
      <c r="CF21" s="126"/>
      <c r="CG21" s="126"/>
      <c r="CH21" s="126"/>
      <c r="CI21" s="126"/>
      <c r="CJ21" s="126"/>
      <c r="CK21" s="126"/>
      <c r="CL21" s="126"/>
      <c r="CM21" s="126"/>
      <c r="CN21" s="126"/>
      <c r="CO21" s="126"/>
      <c r="CP21" s="126"/>
      <c r="CQ21" s="126"/>
      <c r="CR21" s="126"/>
      <c r="CS21" s="126"/>
      <c r="CT21" s="126"/>
      <c r="CU21" s="126"/>
      <c r="CV21" s="126"/>
      <c r="CW21" s="126"/>
      <c r="CX21" s="126"/>
      <c r="CY21" s="126"/>
      <c r="CZ21" s="126"/>
      <c r="DA21" s="126"/>
      <c r="DB21" s="126"/>
      <c r="DC21" s="126"/>
      <c r="DD21" s="126"/>
      <c r="DE21" s="126"/>
      <c r="DF21" s="126"/>
      <c r="DG21" s="126"/>
      <c r="DH21" s="126"/>
      <c r="DI21" s="126"/>
      <c r="DJ21" s="126"/>
      <c r="DK21" s="126"/>
      <c r="DL21" s="126"/>
      <c r="DM21" s="126"/>
      <c r="DN21" s="126"/>
      <c r="DO21" s="126"/>
      <c r="DP21" s="126"/>
      <c r="DQ21" s="126"/>
    </row>
    <row r="22" spans="1:121" ht="61.5" thickTop="1" thickBot="1" x14ac:dyDescent="0.85">
      <c r="A22" s="148" t="s">
        <v>432</v>
      </c>
      <c r="B22" s="182"/>
      <c r="C22" s="354"/>
      <c r="D22" s="355"/>
      <c r="E22" s="141">
        <f>B22*0.5</f>
        <v>0</v>
      </c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126"/>
      <c r="CC22" s="126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26"/>
      <c r="CQ22" s="126"/>
      <c r="CR22" s="126"/>
      <c r="CS22" s="126"/>
      <c r="CT22" s="126"/>
      <c r="CU22" s="126"/>
      <c r="CV22" s="126"/>
      <c r="CW22" s="126"/>
      <c r="CX22" s="126"/>
      <c r="CY22" s="126"/>
      <c r="CZ22" s="126"/>
      <c r="DA22" s="126"/>
      <c r="DB22" s="126"/>
      <c r="DC22" s="126"/>
      <c r="DD22" s="126"/>
      <c r="DE22" s="126"/>
      <c r="DF22" s="126"/>
      <c r="DG22" s="126"/>
      <c r="DH22" s="126"/>
      <c r="DI22" s="126"/>
      <c r="DJ22" s="126"/>
      <c r="DK22" s="126"/>
      <c r="DL22" s="126"/>
      <c r="DM22" s="126"/>
      <c r="DN22" s="126"/>
      <c r="DO22" s="126"/>
      <c r="DP22" s="126"/>
      <c r="DQ22" s="126"/>
    </row>
    <row r="23" spans="1:121" ht="61.5" thickTop="1" thickBot="1" x14ac:dyDescent="0.85">
      <c r="A23" s="140" t="s">
        <v>433</v>
      </c>
      <c r="B23" s="154"/>
      <c r="C23" s="358"/>
      <c r="D23" s="359"/>
      <c r="E23" s="141">
        <f>B23*0.5</f>
        <v>0</v>
      </c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126"/>
      <c r="BJ23" s="126"/>
      <c r="BK23" s="126"/>
      <c r="BL23" s="126"/>
      <c r="BM23" s="126"/>
      <c r="BN23" s="126"/>
      <c r="BO23" s="126"/>
      <c r="BP23" s="126"/>
      <c r="BQ23" s="126"/>
      <c r="BR23" s="126"/>
      <c r="BS23" s="126"/>
      <c r="BT23" s="126"/>
      <c r="BU23" s="126"/>
      <c r="BV23" s="126"/>
      <c r="BW23" s="126"/>
      <c r="BX23" s="126"/>
      <c r="BY23" s="126"/>
      <c r="BZ23" s="126"/>
      <c r="CA23" s="126"/>
      <c r="CB23" s="126"/>
      <c r="CC23" s="126"/>
      <c r="CD23" s="126"/>
      <c r="CE23" s="126"/>
      <c r="CF23" s="126"/>
      <c r="CG23" s="126"/>
      <c r="CH23" s="126"/>
      <c r="CI23" s="126"/>
      <c r="CJ23" s="126"/>
      <c r="CK23" s="126"/>
      <c r="CL23" s="126"/>
      <c r="CM23" s="126"/>
      <c r="CN23" s="126"/>
      <c r="CO23" s="126"/>
      <c r="CP23" s="126"/>
      <c r="CQ23" s="126"/>
      <c r="CR23" s="126"/>
      <c r="CS23" s="126"/>
      <c r="CT23" s="126"/>
      <c r="CU23" s="126"/>
      <c r="CV23" s="126"/>
      <c r="CW23" s="126"/>
      <c r="CX23" s="126"/>
      <c r="CY23" s="126"/>
      <c r="CZ23" s="126"/>
      <c r="DA23" s="126"/>
      <c r="DB23" s="126"/>
      <c r="DC23" s="126"/>
      <c r="DD23" s="126"/>
      <c r="DE23" s="126"/>
      <c r="DF23" s="126"/>
      <c r="DG23" s="126"/>
      <c r="DH23" s="126"/>
      <c r="DI23" s="126"/>
      <c r="DJ23" s="126"/>
      <c r="DK23" s="126"/>
      <c r="DL23" s="126"/>
      <c r="DM23" s="126"/>
      <c r="DN23" s="126"/>
      <c r="DO23" s="126"/>
      <c r="DP23" s="126"/>
      <c r="DQ23" s="126"/>
    </row>
    <row r="24" spans="1:121" ht="61.5" thickTop="1" thickBot="1" x14ac:dyDescent="0.85">
      <c r="A24" s="148" t="s">
        <v>434</v>
      </c>
      <c r="B24" s="154"/>
      <c r="C24" s="354"/>
      <c r="D24" s="355"/>
      <c r="E24" s="141">
        <f>B24*0.5</f>
        <v>0</v>
      </c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  <c r="CY24" s="126"/>
      <c r="CZ24" s="126"/>
      <c r="DA24" s="126"/>
      <c r="DB24" s="126"/>
      <c r="DC24" s="126"/>
      <c r="DD24" s="126"/>
      <c r="DE24" s="126"/>
      <c r="DF24" s="126"/>
      <c r="DG24" s="126"/>
      <c r="DH24" s="126"/>
      <c r="DI24" s="126"/>
      <c r="DJ24" s="126"/>
      <c r="DK24" s="126"/>
      <c r="DL24" s="126"/>
      <c r="DM24" s="126"/>
      <c r="DN24" s="126"/>
      <c r="DO24" s="126"/>
      <c r="DP24" s="126"/>
      <c r="DQ24" s="126"/>
    </row>
    <row r="25" spans="1:121" ht="61.5" thickTop="1" thickBot="1" x14ac:dyDescent="0.85">
      <c r="A25" s="148" t="s">
        <v>435</v>
      </c>
      <c r="B25" s="154"/>
      <c r="C25" s="358"/>
      <c r="D25" s="359"/>
      <c r="E25" s="141">
        <f>B25*0.5</f>
        <v>0</v>
      </c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6"/>
      <c r="DI25" s="126"/>
      <c r="DJ25" s="126"/>
      <c r="DK25" s="126"/>
      <c r="DL25" s="126"/>
      <c r="DM25" s="126"/>
      <c r="DN25" s="126"/>
      <c r="DO25" s="126"/>
      <c r="DP25" s="126"/>
      <c r="DQ25" s="126"/>
    </row>
    <row r="26" spans="1:121" ht="60.75" thickTop="1" thickBot="1" x14ac:dyDescent="0.8">
      <c r="A26" s="125"/>
      <c r="B26" s="125"/>
      <c r="C26" s="125"/>
      <c r="D26" s="125"/>
      <c r="E26" s="125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47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126"/>
      <c r="BJ26" s="126"/>
      <c r="BK26" s="126"/>
      <c r="BL26" s="126"/>
      <c r="BM26" s="126"/>
      <c r="BN26" s="126"/>
      <c r="BO26" s="126"/>
      <c r="BP26" s="126"/>
      <c r="BQ26" s="126"/>
      <c r="BR26" s="126"/>
      <c r="BS26" s="126"/>
      <c r="BT26" s="126"/>
      <c r="BU26" s="126"/>
      <c r="BV26" s="126"/>
      <c r="BW26" s="126"/>
      <c r="BX26" s="126"/>
      <c r="BY26" s="126"/>
      <c r="BZ26" s="126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  <c r="CN26" s="126"/>
      <c r="CO26" s="126"/>
      <c r="CP26" s="126"/>
      <c r="CQ26" s="126"/>
      <c r="CR26" s="126"/>
      <c r="CS26" s="126"/>
      <c r="CT26" s="126"/>
      <c r="CU26" s="126"/>
      <c r="CV26" s="126"/>
      <c r="CW26" s="126"/>
      <c r="CX26" s="126"/>
      <c r="CY26" s="126"/>
      <c r="CZ26" s="126"/>
      <c r="DA26" s="126"/>
      <c r="DB26" s="126"/>
      <c r="DC26" s="126"/>
      <c r="DD26" s="126"/>
      <c r="DE26" s="126"/>
      <c r="DF26" s="126"/>
      <c r="DG26" s="126"/>
      <c r="DH26" s="126"/>
      <c r="DI26" s="126"/>
      <c r="DJ26" s="126"/>
      <c r="DK26" s="126"/>
      <c r="DL26" s="126"/>
      <c r="DM26" s="126"/>
      <c r="DN26" s="126"/>
      <c r="DO26" s="126"/>
      <c r="DP26" s="126"/>
      <c r="DQ26" s="126"/>
    </row>
    <row r="27" spans="1:121" ht="61.5" thickTop="1" thickBot="1" x14ac:dyDescent="0.85">
      <c r="A27" s="143" t="s">
        <v>12</v>
      </c>
      <c r="B27" s="154"/>
      <c r="C27" s="398"/>
      <c r="D27" s="399"/>
      <c r="E27" s="141">
        <f>B27*C60</f>
        <v>0</v>
      </c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126"/>
      <c r="BJ27" s="126"/>
      <c r="BK27" s="126"/>
      <c r="BL27" s="126"/>
      <c r="BM27" s="126"/>
      <c r="BN27" s="126"/>
      <c r="BO27" s="126"/>
      <c r="BP27" s="126"/>
      <c r="BQ27" s="126"/>
      <c r="BR27" s="126"/>
      <c r="BS27" s="126"/>
      <c r="BT27" s="126"/>
      <c r="BU27" s="126"/>
      <c r="BV27" s="126"/>
      <c r="BW27" s="126"/>
      <c r="BX27" s="126"/>
      <c r="BY27" s="126"/>
      <c r="BZ27" s="126"/>
      <c r="CA27" s="126"/>
      <c r="CB27" s="126"/>
      <c r="CC27" s="126"/>
      <c r="CD27" s="126"/>
      <c r="CE27" s="126"/>
      <c r="CF27" s="126"/>
      <c r="CG27" s="126"/>
      <c r="CH27" s="126"/>
      <c r="CI27" s="126"/>
      <c r="CJ27" s="126"/>
      <c r="CK27" s="126"/>
      <c r="CL27" s="126"/>
      <c r="CM27" s="126"/>
      <c r="CN27" s="126"/>
      <c r="CO27" s="126"/>
      <c r="CP27" s="126"/>
      <c r="CQ27" s="126"/>
      <c r="CR27" s="126"/>
      <c r="CS27" s="126"/>
      <c r="CT27" s="126"/>
      <c r="CU27" s="126"/>
      <c r="CV27" s="126"/>
      <c r="CW27" s="126"/>
      <c r="CX27" s="126"/>
      <c r="CY27" s="126"/>
      <c r="CZ27" s="126"/>
      <c r="DA27" s="126"/>
      <c r="DB27" s="126"/>
      <c r="DC27" s="126"/>
      <c r="DD27" s="126"/>
      <c r="DE27" s="126"/>
      <c r="DF27" s="126"/>
      <c r="DG27" s="126"/>
      <c r="DH27" s="126"/>
      <c r="DI27" s="126"/>
      <c r="DJ27" s="126"/>
      <c r="DK27" s="126"/>
      <c r="DL27" s="126"/>
      <c r="DM27" s="126"/>
      <c r="DN27" s="126"/>
      <c r="DO27" s="126"/>
      <c r="DP27" s="126"/>
      <c r="DQ27" s="126"/>
    </row>
    <row r="28" spans="1:121" ht="61.5" thickTop="1" thickBot="1" x14ac:dyDescent="0.85">
      <c r="A28" s="143" t="s">
        <v>436</v>
      </c>
      <c r="B28" s="154"/>
      <c r="C28" s="356"/>
      <c r="D28" s="357"/>
      <c r="E28" s="141">
        <f>B28*C60</f>
        <v>0</v>
      </c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126"/>
      <c r="BJ28" s="126"/>
      <c r="BK28" s="126"/>
      <c r="BL28" s="126"/>
      <c r="BM28" s="126"/>
      <c r="BN28" s="126"/>
      <c r="BO28" s="126"/>
      <c r="BP28" s="126"/>
      <c r="BQ28" s="126"/>
      <c r="BR28" s="126"/>
      <c r="BS28" s="126"/>
      <c r="BT28" s="126"/>
      <c r="BU28" s="126"/>
      <c r="BV28" s="126"/>
      <c r="BW28" s="126"/>
      <c r="BX28" s="126"/>
      <c r="BY28" s="126"/>
      <c r="BZ28" s="126"/>
      <c r="CA28" s="126"/>
      <c r="CB28" s="126"/>
      <c r="CC28" s="126"/>
      <c r="CD28" s="126"/>
      <c r="CE28" s="126"/>
      <c r="CF28" s="126"/>
      <c r="CG28" s="126"/>
      <c r="CH28" s="126"/>
      <c r="CI28" s="126"/>
      <c r="CJ28" s="126"/>
      <c r="CK28" s="126"/>
      <c r="CL28" s="126"/>
      <c r="CM28" s="126"/>
      <c r="CN28" s="126"/>
      <c r="CO28" s="126"/>
      <c r="CP28" s="126"/>
      <c r="CQ28" s="126"/>
      <c r="CR28" s="126"/>
      <c r="CS28" s="126"/>
      <c r="CT28" s="126"/>
      <c r="CU28" s="126"/>
      <c r="CV28" s="126"/>
      <c r="CW28" s="126"/>
      <c r="CX28" s="126"/>
      <c r="CY28" s="126"/>
      <c r="CZ28" s="126"/>
      <c r="DA28" s="126"/>
      <c r="DB28" s="126"/>
      <c r="DC28" s="126"/>
      <c r="DD28" s="126"/>
      <c r="DE28" s="126"/>
      <c r="DF28" s="126"/>
      <c r="DG28" s="126"/>
      <c r="DH28" s="126"/>
      <c r="DI28" s="126"/>
      <c r="DJ28" s="126"/>
      <c r="DK28" s="126"/>
      <c r="DL28" s="126"/>
      <c r="DM28" s="126"/>
      <c r="DN28" s="126"/>
      <c r="DO28" s="126"/>
      <c r="DP28" s="126"/>
      <c r="DQ28" s="126"/>
    </row>
    <row r="29" spans="1:121" ht="61.5" thickTop="1" thickBot="1" x14ac:dyDescent="0.85">
      <c r="A29" s="143" t="str">
        <f>Pedidos!P1</f>
        <v>Risoli de Queijo</v>
      </c>
      <c r="B29" s="154"/>
      <c r="C29" s="377"/>
      <c r="D29" s="379"/>
      <c r="E29" s="141">
        <f>B29*C60</f>
        <v>0</v>
      </c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26"/>
      <c r="BM29" s="126"/>
      <c r="BN29" s="126"/>
      <c r="BO29" s="126"/>
      <c r="BP29" s="126"/>
      <c r="BQ29" s="126"/>
      <c r="BR29" s="126"/>
      <c r="BS29" s="126"/>
      <c r="BT29" s="126"/>
      <c r="BU29" s="126"/>
      <c r="BV29" s="126"/>
      <c r="BW29" s="126"/>
      <c r="BX29" s="126"/>
      <c r="BY29" s="126"/>
      <c r="BZ29" s="126"/>
      <c r="CA29" s="126"/>
      <c r="CB29" s="126"/>
      <c r="CC29" s="126"/>
      <c r="CD29" s="126"/>
      <c r="CE29" s="126"/>
      <c r="CF29" s="126"/>
      <c r="CG29" s="126"/>
      <c r="CH29" s="126"/>
      <c r="CI29" s="126"/>
      <c r="CJ29" s="126"/>
      <c r="CK29" s="126"/>
      <c r="CL29" s="126"/>
      <c r="CM29" s="126"/>
      <c r="CN29" s="126"/>
      <c r="CO29" s="126"/>
      <c r="CP29" s="126"/>
      <c r="CQ29" s="126"/>
      <c r="CR29" s="126"/>
      <c r="CS29" s="126"/>
      <c r="CT29" s="126"/>
      <c r="CU29" s="126"/>
      <c r="CV29" s="126"/>
      <c r="CW29" s="126"/>
      <c r="CX29" s="126"/>
      <c r="CY29" s="126"/>
      <c r="CZ29" s="126"/>
      <c r="DA29" s="126"/>
      <c r="DB29" s="126"/>
      <c r="DC29" s="126"/>
      <c r="DD29" s="126"/>
      <c r="DE29" s="126"/>
      <c r="DF29" s="126"/>
      <c r="DG29" s="126"/>
      <c r="DH29" s="126"/>
      <c r="DI29" s="126"/>
      <c r="DJ29" s="126"/>
      <c r="DK29" s="126"/>
      <c r="DL29" s="126"/>
      <c r="DM29" s="126"/>
      <c r="DN29" s="126"/>
      <c r="DO29" s="126"/>
      <c r="DP29" s="126"/>
      <c r="DQ29" s="126"/>
    </row>
    <row r="30" spans="1:121" ht="61.5" thickTop="1" thickBot="1" x14ac:dyDescent="0.85">
      <c r="A30" s="143" t="s">
        <v>115</v>
      </c>
      <c r="B30" s="154"/>
      <c r="C30" s="377"/>
      <c r="D30" s="379"/>
      <c r="E30" s="141">
        <f>B30*C60</f>
        <v>0</v>
      </c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26"/>
      <c r="BH30" s="126"/>
      <c r="BI30" s="126"/>
      <c r="BJ30" s="126"/>
      <c r="BK30" s="126"/>
      <c r="BL30" s="126"/>
      <c r="BM30" s="126"/>
      <c r="BN30" s="126"/>
      <c r="BO30" s="126"/>
      <c r="BP30" s="126"/>
      <c r="BQ30" s="126"/>
      <c r="BR30" s="126"/>
      <c r="BS30" s="126"/>
      <c r="BT30" s="126"/>
      <c r="BU30" s="126"/>
      <c r="BV30" s="126"/>
      <c r="BW30" s="126"/>
      <c r="BX30" s="126"/>
      <c r="BY30" s="126"/>
      <c r="BZ30" s="126"/>
      <c r="CA30" s="126"/>
      <c r="CB30" s="126"/>
      <c r="CC30" s="126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26"/>
      <c r="CQ30" s="126"/>
      <c r="CR30" s="126"/>
      <c r="CS30" s="126"/>
      <c r="CT30" s="126"/>
      <c r="CU30" s="126"/>
      <c r="CV30" s="126"/>
      <c r="CW30" s="126"/>
      <c r="CX30" s="126"/>
      <c r="CY30" s="126"/>
      <c r="CZ30" s="126"/>
      <c r="DA30" s="126"/>
      <c r="DB30" s="126"/>
      <c r="DC30" s="126"/>
      <c r="DD30" s="126"/>
      <c r="DE30" s="126"/>
      <c r="DF30" s="126"/>
      <c r="DG30" s="126"/>
      <c r="DH30" s="126"/>
      <c r="DI30" s="126"/>
      <c r="DJ30" s="126"/>
      <c r="DK30" s="126"/>
      <c r="DL30" s="126"/>
      <c r="DM30" s="126"/>
      <c r="DN30" s="126"/>
      <c r="DO30" s="126"/>
      <c r="DP30" s="126"/>
      <c r="DQ30" s="126"/>
    </row>
    <row r="31" spans="1:121" ht="61.5" thickTop="1" thickBot="1" x14ac:dyDescent="0.85">
      <c r="A31" s="143" t="str">
        <f>Pedidos!R1</f>
        <v>Bolinho de Carne</v>
      </c>
      <c r="B31" s="154"/>
      <c r="C31" s="377"/>
      <c r="D31" s="379"/>
      <c r="E31" s="141">
        <f>B31*C60</f>
        <v>0</v>
      </c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  <c r="CB31" s="126"/>
      <c r="CC31" s="126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/>
      <c r="CQ31" s="126"/>
      <c r="CR31" s="126"/>
      <c r="CS31" s="126"/>
      <c r="CT31" s="126"/>
      <c r="CU31" s="126"/>
      <c r="CV31" s="126"/>
      <c r="CW31" s="126"/>
      <c r="CX31" s="126"/>
      <c r="CY31" s="126"/>
      <c r="CZ31" s="126"/>
      <c r="DA31" s="126"/>
      <c r="DB31" s="126"/>
      <c r="DC31" s="126"/>
      <c r="DD31" s="126"/>
      <c r="DE31" s="126"/>
      <c r="DF31" s="126"/>
      <c r="DG31" s="126"/>
      <c r="DH31" s="126"/>
      <c r="DI31" s="126"/>
      <c r="DJ31" s="126"/>
      <c r="DK31" s="126"/>
      <c r="DL31" s="126"/>
      <c r="DM31" s="126"/>
      <c r="DN31" s="126"/>
      <c r="DO31" s="126"/>
      <c r="DP31" s="126"/>
      <c r="DQ31" s="126"/>
    </row>
    <row r="32" spans="1:121" ht="61.5" thickTop="1" thickBot="1" x14ac:dyDescent="0.85">
      <c r="A32" s="143" t="str">
        <f>Pedidos!S1</f>
        <v>Kibe</v>
      </c>
      <c r="B32" s="154"/>
      <c r="C32" s="377"/>
      <c r="D32" s="378"/>
      <c r="E32" s="141">
        <f>B32*C60</f>
        <v>0</v>
      </c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26"/>
      <c r="BH32" s="126"/>
      <c r="BI32" s="126"/>
      <c r="BJ32" s="126"/>
      <c r="BK32" s="126"/>
      <c r="BL32" s="126"/>
      <c r="BM32" s="126"/>
      <c r="BN32" s="126"/>
      <c r="BO32" s="126"/>
      <c r="BP32" s="126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26"/>
      <c r="CQ32" s="126"/>
      <c r="CR32" s="126"/>
      <c r="CS32" s="126"/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126"/>
      <c r="DM32" s="126"/>
      <c r="DN32" s="126"/>
      <c r="DO32" s="126"/>
      <c r="DP32" s="126"/>
      <c r="DQ32" s="126"/>
    </row>
    <row r="33" spans="1:121" ht="61.5" thickTop="1" thickBot="1" x14ac:dyDescent="0.85">
      <c r="A33" s="144" t="str">
        <f>Pedidos!T1</f>
        <v>Enroladinho de Salsicha</v>
      </c>
      <c r="B33" s="155"/>
      <c r="C33" s="380"/>
      <c r="D33" s="381"/>
      <c r="E33" s="141">
        <f>B33*C60</f>
        <v>0</v>
      </c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26"/>
      <c r="BH33" s="126"/>
      <c r="BI33" s="126"/>
      <c r="BJ33" s="126"/>
      <c r="BK33" s="126"/>
      <c r="BL33" s="126"/>
      <c r="BM33" s="126"/>
      <c r="BN33" s="126"/>
      <c r="BO33" s="126"/>
      <c r="BP33" s="126"/>
      <c r="BQ33" s="126"/>
      <c r="BR33" s="126"/>
      <c r="BS33" s="126"/>
      <c r="BT33" s="126"/>
      <c r="BU33" s="126"/>
      <c r="BV33" s="126"/>
      <c r="BW33" s="126"/>
      <c r="BX33" s="126"/>
      <c r="BY33" s="126"/>
      <c r="BZ33" s="126"/>
      <c r="CA33" s="126"/>
      <c r="CB33" s="126"/>
      <c r="CC33" s="126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26"/>
      <c r="CQ33" s="126"/>
      <c r="CR33" s="126"/>
      <c r="CS33" s="126"/>
      <c r="CT33" s="126"/>
      <c r="CU33" s="126"/>
      <c r="CV33" s="126"/>
      <c r="CW33" s="126"/>
      <c r="CX33" s="126"/>
      <c r="CY33" s="126"/>
      <c r="CZ33" s="126"/>
      <c r="DA33" s="126"/>
      <c r="DB33" s="126"/>
      <c r="DC33" s="126"/>
      <c r="DD33" s="126"/>
      <c r="DE33" s="126"/>
      <c r="DF33" s="126"/>
      <c r="DG33" s="126"/>
      <c r="DH33" s="126"/>
      <c r="DI33" s="126"/>
      <c r="DJ33" s="126"/>
      <c r="DK33" s="126"/>
      <c r="DL33" s="126"/>
      <c r="DM33" s="126"/>
      <c r="DN33" s="126"/>
      <c r="DO33" s="126"/>
      <c r="DP33" s="126"/>
      <c r="DQ33" s="126"/>
    </row>
    <row r="34" spans="1:121" ht="60.75" thickTop="1" thickBot="1" x14ac:dyDescent="0.8">
      <c r="A34" s="125"/>
      <c r="B34" s="125"/>
      <c r="C34" s="125"/>
      <c r="D34" s="125"/>
      <c r="E34" s="125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26"/>
      <c r="BH34" s="126"/>
      <c r="BI34" s="126"/>
      <c r="BJ34" s="126"/>
      <c r="BK34" s="126"/>
      <c r="BL34" s="126"/>
      <c r="BM34" s="126"/>
      <c r="BN34" s="126"/>
      <c r="BO34" s="126"/>
      <c r="BP34" s="126"/>
      <c r="BQ34" s="126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  <c r="CB34" s="126"/>
      <c r="CC34" s="126"/>
      <c r="CD34" s="126"/>
      <c r="CE34" s="126"/>
      <c r="CF34" s="126"/>
      <c r="CG34" s="126"/>
      <c r="CH34" s="126"/>
      <c r="CI34" s="126"/>
      <c r="CJ34" s="126"/>
      <c r="CK34" s="126"/>
      <c r="CL34" s="126"/>
      <c r="CM34" s="126"/>
      <c r="CN34" s="126"/>
      <c r="CO34" s="126"/>
      <c r="CP34" s="126"/>
      <c r="CQ34" s="126"/>
      <c r="CR34" s="126"/>
      <c r="CS34" s="126"/>
      <c r="CT34" s="126"/>
      <c r="CU34" s="126"/>
      <c r="CV34" s="126"/>
      <c r="CW34" s="126"/>
      <c r="CX34" s="126"/>
      <c r="CY34" s="126"/>
      <c r="CZ34" s="126"/>
      <c r="DA34" s="126"/>
      <c r="DB34" s="126"/>
      <c r="DC34" s="126"/>
      <c r="DD34" s="126"/>
      <c r="DE34" s="126"/>
      <c r="DF34" s="126"/>
      <c r="DG34" s="126"/>
      <c r="DH34" s="126"/>
      <c r="DI34" s="126"/>
      <c r="DJ34" s="126"/>
      <c r="DK34" s="126"/>
      <c r="DL34" s="126"/>
      <c r="DM34" s="126"/>
      <c r="DN34" s="126"/>
      <c r="DO34" s="126"/>
      <c r="DP34" s="126"/>
      <c r="DQ34" s="126"/>
    </row>
    <row r="35" spans="1:121" ht="61.5" thickTop="1" thickBot="1" x14ac:dyDescent="0.85">
      <c r="A35" s="143" t="s">
        <v>114</v>
      </c>
      <c r="B35" s="154"/>
      <c r="C35" s="354"/>
      <c r="D35" s="355"/>
      <c r="E35" s="141">
        <f>B35*C60</f>
        <v>0</v>
      </c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26"/>
      <c r="BH35" s="126"/>
      <c r="BI35" s="126"/>
      <c r="BJ35" s="126"/>
      <c r="BK35" s="126"/>
      <c r="BL35" s="126"/>
      <c r="BM35" s="126"/>
      <c r="BN35" s="126"/>
      <c r="BO35" s="126"/>
      <c r="BP35" s="126"/>
      <c r="BQ35" s="126"/>
      <c r="BR35" s="126"/>
      <c r="BS35" s="126"/>
      <c r="BT35" s="126"/>
      <c r="BU35" s="126"/>
      <c r="BV35" s="126"/>
      <c r="BW35" s="126"/>
      <c r="BX35" s="126"/>
      <c r="BY35" s="126"/>
      <c r="BZ35" s="126"/>
      <c r="CA35" s="126"/>
      <c r="CB35" s="126"/>
      <c r="CC35" s="126"/>
      <c r="CD35" s="126"/>
      <c r="CE35" s="126"/>
      <c r="CF35" s="126"/>
      <c r="CG35" s="126"/>
      <c r="CH35" s="126"/>
      <c r="CI35" s="126"/>
      <c r="CJ35" s="126"/>
      <c r="CK35" s="126"/>
      <c r="CL35" s="126"/>
      <c r="CM35" s="126"/>
      <c r="CN35" s="126"/>
      <c r="CO35" s="126"/>
      <c r="CP35" s="126"/>
      <c r="CQ35" s="126"/>
      <c r="CR35" s="126"/>
      <c r="CS35" s="126"/>
      <c r="CT35" s="126"/>
      <c r="CU35" s="126"/>
      <c r="CV35" s="126"/>
      <c r="CW35" s="126"/>
      <c r="CX35" s="126"/>
      <c r="CY35" s="126"/>
      <c r="CZ35" s="126"/>
      <c r="DA35" s="126"/>
      <c r="DB35" s="126"/>
      <c r="DC35" s="126"/>
      <c r="DD35" s="126"/>
      <c r="DE35" s="126"/>
      <c r="DF35" s="126"/>
      <c r="DG35" s="126"/>
      <c r="DH35" s="126"/>
      <c r="DI35" s="126"/>
      <c r="DJ35" s="126"/>
      <c r="DK35" s="126"/>
      <c r="DL35" s="126"/>
      <c r="DM35" s="126"/>
      <c r="DN35" s="126"/>
      <c r="DO35" s="126"/>
      <c r="DP35" s="126"/>
      <c r="DQ35" s="126"/>
    </row>
    <row r="36" spans="1:121" ht="61.5" thickTop="1" thickBot="1" x14ac:dyDescent="0.85">
      <c r="A36" s="143" t="str">
        <f>Pedidos!V1</f>
        <v>Croissants de Queijo</v>
      </c>
      <c r="B36" s="154"/>
      <c r="C36" s="354"/>
      <c r="D36" s="355"/>
      <c r="E36" s="141">
        <f>B36*C60</f>
        <v>0</v>
      </c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6"/>
      <c r="BK36" s="126"/>
      <c r="BL36" s="126"/>
      <c r="BM36" s="126"/>
      <c r="BN36" s="126"/>
      <c r="BO36" s="126"/>
      <c r="BP36" s="126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  <c r="CB36" s="126"/>
      <c r="CC36" s="126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26"/>
      <c r="CQ36" s="126"/>
      <c r="CR36" s="126"/>
      <c r="CS36" s="126"/>
      <c r="CT36" s="126"/>
      <c r="CU36" s="126"/>
      <c r="CV36" s="126"/>
      <c r="CW36" s="126"/>
      <c r="CX36" s="126"/>
      <c r="CY36" s="126"/>
      <c r="CZ36" s="126"/>
      <c r="DA36" s="126"/>
      <c r="DB36" s="126"/>
      <c r="DC36" s="126"/>
      <c r="DD36" s="126"/>
      <c r="DE36" s="126"/>
      <c r="DF36" s="126"/>
      <c r="DG36" s="126"/>
      <c r="DH36" s="126"/>
      <c r="DI36" s="126"/>
      <c r="DJ36" s="126"/>
      <c r="DK36" s="126"/>
      <c r="DL36" s="126"/>
      <c r="DM36" s="126"/>
      <c r="DN36" s="126"/>
      <c r="DO36" s="126"/>
      <c r="DP36" s="126"/>
      <c r="DQ36" s="126"/>
    </row>
    <row r="37" spans="1:121" ht="61.5" thickTop="1" thickBot="1" x14ac:dyDescent="0.85">
      <c r="A37" s="143" t="str">
        <f>Pedidos!W1</f>
        <v>Croissants de Calabresa</v>
      </c>
      <c r="B37" s="154"/>
      <c r="C37" s="354"/>
      <c r="D37" s="355"/>
      <c r="E37" s="141">
        <f>B37*C60</f>
        <v>0</v>
      </c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26"/>
      <c r="BH37" s="126"/>
      <c r="BI37" s="126"/>
      <c r="BJ37" s="126"/>
      <c r="BK37" s="126"/>
      <c r="BL37" s="126"/>
      <c r="BM37" s="126"/>
      <c r="BN37" s="126"/>
      <c r="BO37" s="126"/>
      <c r="BP37" s="126"/>
      <c r="BQ37" s="126"/>
      <c r="BR37" s="126"/>
      <c r="BS37" s="126"/>
      <c r="BT37" s="126"/>
      <c r="BU37" s="126"/>
      <c r="BV37" s="126"/>
      <c r="BW37" s="126"/>
      <c r="BX37" s="126"/>
      <c r="BY37" s="126"/>
      <c r="BZ37" s="126"/>
      <c r="CA37" s="126"/>
      <c r="CB37" s="126"/>
      <c r="CC37" s="126"/>
      <c r="CD37" s="126"/>
      <c r="CE37" s="126"/>
      <c r="CF37" s="126"/>
      <c r="CG37" s="126"/>
      <c r="CH37" s="126"/>
      <c r="CI37" s="126"/>
      <c r="CJ37" s="126"/>
      <c r="CK37" s="126"/>
      <c r="CL37" s="126"/>
      <c r="CM37" s="126"/>
      <c r="CN37" s="126"/>
      <c r="CO37" s="126"/>
      <c r="CP37" s="126"/>
      <c r="CQ37" s="126"/>
      <c r="CR37" s="126"/>
      <c r="CS37" s="126"/>
      <c r="CT37" s="126"/>
      <c r="CU37" s="126"/>
      <c r="CV37" s="126"/>
      <c r="CW37" s="126"/>
      <c r="CX37" s="126"/>
      <c r="CY37" s="126"/>
      <c r="CZ37" s="126"/>
      <c r="DA37" s="126"/>
      <c r="DB37" s="126"/>
      <c r="DC37" s="126"/>
      <c r="DD37" s="126"/>
      <c r="DE37" s="126"/>
      <c r="DF37" s="126"/>
      <c r="DG37" s="126"/>
      <c r="DH37" s="126"/>
      <c r="DI37" s="126"/>
      <c r="DJ37" s="126"/>
      <c r="DK37" s="126"/>
      <c r="DL37" s="126"/>
      <c r="DM37" s="126"/>
      <c r="DN37" s="126"/>
      <c r="DO37" s="126"/>
      <c r="DP37" s="126"/>
      <c r="DQ37" s="126"/>
    </row>
    <row r="38" spans="1:121" ht="61.5" thickTop="1" thickBot="1" x14ac:dyDescent="0.85">
      <c r="A38" s="143" t="str">
        <f>Pedidos!X1</f>
        <v>Croissants de Frango</v>
      </c>
      <c r="B38" s="154"/>
      <c r="C38" s="354"/>
      <c r="D38" s="355"/>
      <c r="E38" s="141">
        <f>B38*C60</f>
        <v>0</v>
      </c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26"/>
      <c r="BH38" s="126"/>
      <c r="BI38" s="126"/>
      <c r="BJ38" s="126"/>
      <c r="BK38" s="126"/>
      <c r="BL38" s="126"/>
      <c r="BM38" s="126"/>
      <c r="BN38" s="126"/>
      <c r="BO38" s="126"/>
      <c r="BP38" s="126"/>
      <c r="BQ38" s="126"/>
      <c r="BR38" s="126"/>
      <c r="BS38" s="126"/>
      <c r="BT38" s="126"/>
      <c r="BU38" s="126"/>
      <c r="BV38" s="126"/>
      <c r="BW38" s="126"/>
      <c r="BX38" s="126"/>
      <c r="BY38" s="126"/>
      <c r="BZ38" s="126"/>
      <c r="CA38" s="126"/>
      <c r="CB38" s="126"/>
      <c r="CC38" s="126"/>
      <c r="CD38" s="126"/>
      <c r="CE38" s="126"/>
      <c r="CF38" s="126"/>
      <c r="CG38" s="126"/>
      <c r="CH38" s="126"/>
      <c r="CI38" s="126"/>
      <c r="CJ38" s="126"/>
      <c r="CK38" s="126"/>
      <c r="CL38" s="126"/>
      <c r="CM38" s="126"/>
      <c r="CN38" s="126"/>
      <c r="CO38" s="126"/>
      <c r="CP38" s="126"/>
      <c r="CQ38" s="126"/>
      <c r="CR38" s="126"/>
      <c r="CS38" s="126"/>
      <c r="CT38" s="126"/>
      <c r="CU38" s="126"/>
      <c r="CV38" s="126"/>
      <c r="CW38" s="126"/>
      <c r="CX38" s="126"/>
      <c r="CY38" s="126"/>
      <c r="CZ38" s="126"/>
      <c r="DA38" s="126"/>
      <c r="DB38" s="126"/>
      <c r="DC38" s="126"/>
      <c r="DD38" s="126"/>
      <c r="DE38" s="126"/>
      <c r="DF38" s="126"/>
      <c r="DG38" s="126"/>
      <c r="DH38" s="126"/>
      <c r="DI38" s="126"/>
      <c r="DJ38" s="126"/>
      <c r="DK38" s="126"/>
      <c r="DL38" s="126"/>
      <c r="DM38" s="126"/>
      <c r="DN38" s="126"/>
      <c r="DO38" s="126"/>
      <c r="DP38" s="126"/>
      <c r="DQ38" s="126"/>
    </row>
    <row r="39" spans="1:121" ht="60.75" thickTop="1" thickBot="1" x14ac:dyDescent="0.8">
      <c r="A39" s="125"/>
      <c r="B39" s="125"/>
      <c r="C39" s="125"/>
      <c r="D39" s="125"/>
      <c r="E39" s="125"/>
      <c r="F39" s="289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26"/>
      <c r="BH39" s="126"/>
      <c r="BI39" s="126"/>
      <c r="BJ39" s="126"/>
      <c r="BK39" s="126"/>
      <c r="BL39" s="126"/>
      <c r="BM39" s="126"/>
      <c r="BN39" s="126"/>
      <c r="BO39" s="126"/>
      <c r="BP39" s="126"/>
      <c r="BQ39" s="126"/>
      <c r="BR39" s="126"/>
      <c r="BS39" s="126"/>
      <c r="BT39" s="126"/>
      <c r="BU39" s="126"/>
      <c r="BV39" s="126"/>
      <c r="BW39" s="126"/>
      <c r="BX39" s="126"/>
      <c r="BY39" s="126"/>
      <c r="BZ39" s="126"/>
      <c r="CA39" s="126"/>
      <c r="CB39" s="126"/>
      <c r="CC39" s="126"/>
      <c r="CD39" s="126"/>
      <c r="CE39" s="126"/>
      <c r="CF39" s="126"/>
      <c r="CG39" s="126"/>
      <c r="CH39" s="126"/>
      <c r="CI39" s="126"/>
      <c r="CJ39" s="126"/>
      <c r="CK39" s="126"/>
      <c r="CL39" s="126"/>
      <c r="CM39" s="126"/>
      <c r="CN39" s="126"/>
      <c r="CO39" s="126"/>
      <c r="CP39" s="126"/>
      <c r="CQ39" s="126"/>
      <c r="CR39" s="126"/>
      <c r="CS39" s="126"/>
      <c r="CT39" s="126"/>
      <c r="CU39" s="126"/>
      <c r="CV39" s="126"/>
      <c r="CW39" s="126"/>
      <c r="CX39" s="126"/>
      <c r="CY39" s="126"/>
      <c r="CZ39" s="126"/>
      <c r="DA39" s="126"/>
      <c r="DB39" s="126"/>
      <c r="DC39" s="126"/>
      <c r="DD39" s="126"/>
      <c r="DE39" s="126"/>
      <c r="DF39" s="126"/>
      <c r="DG39" s="126"/>
      <c r="DH39" s="126"/>
      <c r="DI39" s="126"/>
      <c r="DJ39" s="126"/>
      <c r="DK39" s="126"/>
      <c r="DL39" s="126"/>
      <c r="DM39" s="126"/>
      <c r="DN39" s="126"/>
      <c r="DO39" s="126"/>
      <c r="DP39" s="126"/>
      <c r="DQ39" s="126"/>
    </row>
    <row r="40" spans="1:121" ht="61.5" thickTop="1" thickBot="1" x14ac:dyDescent="0.85">
      <c r="A40" s="143" t="str">
        <f>Pedidos!Y1</f>
        <v>Enroladinho de Frango</v>
      </c>
      <c r="B40" s="154"/>
      <c r="C40" s="354"/>
      <c r="D40" s="355"/>
      <c r="E40" s="141">
        <f>B40*C60</f>
        <v>0</v>
      </c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26"/>
      <c r="BH40" s="126"/>
      <c r="BI40" s="126"/>
      <c r="BJ40" s="126"/>
      <c r="BK40" s="126"/>
      <c r="BL40" s="126"/>
      <c r="BM40" s="126"/>
      <c r="BN40" s="126"/>
      <c r="BO40" s="126"/>
      <c r="BP40" s="126"/>
      <c r="BQ40" s="126"/>
      <c r="BR40" s="126"/>
      <c r="BS40" s="126"/>
      <c r="BT40" s="126"/>
      <c r="BU40" s="126"/>
      <c r="BV40" s="126"/>
      <c r="BW40" s="126"/>
      <c r="BX40" s="126"/>
      <c r="BY40" s="126"/>
      <c r="BZ40" s="126"/>
      <c r="CA40" s="126"/>
      <c r="CB40" s="126"/>
      <c r="CC40" s="126"/>
      <c r="CD40" s="126"/>
      <c r="CE40" s="126"/>
      <c r="CF40" s="126"/>
      <c r="CG40" s="126"/>
      <c r="CH40" s="126"/>
      <c r="CI40" s="126"/>
      <c r="CJ40" s="126"/>
      <c r="CK40" s="126"/>
      <c r="CL40" s="126"/>
      <c r="CM40" s="126"/>
      <c r="CN40" s="126"/>
      <c r="CO40" s="126"/>
      <c r="CP40" s="126"/>
      <c r="CQ40" s="126"/>
      <c r="CR40" s="126"/>
      <c r="CS40" s="126"/>
      <c r="CT40" s="126"/>
      <c r="CU40" s="126"/>
      <c r="CV40" s="126"/>
      <c r="CW40" s="126"/>
      <c r="CX40" s="126"/>
      <c r="CY40" s="126"/>
      <c r="CZ40" s="126"/>
      <c r="DA40" s="126"/>
      <c r="DB40" s="126"/>
      <c r="DC40" s="126"/>
      <c r="DD40" s="126"/>
      <c r="DE40" s="126"/>
      <c r="DF40" s="126"/>
      <c r="DG40" s="126"/>
      <c r="DH40" s="126"/>
      <c r="DI40" s="126"/>
      <c r="DJ40" s="126"/>
      <c r="DK40" s="126"/>
      <c r="DL40" s="126"/>
      <c r="DM40" s="126"/>
      <c r="DN40" s="126"/>
      <c r="DO40" s="126"/>
      <c r="DP40" s="126"/>
      <c r="DQ40" s="126"/>
    </row>
    <row r="41" spans="1:121" ht="61.5" thickTop="1" thickBot="1" x14ac:dyDescent="0.85">
      <c r="A41" s="143" t="str">
        <f>Pedidos!Z1</f>
        <v>Enroladinho de Calabresa</v>
      </c>
      <c r="B41" s="154"/>
      <c r="C41" s="354"/>
      <c r="D41" s="355"/>
      <c r="E41" s="141">
        <f>B41*C60</f>
        <v>0</v>
      </c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6"/>
      <c r="BL41" s="126"/>
      <c r="BM41" s="126"/>
      <c r="BN41" s="126"/>
      <c r="BO41" s="126"/>
      <c r="BP41" s="126"/>
      <c r="BQ41" s="126"/>
      <c r="BR41" s="126"/>
      <c r="BS41" s="126"/>
      <c r="BT41" s="126"/>
      <c r="BU41" s="126"/>
      <c r="BV41" s="126"/>
      <c r="BW41" s="126"/>
      <c r="BX41" s="126"/>
      <c r="BY41" s="126"/>
      <c r="BZ41" s="126"/>
      <c r="CA41" s="126"/>
      <c r="CB41" s="126"/>
      <c r="CC41" s="126"/>
      <c r="CD41" s="126"/>
      <c r="CE41" s="126"/>
      <c r="CF41" s="126"/>
      <c r="CG41" s="126"/>
      <c r="CH41" s="126"/>
      <c r="CI41" s="126"/>
      <c r="CJ41" s="126"/>
      <c r="CK41" s="126"/>
      <c r="CL41" s="126"/>
      <c r="CM41" s="126"/>
      <c r="CN41" s="126"/>
      <c r="CO41" s="126"/>
      <c r="CP41" s="126"/>
      <c r="CQ41" s="126"/>
      <c r="CR41" s="126"/>
      <c r="CS41" s="126"/>
      <c r="CT41" s="126"/>
      <c r="CU41" s="126"/>
      <c r="CV41" s="126"/>
      <c r="CW41" s="126"/>
      <c r="CX41" s="126"/>
      <c r="CY41" s="126"/>
      <c r="CZ41" s="126"/>
      <c r="DA41" s="126"/>
      <c r="DB41" s="126"/>
      <c r="DC41" s="126"/>
      <c r="DD41" s="126"/>
      <c r="DE41" s="126"/>
      <c r="DF41" s="126"/>
      <c r="DG41" s="126"/>
      <c r="DH41" s="126"/>
      <c r="DI41" s="126"/>
      <c r="DJ41" s="126"/>
      <c r="DK41" s="126"/>
      <c r="DL41" s="126"/>
      <c r="DM41" s="126"/>
      <c r="DN41" s="126"/>
      <c r="DO41" s="126"/>
      <c r="DP41" s="126"/>
      <c r="DQ41" s="126"/>
    </row>
    <row r="42" spans="1:121" ht="61.5" thickTop="1" thickBot="1" x14ac:dyDescent="0.85">
      <c r="A42" s="143" t="s">
        <v>117</v>
      </c>
      <c r="B42" s="154"/>
      <c r="C42" s="354"/>
      <c r="D42" s="355"/>
      <c r="E42" s="141">
        <f>B42*C60</f>
        <v>0</v>
      </c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126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126"/>
      <c r="CC42" s="126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26"/>
      <c r="CQ42" s="126"/>
      <c r="CR42" s="126"/>
      <c r="CS42" s="126"/>
      <c r="CT42" s="126"/>
      <c r="CU42" s="126"/>
      <c r="CV42" s="126"/>
      <c r="CW42" s="126"/>
      <c r="CX42" s="126"/>
      <c r="CY42" s="126"/>
      <c r="CZ42" s="126"/>
      <c r="DA42" s="126"/>
      <c r="DB42" s="126"/>
      <c r="DC42" s="126"/>
      <c r="DD42" s="126"/>
      <c r="DE42" s="126"/>
      <c r="DF42" s="126"/>
      <c r="DG42" s="126"/>
      <c r="DH42" s="126"/>
      <c r="DI42" s="126"/>
      <c r="DJ42" s="126"/>
      <c r="DK42" s="126"/>
      <c r="DL42" s="126"/>
      <c r="DM42" s="126"/>
      <c r="DN42" s="126"/>
      <c r="DO42" s="126"/>
      <c r="DP42" s="126"/>
      <c r="DQ42" s="126"/>
    </row>
    <row r="43" spans="1:121" ht="60.75" thickTop="1" thickBot="1" x14ac:dyDescent="0.8">
      <c r="A43" s="125"/>
      <c r="B43" s="125"/>
      <c r="C43" s="125"/>
      <c r="D43" s="125"/>
      <c r="E43" s="125"/>
      <c r="F43" s="289"/>
      <c r="G43" s="289"/>
      <c r="H43" s="289"/>
      <c r="I43" s="289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6"/>
      <c r="BL43" s="126"/>
      <c r="BM43" s="126"/>
      <c r="BN43" s="126"/>
      <c r="BO43" s="126"/>
      <c r="BP43" s="126"/>
      <c r="BQ43" s="126"/>
      <c r="BR43" s="126"/>
      <c r="BS43" s="126"/>
      <c r="BT43" s="126"/>
      <c r="BU43" s="126"/>
      <c r="BV43" s="126"/>
      <c r="BW43" s="126"/>
      <c r="BX43" s="126"/>
      <c r="BY43" s="126"/>
      <c r="BZ43" s="126"/>
      <c r="CA43" s="126"/>
      <c r="CB43" s="126"/>
      <c r="CC43" s="126"/>
      <c r="CD43" s="126"/>
      <c r="CE43" s="126"/>
      <c r="CF43" s="126"/>
      <c r="CG43" s="126"/>
      <c r="CH43" s="126"/>
      <c r="CI43" s="126"/>
      <c r="CJ43" s="126"/>
      <c r="CK43" s="126"/>
      <c r="CL43" s="126"/>
      <c r="CM43" s="126"/>
      <c r="CN43" s="126"/>
      <c r="CO43" s="126"/>
      <c r="CP43" s="126"/>
      <c r="CQ43" s="126"/>
      <c r="CR43" s="126"/>
      <c r="CS43" s="126"/>
      <c r="CT43" s="126"/>
      <c r="CU43" s="126"/>
      <c r="CV43" s="126"/>
      <c r="CW43" s="126"/>
      <c r="CX43" s="126"/>
      <c r="CY43" s="126"/>
      <c r="CZ43" s="126"/>
      <c r="DA43" s="126"/>
      <c r="DB43" s="126"/>
      <c r="DC43" s="126"/>
      <c r="DD43" s="126"/>
      <c r="DE43" s="126"/>
      <c r="DF43" s="126"/>
      <c r="DG43" s="126"/>
      <c r="DH43" s="126"/>
      <c r="DI43" s="126"/>
      <c r="DJ43" s="126"/>
      <c r="DK43" s="126"/>
      <c r="DL43" s="126"/>
      <c r="DM43" s="126"/>
      <c r="DN43" s="126"/>
      <c r="DO43" s="126"/>
      <c r="DP43" s="126"/>
      <c r="DQ43" s="126"/>
    </row>
    <row r="44" spans="1:121" ht="61.5" thickTop="1" thickBot="1" x14ac:dyDescent="0.85">
      <c r="A44" s="143" t="str">
        <f>Pedidos!AB1</f>
        <v>Esfihas de Carne</v>
      </c>
      <c r="B44" s="154"/>
      <c r="C44" s="354"/>
      <c r="D44" s="355"/>
      <c r="E44" s="141">
        <f>B44*C60</f>
        <v>0</v>
      </c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26"/>
      <c r="BH44" s="126"/>
      <c r="BI44" s="126"/>
      <c r="BJ44" s="126"/>
      <c r="BK44" s="126"/>
      <c r="BL44" s="126"/>
      <c r="BM44" s="126"/>
      <c r="BN44" s="126"/>
      <c r="BO44" s="126"/>
      <c r="BP44" s="126"/>
      <c r="BQ44" s="126"/>
      <c r="BR44" s="126"/>
      <c r="BS44" s="126"/>
      <c r="BT44" s="126"/>
      <c r="BU44" s="126"/>
      <c r="BV44" s="126"/>
      <c r="BW44" s="126"/>
      <c r="BX44" s="126"/>
      <c r="BY44" s="126"/>
      <c r="BZ44" s="126"/>
      <c r="CA44" s="126"/>
      <c r="CB44" s="126"/>
      <c r="CC44" s="126"/>
      <c r="CD44" s="126"/>
      <c r="CE44" s="126"/>
      <c r="CF44" s="126"/>
      <c r="CG44" s="126"/>
      <c r="CH44" s="126"/>
      <c r="CI44" s="126"/>
      <c r="CJ44" s="126"/>
      <c r="CK44" s="126"/>
      <c r="CL44" s="126"/>
      <c r="CM44" s="126"/>
      <c r="CN44" s="126"/>
      <c r="CO44" s="126"/>
      <c r="CP44" s="126"/>
      <c r="CQ44" s="126"/>
      <c r="CR44" s="126"/>
      <c r="CS44" s="126"/>
      <c r="CT44" s="126"/>
      <c r="CU44" s="126"/>
      <c r="CV44" s="126"/>
      <c r="CW44" s="126"/>
      <c r="CX44" s="126"/>
      <c r="CY44" s="126"/>
      <c r="CZ44" s="126"/>
      <c r="DA44" s="126"/>
      <c r="DB44" s="126"/>
      <c r="DC44" s="126"/>
      <c r="DD44" s="126"/>
      <c r="DE44" s="126"/>
      <c r="DF44" s="126"/>
      <c r="DG44" s="126"/>
      <c r="DH44" s="126"/>
      <c r="DI44" s="126"/>
      <c r="DJ44" s="126"/>
      <c r="DK44" s="126"/>
      <c r="DL44" s="126"/>
      <c r="DM44" s="126"/>
      <c r="DN44" s="126"/>
      <c r="DO44" s="126"/>
      <c r="DP44" s="126"/>
      <c r="DQ44" s="126"/>
    </row>
    <row r="45" spans="1:121" ht="61.5" thickTop="1" thickBot="1" x14ac:dyDescent="0.85">
      <c r="A45" s="143" t="str">
        <f>Pedidos!AC1</f>
        <v>Esfihas de Queijo</v>
      </c>
      <c r="B45" s="154"/>
      <c r="C45" s="354"/>
      <c r="D45" s="355"/>
      <c r="E45" s="141">
        <f>B45*C60</f>
        <v>0</v>
      </c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26"/>
      <c r="BH45" s="126"/>
      <c r="BI45" s="126"/>
      <c r="BJ45" s="126"/>
      <c r="BK45" s="126"/>
      <c r="BL45" s="126"/>
      <c r="BM45" s="126"/>
      <c r="BN45" s="126"/>
      <c r="BO45" s="126"/>
      <c r="BP45" s="126"/>
      <c r="BQ45" s="126"/>
      <c r="BR45" s="126"/>
      <c r="BS45" s="126"/>
      <c r="BT45" s="126"/>
      <c r="BU45" s="126"/>
      <c r="BV45" s="126"/>
      <c r="BW45" s="126"/>
      <c r="BX45" s="126"/>
      <c r="BY45" s="126"/>
      <c r="BZ45" s="126"/>
      <c r="CA45" s="126"/>
      <c r="CB45" s="126"/>
      <c r="CC45" s="126"/>
      <c r="CD45" s="126"/>
      <c r="CE45" s="126"/>
      <c r="CF45" s="126"/>
      <c r="CG45" s="126"/>
      <c r="CH45" s="126"/>
      <c r="CI45" s="126"/>
      <c r="CJ45" s="126"/>
      <c r="CK45" s="126"/>
      <c r="CL45" s="126"/>
      <c r="CM45" s="126"/>
      <c r="CN45" s="126"/>
      <c r="CO45" s="126"/>
      <c r="CP45" s="126"/>
      <c r="CQ45" s="126"/>
      <c r="CR45" s="126"/>
      <c r="CS45" s="126"/>
      <c r="CT45" s="126"/>
      <c r="CU45" s="126"/>
      <c r="CV45" s="126"/>
      <c r="CW45" s="126"/>
      <c r="CX45" s="126"/>
      <c r="CY45" s="126"/>
      <c r="CZ45" s="126"/>
      <c r="DA45" s="126"/>
      <c r="DB45" s="126"/>
      <c r="DC45" s="126"/>
      <c r="DD45" s="126"/>
      <c r="DE45" s="126"/>
      <c r="DF45" s="126"/>
      <c r="DG45" s="126"/>
      <c r="DH45" s="126"/>
      <c r="DI45" s="126"/>
      <c r="DJ45" s="126"/>
      <c r="DK45" s="126"/>
      <c r="DL45" s="126"/>
      <c r="DM45" s="126"/>
      <c r="DN45" s="126"/>
      <c r="DO45" s="126"/>
      <c r="DP45" s="126"/>
      <c r="DQ45" s="126"/>
    </row>
    <row r="46" spans="1:121" ht="61.5" thickTop="1" thickBot="1" x14ac:dyDescent="0.85">
      <c r="A46" s="143" t="str">
        <f>Pedidos!AD1</f>
        <v>Esfihas de Frango</v>
      </c>
      <c r="B46" s="154"/>
      <c r="C46" s="354"/>
      <c r="D46" s="355"/>
      <c r="E46" s="141">
        <f>B46*C60</f>
        <v>0</v>
      </c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26"/>
      <c r="BH46" s="126"/>
      <c r="BI46" s="126"/>
      <c r="BJ46" s="126"/>
      <c r="BK46" s="126"/>
      <c r="BL46" s="126"/>
      <c r="BM46" s="126"/>
      <c r="BN46" s="126"/>
      <c r="BO46" s="126"/>
      <c r="BP46" s="126"/>
      <c r="BQ46" s="126"/>
      <c r="BR46" s="126"/>
      <c r="BS46" s="126"/>
      <c r="BT46" s="126"/>
      <c r="BU46" s="126"/>
      <c r="BV46" s="126"/>
      <c r="BW46" s="126"/>
      <c r="BX46" s="126"/>
      <c r="BY46" s="126"/>
      <c r="BZ46" s="126"/>
      <c r="CA46" s="126"/>
      <c r="CB46" s="126"/>
      <c r="CC46" s="126"/>
      <c r="CD46" s="126"/>
      <c r="CE46" s="126"/>
      <c r="CF46" s="126"/>
      <c r="CG46" s="126"/>
      <c r="CH46" s="126"/>
      <c r="CI46" s="126"/>
      <c r="CJ46" s="126"/>
      <c r="CK46" s="126"/>
      <c r="CL46" s="126"/>
      <c r="CM46" s="126"/>
      <c r="CN46" s="126"/>
      <c r="CO46" s="126"/>
      <c r="CP46" s="126"/>
      <c r="CQ46" s="126"/>
      <c r="CR46" s="126"/>
      <c r="CS46" s="126"/>
      <c r="CT46" s="126"/>
      <c r="CU46" s="126"/>
      <c r="CV46" s="126"/>
      <c r="CW46" s="126"/>
      <c r="CX46" s="126"/>
      <c r="CY46" s="126"/>
      <c r="CZ46" s="126"/>
      <c r="DA46" s="126"/>
      <c r="DB46" s="126"/>
      <c r="DC46" s="126"/>
      <c r="DD46" s="126"/>
      <c r="DE46" s="126"/>
      <c r="DF46" s="126"/>
      <c r="DG46" s="126"/>
      <c r="DH46" s="126"/>
      <c r="DI46" s="126"/>
      <c r="DJ46" s="126"/>
      <c r="DK46" s="126"/>
      <c r="DL46" s="126"/>
      <c r="DM46" s="126"/>
      <c r="DN46" s="126"/>
      <c r="DO46" s="126"/>
      <c r="DP46" s="126"/>
      <c r="DQ46" s="126"/>
    </row>
    <row r="47" spans="1:121" ht="61.5" thickTop="1" thickBot="1" x14ac:dyDescent="0.85">
      <c r="A47" s="143" t="str">
        <f>Pedidos!AE1</f>
        <v>Esfihas de Calabresa</v>
      </c>
      <c r="B47" s="154"/>
      <c r="C47" s="354"/>
      <c r="D47" s="355"/>
      <c r="E47" s="141">
        <f>B47*C60</f>
        <v>0</v>
      </c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26"/>
      <c r="BH47" s="126"/>
      <c r="BI47" s="126"/>
      <c r="BJ47" s="126"/>
      <c r="BK47" s="126"/>
      <c r="BL47" s="126"/>
      <c r="BM47" s="126"/>
      <c r="BN47" s="126"/>
      <c r="BO47" s="126"/>
      <c r="BP47" s="126"/>
      <c r="BQ47" s="126"/>
      <c r="BR47" s="126"/>
      <c r="BS47" s="126"/>
      <c r="BT47" s="126"/>
      <c r="BU47" s="126"/>
      <c r="BV47" s="126"/>
      <c r="BW47" s="126"/>
      <c r="BX47" s="126"/>
      <c r="BY47" s="126"/>
      <c r="BZ47" s="126"/>
      <c r="CA47" s="126"/>
      <c r="CB47" s="126"/>
      <c r="CC47" s="126"/>
      <c r="CD47" s="126"/>
      <c r="CE47" s="126"/>
      <c r="CF47" s="126"/>
      <c r="CG47" s="126"/>
      <c r="CH47" s="126"/>
      <c r="CI47" s="126"/>
      <c r="CJ47" s="126"/>
      <c r="CK47" s="126"/>
      <c r="CL47" s="126"/>
      <c r="CM47" s="126"/>
      <c r="CN47" s="126"/>
      <c r="CO47" s="126"/>
      <c r="CP47" s="126"/>
      <c r="CQ47" s="126"/>
      <c r="CR47" s="126"/>
      <c r="CS47" s="126"/>
      <c r="CT47" s="126"/>
      <c r="CU47" s="126"/>
      <c r="CV47" s="126"/>
      <c r="CW47" s="126"/>
      <c r="CX47" s="126"/>
      <c r="CY47" s="126"/>
      <c r="CZ47" s="126"/>
      <c r="DA47" s="126"/>
      <c r="DB47" s="126"/>
      <c r="DC47" s="126"/>
      <c r="DD47" s="126"/>
      <c r="DE47" s="126"/>
      <c r="DF47" s="126"/>
      <c r="DG47" s="126"/>
      <c r="DH47" s="126"/>
      <c r="DI47" s="126"/>
      <c r="DJ47" s="126"/>
      <c r="DK47" s="126"/>
      <c r="DL47" s="126"/>
      <c r="DM47" s="126"/>
      <c r="DN47" s="126"/>
      <c r="DO47" s="126"/>
      <c r="DP47" s="126"/>
      <c r="DQ47" s="126"/>
    </row>
    <row r="48" spans="1:121" ht="61.5" thickTop="1" thickBot="1" x14ac:dyDescent="0.85">
      <c r="A48" s="143" t="str">
        <f>Pedidos!AF1</f>
        <v>Salsicha Assada</v>
      </c>
      <c r="B48" s="154"/>
      <c r="C48" s="354"/>
      <c r="D48" s="355"/>
      <c r="E48" s="141">
        <f>B48*C60</f>
        <v>0</v>
      </c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26"/>
      <c r="BH48" s="126"/>
      <c r="BI48" s="126"/>
      <c r="BJ48" s="126"/>
      <c r="BK48" s="126"/>
      <c r="BL48" s="126"/>
      <c r="BM48" s="126"/>
      <c r="BN48" s="126"/>
      <c r="BO48" s="126"/>
      <c r="BP48" s="126"/>
      <c r="BQ48" s="126"/>
      <c r="BR48" s="126"/>
      <c r="BS48" s="126"/>
      <c r="BT48" s="126"/>
      <c r="BU48" s="126"/>
      <c r="BV48" s="126"/>
      <c r="BW48" s="126"/>
      <c r="BX48" s="126"/>
      <c r="BY48" s="126"/>
      <c r="BZ48" s="126"/>
      <c r="CA48" s="126"/>
      <c r="CB48" s="126"/>
      <c r="CC48" s="126"/>
      <c r="CD48" s="126"/>
      <c r="CE48" s="126"/>
      <c r="CF48" s="126"/>
      <c r="CG48" s="126"/>
      <c r="CH48" s="126"/>
      <c r="CI48" s="126"/>
      <c r="CJ48" s="126"/>
      <c r="CK48" s="126"/>
      <c r="CL48" s="126"/>
      <c r="CM48" s="126"/>
      <c r="CN48" s="126"/>
      <c r="CO48" s="126"/>
      <c r="CP48" s="126"/>
      <c r="CQ48" s="126"/>
      <c r="CR48" s="126"/>
      <c r="CS48" s="126"/>
      <c r="CT48" s="126"/>
      <c r="CU48" s="126"/>
      <c r="CV48" s="126"/>
      <c r="CW48" s="126"/>
      <c r="CX48" s="126"/>
      <c r="CY48" s="126"/>
      <c r="CZ48" s="126"/>
      <c r="DA48" s="126"/>
      <c r="DB48" s="126"/>
      <c r="DC48" s="126"/>
      <c r="DD48" s="126"/>
      <c r="DE48" s="126"/>
      <c r="DF48" s="126"/>
      <c r="DG48" s="126"/>
      <c r="DH48" s="126"/>
      <c r="DI48" s="126"/>
      <c r="DJ48" s="126"/>
      <c r="DK48" s="126"/>
      <c r="DL48" s="126"/>
      <c r="DM48" s="126"/>
      <c r="DN48" s="126"/>
      <c r="DO48" s="126"/>
      <c r="DP48" s="126"/>
      <c r="DQ48" s="126"/>
    </row>
    <row r="49" spans="1:121" ht="61.5" customHeight="1" thickTop="1" thickBot="1" x14ac:dyDescent="0.3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  <c r="CZ49" s="126"/>
      <c r="DA49" s="126"/>
      <c r="DB49" s="126"/>
      <c r="DC49" s="126"/>
      <c r="DD49" s="126"/>
      <c r="DE49" s="126"/>
      <c r="DF49" s="126"/>
      <c r="DG49" s="126"/>
      <c r="DH49" s="126"/>
      <c r="DI49" s="126"/>
      <c r="DJ49" s="126"/>
      <c r="DK49" s="126"/>
      <c r="DL49" s="126"/>
      <c r="DM49" s="126"/>
      <c r="DN49" s="126"/>
      <c r="DO49" s="126"/>
      <c r="DP49" s="126"/>
      <c r="DQ49" s="126"/>
    </row>
    <row r="50" spans="1:121" ht="61.5" thickTop="1" thickBot="1" x14ac:dyDescent="0.85">
      <c r="A50" s="148" t="str">
        <f>Pedidos!AG1</f>
        <v>Bauru de Presunto e Queijo</v>
      </c>
      <c r="B50" s="153"/>
      <c r="C50" s="354"/>
      <c r="D50" s="355"/>
      <c r="E50" s="141">
        <f>B50*C60</f>
        <v>0</v>
      </c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26"/>
      <c r="BH50" s="126"/>
      <c r="BI50" s="126"/>
      <c r="BJ50" s="126"/>
      <c r="BK50" s="126"/>
      <c r="BL50" s="126"/>
      <c r="BM50" s="126"/>
      <c r="BN50" s="126"/>
      <c r="BO50" s="126"/>
      <c r="BP50" s="126"/>
      <c r="BQ50" s="126"/>
      <c r="BR50" s="126"/>
      <c r="BS50" s="126"/>
      <c r="BT50" s="126"/>
      <c r="BU50" s="126"/>
      <c r="BV50" s="126"/>
      <c r="BW50" s="126"/>
      <c r="BX50" s="126"/>
      <c r="BY50" s="126"/>
      <c r="BZ50" s="126"/>
      <c r="CA50" s="126"/>
      <c r="CB50" s="126"/>
      <c r="CC50" s="126"/>
      <c r="CD50" s="126"/>
      <c r="CE50" s="126"/>
      <c r="CF50" s="126"/>
      <c r="CG50" s="126"/>
      <c r="CH50" s="126"/>
      <c r="CI50" s="126"/>
      <c r="CJ50" s="126"/>
      <c r="CK50" s="126"/>
      <c r="CL50" s="126"/>
      <c r="CM50" s="126"/>
      <c r="CN50" s="126"/>
      <c r="CO50" s="126"/>
      <c r="CP50" s="126"/>
      <c r="CQ50" s="126"/>
      <c r="CR50" s="126"/>
      <c r="CS50" s="126"/>
      <c r="CT50" s="126"/>
      <c r="CU50" s="126"/>
      <c r="CV50" s="126"/>
      <c r="CW50" s="126"/>
      <c r="CX50" s="126"/>
      <c r="CY50" s="126"/>
      <c r="CZ50" s="126"/>
      <c r="DA50" s="126"/>
      <c r="DB50" s="126"/>
      <c r="DC50" s="126"/>
      <c r="DD50" s="126"/>
      <c r="DE50" s="126"/>
      <c r="DF50" s="126"/>
      <c r="DG50" s="126"/>
      <c r="DH50" s="126"/>
      <c r="DI50" s="126"/>
      <c r="DJ50" s="126"/>
      <c r="DK50" s="126"/>
      <c r="DL50" s="126"/>
      <c r="DM50" s="126"/>
      <c r="DN50" s="126"/>
      <c r="DO50" s="126"/>
      <c r="DP50" s="126"/>
      <c r="DQ50" s="126"/>
    </row>
    <row r="51" spans="1:121" ht="61.5" thickTop="1" thickBot="1" x14ac:dyDescent="0.85">
      <c r="A51" s="148" t="str">
        <f>Pedidos!AH1</f>
        <v>Bauru de Frango</v>
      </c>
      <c r="B51" s="153"/>
      <c r="C51" s="354"/>
      <c r="D51" s="355"/>
      <c r="E51" s="141">
        <f>B51*C60</f>
        <v>0</v>
      </c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26"/>
      <c r="BH51" s="126"/>
      <c r="BI51" s="126"/>
      <c r="BJ51" s="126"/>
      <c r="BK51" s="126"/>
      <c r="BL51" s="126"/>
      <c r="BM51" s="126"/>
      <c r="BN51" s="126"/>
      <c r="BO51" s="126"/>
      <c r="BP51" s="126"/>
      <c r="BQ51" s="126"/>
      <c r="BR51" s="126"/>
      <c r="BS51" s="126"/>
      <c r="BT51" s="126"/>
      <c r="BU51" s="126"/>
      <c r="BV51" s="126"/>
      <c r="BW51" s="126"/>
      <c r="BX51" s="126"/>
      <c r="BY51" s="126"/>
      <c r="BZ51" s="126"/>
      <c r="CA51" s="126"/>
      <c r="CB51" s="126"/>
      <c r="CC51" s="126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26"/>
      <c r="CQ51" s="126"/>
      <c r="CR51" s="126"/>
      <c r="CS51" s="126"/>
      <c r="CT51" s="126"/>
      <c r="CU51" s="126"/>
      <c r="CV51" s="126"/>
      <c r="CW51" s="126"/>
      <c r="CX51" s="126"/>
      <c r="CY51" s="126"/>
      <c r="CZ51" s="126"/>
      <c r="DA51" s="126"/>
      <c r="DB51" s="126"/>
      <c r="DC51" s="126"/>
      <c r="DD51" s="126"/>
      <c r="DE51" s="126"/>
      <c r="DF51" s="126"/>
      <c r="DG51" s="126"/>
      <c r="DH51" s="126"/>
      <c r="DI51" s="126"/>
      <c r="DJ51" s="126"/>
      <c r="DK51" s="126"/>
      <c r="DL51" s="126"/>
      <c r="DM51" s="126"/>
      <c r="DN51" s="126"/>
      <c r="DO51" s="126"/>
      <c r="DP51" s="126"/>
      <c r="DQ51" s="126"/>
    </row>
    <row r="52" spans="1:121" ht="61.5" thickTop="1" thickBot="1" x14ac:dyDescent="0.85">
      <c r="A52" s="148" t="str">
        <f>Pedidos!AI1</f>
        <v>Bauru de Calabresa</v>
      </c>
      <c r="B52" s="153"/>
      <c r="C52" s="354"/>
      <c r="D52" s="355"/>
      <c r="E52" s="141">
        <f>B52*C60</f>
        <v>0</v>
      </c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6"/>
      <c r="BL52" s="126"/>
      <c r="BM52" s="126"/>
      <c r="BN52" s="126"/>
      <c r="BO52" s="126"/>
      <c r="BP52" s="126"/>
      <c r="BQ52" s="126"/>
      <c r="BR52" s="126"/>
      <c r="BS52" s="126"/>
      <c r="BT52" s="126"/>
      <c r="BU52" s="126"/>
      <c r="BV52" s="126"/>
      <c r="BW52" s="126"/>
      <c r="BX52" s="126"/>
      <c r="BY52" s="126"/>
      <c r="BZ52" s="126"/>
      <c r="CA52" s="126"/>
      <c r="CB52" s="126"/>
      <c r="CC52" s="126"/>
      <c r="CD52" s="126"/>
      <c r="CE52" s="126"/>
      <c r="CF52" s="126"/>
      <c r="CG52" s="126"/>
      <c r="CH52" s="126"/>
      <c r="CI52" s="126"/>
      <c r="CJ52" s="126"/>
      <c r="CK52" s="126"/>
      <c r="CL52" s="126"/>
      <c r="CM52" s="126"/>
      <c r="CN52" s="126"/>
      <c r="CO52" s="126"/>
      <c r="CP52" s="126"/>
      <c r="CQ52" s="126"/>
      <c r="CR52" s="126"/>
      <c r="CS52" s="126"/>
      <c r="CT52" s="126"/>
      <c r="CU52" s="126"/>
      <c r="CV52" s="126"/>
      <c r="CW52" s="126"/>
      <c r="CX52" s="126"/>
      <c r="CY52" s="126"/>
      <c r="CZ52" s="126"/>
      <c r="DA52" s="126"/>
      <c r="DB52" s="126"/>
      <c r="DC52" s="126"/>
      <c r="DD52" s="126"/>
      <c r="DE52" s="126"/>
      <c r="DF52" s="126"/>
      <c r="DG52" s="126"/>
      <c r="DH52" s="126"/>
      <c r="DI52" s="126"/>
      <c r="DJ52" s="126"/>
      <c r="DK52" s="126"/>
      <c r="DL52" s="126"/>
      <c r="DM52" s="126"/>
      <c r="DN52" s="126"/>
      <c r="DO52" s="126"/>
      <c r="DP52" s="126"/>
      <c r="DQ52" s="126"/>
    </row>
    <row r="53" spans="1:121" ht="61.5" thickTop="1" thickBot="1" x14ac:dyDescent="0.85">
      <c r="A53" s="148" t="str">
        <f>Pedidos!AJ1</f>
        <v>Empada de Palmito</v>
      </c>
      <c r="B53" s="153"/>
      <c r="C53" s="354"/>
      <c r="D53" s="355"/>
      <c r="E53" s="141">
        <f>B53*C60</f>
        <v>0</v>
      </c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/>
      <c r="AX53" s="126"/>
      <c r="AY53" s="126"/>
      <c r="AZ53" s="126"/>
      <c r="BA53" s="126"/>
      <c r="BB53" s="126"/>
      <c r="BC53" s="126"/>
      <c r="BD53" s="126"/>
      <c r="BE53" s="126"/>
      <c r="BF53" s="126"/>
      <c r="BG53" s="126"/>
      <c r="BH53" s="126"/>
      <c r="BI53" s="126"/>
      <c r="BJ53" s="126"/>
      <c r="BK53" s="126"/>
      <c r="BL53" s="126"/>
      <c r="BM53" s="126"/>
      <c r="BN53" s="126"/>
      <c r="BO53" s="126"/>
      <c r="BP53" s="126"/>
      <c r="BQ53" s="126"/>
      <c r="BR53" s="126"/>
      <c r="BS53" s="126"/>
      <c r="BT53" s="126"/>
      <c r="BU53" s="126"/>
      <c r="BV53" s="126"/>
      <c r="BW53" s="126"/>
      <c r="BX53" s="126"/>
      <c r="BY53" s="126"/>
      <c r="BZ53" s="126"/>
      <c r="CA53" s="126"/>
      <c r="CB53" s="126"/>
      <c r="CC53" s="126"/>
      <c r="CD53" s="126"/>
      <c r="CE53" s="126"/>
      <c r="CF53" s="126"/>
      <c r="CG53" s="126"/>
      <c r="CH53" s="126"/>
      <c r="CI53" s="126"/>
      <c r="CJ53" s="126"/>
      <c r="CK53" s="126"/>
      <c r="CL53" s="126"/>
      <c r="CM53" s="126"/>
      <c r="CN53" s="126"/>
      <c r="CO53" s="126"/>
      <c r="CP53" s="126"/>
      <c r="CQ53" s="126"/>
      <c r="CR53" s="126"/>
      <c r="CS53" s="126"/>
      <c r="CT53" s="126"/>
      <c r="CU53" s="126"/>
      <c r="CV53" s="126"/>
      <c r="CW53" s="126"/>
      <c r="CX53" s="126"/>
      <c r="CY53" s="126"/>
      <c r="CZ53" s="126"/>
      <c r="DA53" s="126"/>
      <c r="DB53" s="126"/>
      <c r="DC53" s="126"/>
      <c r="DD53" s="126"/>
      <c r="DE53" s="126"/>
      <c r="DF53" s="126"/>
      <c r="DG53" s="126"/>
      <c r="DH53" s="126"/>
      <c r="DI53" s="126"/>
      <c r="DJ53" s="126"/>
      <c r="DK53" s="126"/>
      <c r="DL53" s="126"/>
      <c r="DM53" s="126"/>
      <c r="DN53" s="126"/>
      <c r="DO53" s="126"/>
      <c r="DP53" s="126"/>
      <c r="DQ53" s="126"/>
    </row>
    <row r="54" spans="1:121" ht="61.5" thickTop="1" thickBot="1" x14ac:dyDescent="0.85">
      <c r="A54" s="148" t="str">
        <f>Pedidos!AK1</f>
        <v>Empada de Frango</v>
      </c>
      <c r="B54" s="153"/>
      <c r="C54" s="354"/>
      <c r="D54" s="355"/>
      <c r="E54" s="141">
        <f>B54*C60</f>
        <v>0</v>
      </c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126"/>
      <c r="BF54" s="126"/>
      <c r="BG54" s="126"/>
      <c r="BH54" s="126"/>
      <c r="BI54" s="126"/>
      <c r="BJ54" s="126"/>
      <c r="BK54" s="126"/>
      <c r="BL54" s="126"/>
      <c r="BM54" s="126"/>
      <c r="BN54" s="126"/>
      <c r="BO54" s="126"/>
      <c r="BP54" s="126"/>
      <c r="BQ54" s="126"/>
      <c r="BR54" s="126"/>
      <c r="BS54" s="126"/>
      <c r="BT54" s="126"/>
      <c r="BU54" s="126"/>
      <c r="BV54" s="126"/>
      <c r="BW54" s="126"/>
      <c r="BX54" s="126"/>
      <c r="BY54" s="126"/>
      <c r="BZ54" s="126"/>
      <c r="CA54" s="126"/>
      <c r="CB54" s="126"/>
      <c r="CC54" s="126"/>
      <c r="CD54" s="126"/>
      <c r="CE54" s="126"/>
      <c r="CF54" s="126"/>
      <c r="CG54" s="126"/>
      <c r="CH54" s="126"/>
      <c r="CI54" s="126"/>
      <c r="CJ54" s="126"/>
      <c r="CK54" s="126"/>
      <c r="CL54" s="126"/>
      <c r="CM54" s="126"/>
      <c r="CN54" s="126"/>
      <c r="CO54" s="126"/>
      <c r="CP54" s="126"/>
      <c r="CQ54" s="126"/>
      <c r="CR54" s="126"/>
      <c r="CS54" s="126"/>
      <c r="CT54" s="126"/>
      <c r="CU54" s="126"/>
      <c r="CV54" s="126"/>
      <c r="CW54" s="126"/>
      <c r="CX54" s="126"/>
      <c r="CY54" s="126"/>
      <c r="CZ54" s="126"/>
      <c r="DA54" s="126"/>
      <c r="DB54" s="126"/>
      <c r="DC54" s="126"/>
      <c r="DD54" s="126"/>
      <c r="DE54" s="126"/>
      <c r="DF54" s="126"/>
      <c r="DG54" s="126"/>
      <c r="DH54" s="126"/>
      <c r="DI54" s="126"/>
      <c r="DJ54" s="126"/>
      <c r="DK54" s="126"/>
      <c r="DL54" s="126"/>
      <c r="DM54" s="126"/>
      <c r="DN54" s="126"/>
      <c r="DO54" s="126"/>
      <c r="DP54" s="126"/>
      <c r="DQ54" s="126"/>
    </row>
    <row r="55" spans="1:121" ht="60.75" thickTop="1" thickBot="1" x14ac:dyDescent="0.8">
      <c r="A55" s="125"/>
      <c r="B55" s="125"/>
      <c r="C55" s="146"/>
      <c r="D55" s="146"/>
      <c r="E55" s="125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126"/>
      <c r="BF55" s="126"/>
      <c r="BG55" s="126"/>
      <c r="BH55" s="126"/>
      <c r="BI55" s="126"/>
      <c r="BJ55" s="126"/>
      <c r="BK55" s="126"/>
      <c r="BL55" s="126"/>
      <c r="BM55" s="126"/>
      <c r="BN55" s="126"/>
      <c r="BO55" s="126"/>
      <c r="BP55" s="126"/>
      <c r="BQ55" s="126"/>
      <c r="BR55" s="126"/>
      <c r="BS55" s="126"/>
      <c r="BT55" s="126"/>
      <c r="BU55" s="126"/>
      <c r="BV55" s="126"/>
      <c r="BW55" s="126"/>
      <c r="BX55" s="126"/>
      <c r="BY55" s="126"/>
      <c r="BZ55" s="126"/>
      <c r="CA55" s="126"/>
      <c r="CB55" s="126"/>
      <c r="CC55" s="126"/>
      <c r="CD55" s="126"/>
      <c r="CE55" s="126"/>
      <c r="CF55" s="126"/>
      <c r="CG55" s="126"/>
      <c r="CH55" s="126"/>
      <c r="CI55" s="126"/>
      <c r="CJ55" s="126"/>
      <c r="CK55" s="126"/>
      <c r="CL55" s="126"/>
      <c r="CM55" s="126"/>
      <c r="CN55" s="126"/>
      <c r="CO55" s="126"/>
      <c r="CP55" s="126"/>
      <c r="CQ55" s="126"/>
      <c r="CR55" s="126"/>
      <c r="CS55" s="126"/>
      <c r="CT55" s="126"/>
      <c r="CU55" s="126"/>
      <c r="CV55" s="126"/>
      <c r="CW55" s="126"/>
      <c r="CX55" s="126"/>
      <c r="CY55" s="126"/>
      <c r="CZ55" s="126"/>
      <c r="DA55" s="126"/>
      <c r="DB55" s="126"/>
      <c r="DC55" s="126"/>
      <c r="DD55" s="126"/>
      <c r="DE55" s="126"/>
      <c r="DF55" s="126"/>
      <c r="DG55" s="126"/>
      <c r="DH55" s="126"/>
      <c r="DI55" s="126"/>
      <c r="DJ55" s="126"/>
      <c r="DK55" s="126"/>
      <c r="DL55" s="126"/>
      <c r="DM55" s="126"/>
      <c r="DN55" s="126"/>
      <c r="DO55" s="126"/>
      <c r="DP55" s="126"/>
      <c r="DQ55" s="126"/>
    </row>
    <row r="56" spans="1:121" ht="61.5" thickTop="1" thickBot="1" x14ac:dyDescent="0.85">
      <c r="A56" s="148" t="str">
        <f>Pedidos!AL1</f>
        <v>Hamburgão Cheddar</v>
      </c>
      <c r="B56" s="154"/>
      <c r="C56" s="354"/>
      <c r="D56" s="355"/>
      <c r="E56" s="141">
        <f>B56*C60</f>
        <v>0</v>
      </c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6"/>
      <c r="AX56" s="126"/>
      <c r="AY56" s="126"/>
      <c r="AZ56" s="126"/>
      <c r="BA56" s="126"/>
      <c r="BB56" s="126"/>
      <c r="BC56" s="126"/>
      <c r="BD56" s="126"/>
      <c r="BE56" s="126"/>
      <c r="BF56" s="126"/>
      <c r="BG56" s="126"/>
      <c r="BH56" s="126"/>
      <c r="BI56" s="126"/>
      <c r="BJ56" s="126"/>
      <c r="BK56" s="126"/>
      <c r="BL56" s="126"/>
      <c r="BM56" s="126"/>
      <c r="BN56" s="126"/>
      <c r="BO56" s="126"/>
      <c r="BP56" s="126"/>
      <c r="BQ56" s="126"/>
      <c r="BR56" s="126"/>
      <c r="BS56" s="126"/>
      <c r="BT56" s="126"/>
      <c r="BU56" s="126"/>
      <c r="BV56" s="126"/>
      <c r="BW56" s="126"/>
      <c r="BX56" s="126"/>
      <c r="BY56" s="126"/>
      <c r="BZ56" s="126"/>
      <c r="CA56" s="126"/>
      <c r="CB56" s="126"/>
      <c r="CC56" s="126"/>
      <c r="CD56" s="126"/>
      <c r="CE56" s="126"/>
      <c r="CF56" s="126"/>
      <c r="CG56" s="126"/>
      <c r="CH56" s="126"/>
      <c r="CI56" s="126"/>
      <c r="CJ56" s="126"/>
      <c r="CK56" s="126"/>
      <c r="CL56" s="126"/>
      <c r="CM56" s="126"/>
      <c r="CN56" s="126"/>
      <c r="CO56" s="126"/>
      <c r="CP56" s="126"/>
      <c r="CQ56" s="126"/>
      <c r="CR56" s="126"/>
      <c r="CS56" s="126"/>
      <c r="CT56" s="126"/>
      <c r="CU56" s="126"/>
      <c r="CV56" s="126"/>
      <c r="CW56" s="126"/>
      <c r="CX56" s="126"/>
      <c r="CY56" s="126"/>
      <c r="CZ56" s="126"/>
      <c r="DA56" s="126"/>
      <c r="DB56" s="126"/>
      <c r="DC56" s="126"/>
      <c r="DD56" s="126"/>
      <c r="DE56" s="126"/>
      <c r="DF56" s="126"/>
      <c r="DG56" s="126"/>
      <c r="DH56" s="126"/>
      <c r="DI56" s="126"/>
      <c r="DJ56" s="126"/>
      <c r="DK56" s="126"/>
      <c r="DL56" s="126"/>
      <c r="DM56" s="126"/>
      <c r="DN56" s="126"/>
      <c r="DO56" s="126"/>
      <c r="DP56" s="126"/>
      <c r="DQ56" s="126"/>
    </row>
    <row r="57" spans="1:121" ht="61.5" thickTop="1" thickBot="1" x14ac:dyDescent="0.85">
      <c r="A57" s="148" t="str">
        <f>Pedidos!AM1</f>
        <v>Pizza de Calabresa</v>
      </c>
      <c r="B57" s="154"/>
      <c r="C57" s="354"/>
      <c r="D57" s="355"/>
      <c r="E57" s="141">
        <f>B57*C60</f>
        <v>0</v>
      </c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  <c r="AI57" s="126"/>
      <c r="AJ57" s="126"/>
      <c r="AK57" s="126"/>
      <c r="AL57" s="126"/>
      <c r="AM57" s="126"/>
      <c r="AN57" s="126"/>
      <c r="AO57" s="126"/>
      <c r="AP57" s="126"/>
      <c r="AQ57" s="126"/>
      <c r="AR57" s="126"/>
      <c r="AS57" s="126"/>
      <c r="AT57" s="126"/>
      <c r="AU57" s="126"/>
      <c r="AV57" s="126"/>
      <c r="AW57" s="126"/>
      <c r="AX57" s="126"/>
      <c r="AY57" s="126"/>
      <c r="AZ57" s="126"/>
      <c r="BA57" s="126"/>
      <c r="BB57" s="126"/>
      <c r="BC57" s="126"/>
      <c r="BD57" s="126"/>
      <c r="BE57" s="126"/>
      <c r="BF57" s="126"/>
      <c r="BG57" s="126"/>
      <c r="BH57" s="126"/>
      <c r="BI57" s="126"/>
      <c r="BJ57" s="126"/>
      <c r="BK57" s="126"/>
      <c r="BL57" s="126"/>
      <c r="BM57" s="126"/>
      <c r="BN57" s="126"/>
      <c r="BO57" s="126"/>
      <c r="BP57" s="126"/>
      <c r="BQ57" s="126"/>
      <c r="BR57" s="126"/>
      <c r="BS57" s="126"/>
      <c r="BT57" s="126"/>
      <c r="BU57" s="126"/>
      <c r="BV57" s="126"/>
      <c r="BW57" s="126"/>
      <c r="BX57" s="126"/>
      <c r="BY57" s="126"/>
      <c r="BZ57" s="126"/>
      <c r="CA57" s="126"/>
      <c r="CB57" s="126"/>
      <c r="CC57" s="126"/>
      <c r="CD57" s="126"/>
      <c r="CE57" s="126"/>
      <c r="CF57" s="126"/>
      <c r="CG57" s="126"/>
      <c r="CH57" s="126"/>
      <c r="CI57" s="126"/>
      <c r="CJ57" s="126"/>
      <c r="CK57" s="126"/>
      <c r="CL57" s="126"/>
      <c r="CM57" s="126"/>
      <c r="CN57" s="126"/>
      <c r="CO57" s="126"/>
      <c r="CP57" s="126"/>
      <c r="CQ57" s="126"/>
      <c r="CR57" s="126"/>
      <c r="CS57" s="126"/>
      <c r="CT57" s="126"/>
      <c r="CU57" s="126"/>
      <c r="CV57" s="126"/>
      <c r="CW57" s="126"/>
      <c r="CX57" s="126"/>
      <c r="CY57" s="126"/>
      <c r="CZ57" s="126"/>
      <c r="DA57" s="126"/>
      <c r="DB57" s="126"/>
      <c r="DC57" s="126"/>
      <c r="DD57" s="126"/>
      <c r="DE57" s="126"/>
      <c r="DF57" s="126"/>
      <c r="DG57" s="126"/>
      <c r="DH57" s="126"/>
      <c r="DI57" s="126"/>
      <c r="DJ57" s="126"/>
      <c r="DK57" s="126"/>
      <c r="DL57" s="126"/>
      <c r="DM57" s="126"/>
      <c r="DN57" s="126"/>
      <c r="DO57" s="126"/>
      <c r="DP57" s="126"/>
      <c r="DQ57" s="126"/>
    </row>
    <row r="58" spans="1:121" ht="61.5" thickTop="1" thickBot="1" x14ac:dyDescent="0.85">
      <c r="A58" s="148" t="str">
        <f>Pedidos!AN1</f>
        <v>Pizza de Frango</v>
      </c>
      <c r="B58" s="154"/>
      <c r="C58" s="354"/>
      <c r="D58" s="355"/>
      <c r="E58" s="141">
        <f>B58*C60</f>
        <v>0</v>
      </c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126"/>
      <c r="AW58" s="126"/>
      <c r="AX58" s="126"/>
      <c r="AY58" s="126"/>
      <c r="AZ58" s="126"/>
      <c r="BA58" s="126"/>
      <c r="BB58" s="126"/>
      <c r="BC58" s="126"/>
      <c r="BD58" s="126"/>
      <c r="BE58" s="126"/>
      <c r="BF58" s="126"/>
      <c r="BG58" s="126"/>
      <c r="BH58" s="126"/>
      <c r="BI58" s="126"/>
      <c r="BJ58" s="126"/>
      <c r="BK58" s="126"/>
      <c r="BL58" s="126"/>
      <c r="BM58" s="126"/>
      <c r="BN58" s="126"/>
      <c r="BO58" s="126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6"/>
      <c r="CB58" s="126"/>
      <c r="CC58" s="126"/>
      <c r="CD58" s="126"/>
      <c r="CE58" s="126"/>
      <c r="CF58" s="126"/>
      <c r="CG58" s="126"/>
      <c r="CH58" s="126"/>
      <c r="CI58" s="126"/>
      <c r="CJ58" s="126"/>
      <c r="CK58" s="126"/>
      <c r="CL58" s="126"/>
      <c r="CM58" s="126"/>
      <c r="CN58" s="126"/>
      <c r="CO58" s="126"/>
      <c r="CP58" s="126"/>
      <c r="CQ58" s="126"/>
      <c r="CR58" s="126"/>
      <c r="CS58" s="126"/>
      <c r="CT58" s="126"/>
      <c r="CU58" s="126"/>
      <c r="CV58" s="126"/>
      <c r="CW58" s="126"/>
      <c r="CX58" s="126"/>
      <c r="CY58" s="126"/>
      <c r="CZ58" s="126"/>
      <c r="DA58" s="126"/>
      <c r="DB58" s="126"/>
      <c r="DC58" s="126"/>
      <c r="DD58" s="126"/>
      <c r="DE58" s="126"/>
      <c r="DF58" s="126"/>
      <c r="DG58" s="126"/>
      <c r="DH58" s="126"/>
      <c r="DI58" s="126"/>
      <c r="DJ58" s="126"/>
      <c r="DK58" s="126"/>
      <c r="DL58" s="126"/>
      <c r="DM58" s="126"/>
      <c r="DN58" s="126"/>
      <c r="DO58" s="126"/>
      <c r="DP58" s="126"/>
      <c r="DQ58" s="126"/>
    </row>
    <row r="59" spans="1:121" ht="92.25" thickTop="1" thickBot="1" x14ac:dyDescent="1.25">
      <c r="A59" s="149" t="s">
        <v>45</v>
      </c>
      <c r="B59" s="150">
        <f>SUM(B27:B58)+ SUM(B16:B20) + SUM(B22:B25)/5</f>
        <v>0</v>
      </c>
      <c r="C59" s="384">
        <f>SUM(E16:E58)</f>
        <v>0</v>
      </c>
      <c r="D59" s="385"/>
      <c r="E59" s="38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  <c r="AS59" s="126"/>
      <c r="AT59" s="126"/>
      <c r="AU59" s="126"/>
      <c r="AV59" s="126"/>
      <c r="AW59" s="126"/>
      <c r="AX59" s="126"/>
      <c r="AY59" s="126"/>
      <c r="AZ59" s="126"/>
      <c r="BA59" s="126"/>
      <c r="BB59" s="126"/>
      <c r="BC59" s="126"/>
      <c r="BD59" s="126"/>
      <c r="BE59" s="126"/>
      <c r="BF59" s="126"/>
      <c r="BG59" s="126"/>
      <c r="BH59" s="126"/>
      <c r="BI59" s="126"/>
      <c r="BJ59" s="126"/>
      <c r="BK59" s="126"/>
      <c r="BL59" s="126"/>
      <c r="BM59" s="126"/>
      <c r="BN59" s="126"/>
      <c r="BO59" s="126"/>
      <c r="BP59" s="126"/>
      <c r="BQ59" s="126"/>
      <c r="BR59" s="126"/>
      <c r="BS59" s="126"/>
      <c r="BT59" s="126"/>
      <c r="BU59" s="126"/>
      <c r="BV59" s="126"/>
      <c r="BW59" s="126"/>
      <c r="BX59" s="126"/>
      <c r="BY59" s="126"/>
      <c r="BZ59" s="126"/>
      <c r="CA59" s="126"/>
      <c r="CB59" s="126"/>
      <c r="CC59" s="126"/>
      <c r="CD59" s="126"/>
      <c r="CE59" s="126"/>
      <c r="CF59" s="126"/>
      <c r="CG59" s="126"/>
      <c r="CH59" s="126"/>
      <c r="CI59" s="126"/>
      <c r="CJ59" s="126"/>
      <c r="CK59" s="126"/>
      <c r="CL59" s="126"/>
      <c r="CM59" s="126"/>
      <c r="CN59" s="126"/>
      <c r="CO59" s="126"/>
      <c r="CP59" s="126"/>
      <c r="CQ59" s="126"/>
      <c r="CR59" s="126"/>
      <c r="CS59" s="126"/>
      <c r="CT59" s="126"/>
      <c r="CU59" s="126"/>
      <c r="CV59" s="126"/>
      <c r="CW59" s="126"/>
      <c r="CX59" s="126"/>
      <c r="CY59" s="126"/>
      <c r="CZ59" s="126"/>
      <c r="DA59" s="126"/>
      <c r="DB59" s="126"/>
      <c r="DC59" s="126"/>
      <c r="DD59" s="126"/>
      <c r="DE59" s="126"/>
      <c r="DF59" s="126"/>
      <c r="DG59" s="126"/>
      <c r="DH59" s="126"/>
      <c r="DI59" s="126"/>
      <c r="DJ59" s="126"/>
      <c r="DK59" s="126"/>
      <c r="DL59" s="126"/>
      <c r="DM59" s="126"/>
      <c r="DN59" s="126"/>
      <c r="DO59" s="126"/>
      <c r="DP59" s="126"/>
      <c r="DQ59" s="126"/>
    </row>
    <row r="60" spans="1:121" ht="61.5" thickTop="1" thickBot="1" x14ac:dyDescent="0.3">
      <c r="A60" s="382" t="s">
        <v>221</v>
      </c>
      <c r="B60" s="382"/>
      <c r="C60" s="383">
        <v>2.5</v>
      </c>
      <c r="D60" s="383"/>
      <c r="E60" s="383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6"/>
      <c r="AX60" s="126"/>
      <c r="AY60" s="126"/>
      <c r="AZ60" s="126"/>
      <c r="BA60" s="126"/>
      <c r="BB60" s="126"/>
      <c r="BC60" s="126"/>
      <c r="BD60" s="126"/>
      <c r="BE60" s="126"/>
      <c r="BF60" s="126"/>
      <c r="BG60" s="126"/>
      <c r="BH60" s="126"/>
      <c r="BI60" s="126"/>
      <c r="BJ60" s="126"/>
      <c r="BK60" s="126"/>
      <c r="BL60" s="126"/>
      <c r="BM60" s="126"/>
      <c r="BN60" s="126"/>
      <c r="BO60" s="126"/>
      <c r="BP60" s="126"/>
      <c r="BQ60" s="126"/>
      <c r="BR60" s="126"/>
      <c r="BS60" s="126"/>
      <c r="BT60" s="126"/>
      <c r="BU60" s="126"/>
      <c r="BV60" s="126"/>
      <c r="BW60" s="126"/>
      <c r="BX60" s="126"/>
      <c r="BY60" s="126"/>
      <c r="BZ60" s="126"/>
      <c r="CA60" s="126"/>
      <c r="CB60" s="126"/>
      <c r="CC60" s="126"/>
      <c r="CD60" s="126"/>
      <c r="CE60" s="126"/>
      <c r="CF60" s="126"/>
      <c r="CG60" s="126"/>
      <c r="CH60" s="126"/>
      <c r="CI60" s="126"/>
      <c r="CJ60" s="126"/>
      <c r="CK60" s="126"/>
      <c r="CL60" s="126"/>
      <c r="CM60" s="126"/>
      <c r="CN60" s="126"/>
      <c r="CO60" s="126"/>
      <c r="CP60" s="126"/>
      <c r="CQ60" s="126"/>
      <c r="CR60" s="126"/>
      <c r="CS60" s="126"/>
      <c r="CT60" s="126"/>
      <c r="CU60" s="126"/>
      <c r="CV60" s="126"/>
      <c r="CW60" s="126"/>
      <c r="CX60" s="126"/>
      <c r="CY60" s="126"/>
      <c r="CZ60" s="126"/>
      <c r="DA60" s="126"/>
      <c r="DB60" s="126"/>
      <c r="DC60" s="126"/>
      <c r="DD60" s="126"/>
      <c r="DE60" s="126"/>
      <c r="DF60" s="126"/>
      <c r="DG60" s="126"/>
      <c r="DH60" s="126"/>
      <c r="DI60" s="126"/>
      <c r="DJ60" s="126"/>
      <c r="DK60" s="126"/>
      <c r="DL60" s="126"/>
      <c r="DM60" s="126"/>
      <c r="DN60" s="126"/>
      <c r="DO60" s="126"/>
      <c r="DP60" s="126"/>
      <c r="DQ60" s="126"/>
    </row>
    <row r="61" spans="1:121" ht="15.75" thickTop="1" x14ac:dyDescent="0.25">
      <c r="A61" s="126"/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6"/>
      <c r="AV61" s="126"/>
      <c r="AW61" s="126"/>
      <c r="AX61" s="126"/>
      <c r="AY61" s="126"/>
      <c r="AZ61" s="126"/>
      <c r="BA61" s="126"/>
      <c r="BB61" s="126"/>
      <c r="BC61" s="126"/>
      <c r="BD61" s="126"/>
      <c r="BE61" s="126"/>
      <c r="BF61" s="126"/>
      <c r="BG61" s="126"/>
      <c r="BH61" s="126"/>
      <c r="BI61" s="126"/>
      <c r="BJ61" s="126"/>
      <c r="BK61" s="126"/>
      <c r="BL61" s="126"/>
      <c r="BM61" s="126"/>
      <c r="BN61" s="126"/>
      <c r="BO61" s="126"/>
      <c r="BP61" s="126"/>
      <c r="BQ61" s="126"/>
      <c r="BR61" s="126"/>
      <c r="BS61" s="126"/>
      <c r="BT61" s="126"/>
      <c r="BU61" s="126"/>
      <c r="BV61" s="126"/>
      <c r="BW61" s="126"/>
      <c r="BX61" s="126"/>
      <c r="BY61" s="126"/>
      <c r="BZ61" s="126"/>
      <c r="CA61" s="126"/>
      <c r="CB61" s="126"/>
      <c r="CC61" s="126"/>
      <c r="CD61" s="126"/>
      <c r="CE61" s="126"/>
      <c r="CF61" s="126"/>
      <c r="CG61" s="126"/>
      <c r="CH61" s="126"/>
      <c r="CI61" s="126"/>
      <c r="CJ61" s="126"/>
      <c r="CK61" s="126"/>
      <c r="CL61" s="126"/>
      <c r="CM61" s="126"/>
      <c r="CN61" s="126"/>
      <c r="CO61" s="126"/>
      <c r="CP61" s="126"/>
      <c r="CQ61" s="126"/>
      <c r="CR61" s="126"/>
      <c r="CS61" s="126"/>
      <c r="CT61" s="126"/>
      <c r="CU61" s="126"/>
      <c r="CV61" s="126"/>
      <c r="CW61" s="126"/>
      <c r="CX61" s="126"/>
      <c r="CY61" s="126"/>
      <c r="CZ61" s="126"/>
      <c r="DA61" s="126"/>
      <c r="DB61" s="126"/>
      <c r="DC61" s="126"/>
      <c r="DD61" s="126"/>
      <c r="DE61" s="126"/>
      <c r="DF61" s="126"/>
      <c r="DG61" s="126"/>
      <c r="DH61" s="126"/>
      <c r="DI61" s="126"/>
      <c r="DJ61" s="126"/>
      <c r="DK61" s="126"/>
      <c r="DL61" s="126"/>
      <c r="DM61" s="126"/>
      <c r="DN61" s="126"/>
      <c r="DO61" s="126"/>
      <c r="DP61" s="126"/>
      <c r="DQ61" s="126"/>
    </row>
    <row r="62" spans="1:121" x14ac:dyDescent="0.25">
      <c r="A62" s="126"/>
      <c r="B62" s="186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126"/>
      <c r="BC62" s="126"/>
      <c r="BD62" s="126"/>
      <c r="BE62" s="126"/>
      <c r="BF62" s="126"/>
      <c r="BG62" s="126"/>
      <c r="BH62" s="126"/>
      <c r="BI62" s="126"/>
      <c r="BJ62" s="126"/>
      <c r="BK62" s="126"/>
      <c r="BL62" s="126"/>
      <c r="BM62" s="126"/>
      <c r="BN62" s="126"/>
      <c r="BO62" s="126"/>
      <c r="BP62" s="126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126"/>
      <c r="CC62" s="126"/>
      <c r="CD62" s="126"/>
      <c r="CE62" s="126"/>
      <c r="CF62" s="126"/>
      <c r="CG62" s="126"/>
      <c r="CH62" s="126"/>
      <c r="CI62" s="126"/>
      <c r="CJ62" s="126"/>
      <c r="CK62" s="126"/>
      <c r="CL62" s="126"/>
      <c r="CM62" s="126"/>
      <c r="CN62" s="126"/>
      <c r="CO62" s="126"/>
      <c r="CP62" s="126"/>
      <c r="CQ62" s="126"/>
      <c r="CR62" s="126"/>
      <c r="CS62" s="126"/>
      <c r="CT62" s="126"/>
      <c r="CU62" s="126"/>
      <c r="CV62" s="126"/>
      <c r="CW62" s="126"/>
      <c r="CX62" s="126"/>
      <c r="CY62" s="126"/>
      <c r="CZ62" s="126"/>
      <c r="DA62" s="126"/>
      <c r="DB62" s="126"/>
      <c r="DC62" s="126"/>
      <c r="DD62" s="126"/>
      <c r="DE62" s="126"/>
      <c r="DF62" s="126"/>
      <c r="DG62" s="126"/>
      <c r="DH62" s="126"/>
      <c r="DI62" s="126"/>
      <c r="DJ62" s="126"/>
      <c r="DK62" s="126"/>
      <c r="DL62" s="126"/>
      <c r="DM62" s="126"/>
      <c r="DN62" s="126"/>
      <c r="DO62" s="126"/>
      <c r="DP62" s="126"/>
      <c r="DQ62" s="126"/>
    </row>
    <row r="63" spans="1:121" x14ac:dyDescent="0.25">
      <c r="A63" s="126"/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26"/>
      <c r="BA63" s="126"/>
      <c r="BB63" s="126"/>
      <c r="BC63" s="126"/>
      <c r="BD63" s="126"/>
      <c r="BE63" s="126"/>
      <c r="BF63" s="126"/>
      <c r="BG63" s="126"/>
      <c r="BH63" s="126"/>
      <c r="BI63" s="126"/>
      <c r="BJ63" s="126"/>
      <c r="BK63" s="126"/>
      <c r="BL63" s="126"/>
      <c r="BM63" s="126"/>
      <c r="BN63" s="126"/>
      <c r="BO63" s="126"/>
      <c r="BP63" s="126"/>
      <c r="BQ63" s="126"/>
      <c r="BR63" s="126"/>
      <c r="BS63" s="126"/>
      <c r="BT63" s="126"/>
      <c r="BU63" s="126"/>
      <c r="BV63" s="126"/>
      <c r="BW63" s="126"/>
      <c r="BX63" s="126"/>
      <c r="BY63" s="126"/>
      <c r="BZ63" s="126"/>
      <c r="CA63" s="126"/>
      <c r="CB63" s="126"/>
      <c r="CC63" s="126"/>
      <c r="CD63" s="126"/>
      <c r="CE63" s="126"/>
      <c r="CF63" s="126"/>
      <c r="CG63" s="126"/>
      <c r="CH63" s="126"/>
      <c r="CI63" s="126"/>
      <c r="CJ63" s="126"/>
      <c r="CK63" s="126"/>
      <c r="CL63" s="126"/>
      <c r="CM63" s="126"/>
      <c r="CN63" s="126"/>
      <c r="CO63" s="126"/>
      <c r="CP63" s="126"/>
      <c r="CQ63" s="126"/>
      <c r="CR63" s="126"/>
      <c r="CS63" s="126"/>
      <c r="CT63" s="126"/>
      <c r="CU63" s="126"/>
      <c r="CV63" s="126"/>
      <c r="CW63" s="126"/>
      <c r="CX63" s="126"/>
      <c r="CY63" s="126"/>
      <c r="CZ63" s="126"/>
      <c r="DA63" s="126"/>
      <c r="DB63" s="126"/>
      <c r="DC63" s="126"/>
      <c r="DD63" s="126"/>
      <c r="DE63" s="126"/>
      <c r="DF63" s="126"/>
      <c r="DG63" s="126"/>
      <c r="DH63" s="126"/>
      <c r="DI63" s="126"/>
      <c r="DJ63" s="126"/>
      <c r="DK63" s="126"/>
      <c r="DL63" s="126"/>
      <c r="DM63" s="126"/>
      <c r="DN63" s="126"/>
      <c r="DO63" s="126"/>
      <c r="DP63" s="126"/>
      <c r="DQ63" s="126"/>
    </row>
    <row r="64" spans="1:121" x14ac:dyDescent="0.25">
      <c r="A64" s="126"/>
      <c r="B64" s="126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  <c r="BE64" s="126"/>
      <c r="BF64" s="126"/>
      <c r="BG64" s="126"/>
      <c r="BH64" s="126"/>
      <c r="BI64" s="126"/>
      <c r="BJ64" s="126"/>
      <c r="BK64" s="126"/>
      <c r="BL64" s="126"/>
      <c r="BM64" s="126"/>
      <c r="BN64" s="126"/>
      <c r="BO64" s="126"/>
      <c r="BP64" s="126"/>
      <c r="BQ64" s="126"/>
      <c r="BR64" s="126"/>
      <c r="BS64" s="126"/>
      <c r="BT64" s="126"/>
      <c r="BU64" s="126"/>
      <c r="BV64" s="126"/>
      <c r="BW64" s="126"/>
      <c r="BX64" s="126"/>
      <c r="BY64" s="126"/>
      <c r="BZ64" s="126"/>
      <c r="CA64" s="126"/>
      <c r="CB64" s="126"/>
      <c r="CC64" s="126"/>
      <c r="CD64" s="126"/>
      <c r="CE64" s="126"/>
      <c r="CF64" s="126"/>
      <c r="CG64" s="126"/>
      <c r="CH64" s="126"/>
      <c r="CI64" s="126"/>
      <c r="CJ64" s="126"/>
      <c r="CK64" s="126"/>
      <c r="CL64" s="126"/>
      <c r="CM64" s="126"/>
      <c r="CN64" s="126"/>
      <c r="CO64" s="126"/>
      <c r="CP64" s="126"/>
      <c r="CQ64" s="126"/>
      <c r="CR64" s="126"/>
      <c r="CS64" s="126"/>
      <c r="CT64" s="126"/>
      <c r="CU64" s="126"/>
      <c r="CV64" s="126"/>
      <c r="CW64" s="126"/>
      <c r="CX64" s="126"/>
      <c r="CY64" s="126"/>
      <c r="CZ64" s="126"/>
      <c r="DA64" s="126"/>
      <c r="DB64" s="126"/>
      <c r="DC64" s="126"/>
      <c r="DD64" s="126"/>
      <c r="DE64" s="126"/>
      <c r="DF64" s="126"/>
      <c r="DG64" s="126"/>
      <c r="DH64" s="126"/>
      <c r="DI64" s="126"/>
      <c r="DJ64" s="126"/>
      <c r="DK64" s="126"/>
      <c r="DL64" s="126"/>
      <c r="DM64" s="126"/>
      <c r="DN64" s="126"/>
      <c r="DO64" s="126"/>
      <c r="DP64" s="126"/>
      <c r="DQ64" s="126"/>
    </row>
    <row r="65" spans="1:121" x14ac:dyDescent="0.25">
      <c r="A65" s="126"/>
      <c r="B65" s="126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126"/>
      <c r="BE65" s="126"/>
      <c r="BF65" s="126"/>
      <c r="BG65" s="126"/>
      <c r="BH65" s="126"/>
      <c r="BI65" s="126"/>
      <c r="BJ65" s="126"/>
      <c r="BK65" s="126"/>
      <c r="BL65" s="126"/>
      <c r="BM65" s="126"/>
      <c r="BN65" s="126"/>
      <c r="BO65" s="126"/>
      <c r="BP65" s="126"/>
      <c r="BQ65" s="126"/>
      <c r="BR65" s="126"/>
      <c r="BS65" s="126"/>
      <c r="BT65" s="126"/>
      <c r="BU65" s="126"/>
      <c r="BV65" s="126"/>
      <c r="BW65" s="126"/>
      <c r="BX65" s="126"/>
      <c r="BY65" s="126"/>
      <c r="BZ65" s="126"/>
      <c r="CA65" s="126"/>
      <c r="CB65" s="126"/>
      <c r="CC65" s="126"/>
      <c r="CD65" s="126"/>
      <c r="CE65" s="126"/>
      <c r="CF65" s="126"/>
      <c r="CG65" s="126"/>
      <c r="CH65" s="126"/>
      <c r="CI65" s="126"/>
      <c r="CJ65" s="126"/>
      <c r="CK65" s="126"/>
      <c r="CL65" s="126"/>
      <c r="CM65" s="126"/>
      <c r="CN65" s="126"/>
      <c r="CO65" s="126"/>
      <c r="CP65" s="126"/>
      <c r="CQ65" s="126"/>
      <c r="CR65" s="126"/>
      <c r="CS65" s="126"/>
      <c r="CT65" s="126"/>
      <c r="CU65" s="126"/>
      <c r="CV65" s="126"/>
      <c r="CW65" s="126"/>
      <c r="CX65" s="126"/>
      <c r="CY65" s="126"/>
      <c r="CZ65" s="126"/>
      <c r="DA65" s="126"/>
      <c r="DB65" s="126"/>
      <c r="DC65" s="126"/>
      <c r="DD65" s="126"/>
      <c r="DE65" s="126"/>
      <c r="DF65" s="126"/>
      <c r="DG65" s="126"/>
      <c r="DH65" s="126"/>
      <c r="DI65" s="126"/>
      <c r="DJ65" s="126"/>
      <c r="DK65" s="126"/>
      <c r="DL65" s="126"/>
      <c r="DM65" s="126"/>
      <c r="DN65" s="126"/>
      <c r="DO65" s="126"/>
      <c r="DP65" s="126"/>
      <c r="DQ65" s="126"/>
    </row>
    <row r="66" spans="1:121" x14ac:dyDescent="0.25">
      <c r="A66" s="126"/>
      <c r="B66" s="187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  <c r="AZ66" s="126"/>
      <c r="BA66" s="126"/>
      <c r="BB66" s="126"/>
      <c r="BC66" s="126"/>
      <c r="BD66" s="126"/>
      <c r="BE66" s="126"/>
      <c r="BF66" s="126"/>
      <c r="BG66" s="126"/>
      <c r="BH66" s="126"/>
      <c r="BI66" s="126"/>
      <c r="BJ66" s="126"/>
      <c r="BK66" s="126"/>
      <c r="BL66" s="126"/>
      <c r="BM66" s="126"/>
      <c r="BN66" s="126"/>
      <c r="BO66" s="126"/>
      <c r="BP66" s="126"/>
      <c r="BQ66" s="126"/>
      <c r="BR66" s="126"/>
      <c r="BS66" s="126"/>
      <c r="BT66" s="126"/>
      <c r="BU66" s="126"/>
      <c r="BV66" s="126"/>
      <c r="BW66" s="126"/>
      <c r="BX66" s="126"/>
      <c r="BY66" s="126"/>
      <c r="BZ66" s="126"/>
      <c r="CA66" s="126"/>
      <c r="CB66" s="126"/>
      <c r="CC66" s="126"/>
      <c r="CD66" s="126"/>
      <c r="CE66" s="126"/>
      <c r="CF66" s="126"/>
      <c r="CG66" s="126"/>
      <c r="CH66" s="126"/>
      <c r="CI66" s="126"/>
      <c r="CJ66" s="126"/>
      <c r="CK66" s="126"/>
      <c r="CL66" s="126"/>
      <c r="CM66" s="126"/>
      <c r="CN66" s="126"/>
      <c r="CO66" s="126"/>
      <c r="CP66" s="126"/>
      <c r="CQ66" s="126"/>
      <c r="CR66" s="126"/>
      <c r="CS66" s="126"/>
      <c r="CT66" s="126"/>
      <c r="CU66" s="126"/>
      <c r="CV66" s="126"/>
      <c r="CW66" s="126"/>
      <c r="CX66" s="126"/>
      <c r="CY66" s="126"/>
      <c r="CZ66" s="126"/>
      <c r="DA66" s="126"/>
      <c r="DB66" s="126"/>
      <c r="DC66" s="126"/>
      <c r="DD66" s="126"/>
      <c r="DE66" s="126"/>
      <c r="DF66" s="126"/>
      <c r="DG66" s="126"/>
      <c r="DH66" s="126"/>
      <c r="DI66" s="126"/>
      <c r="DJ66" s="126"/>
      <c r="DK66" s="126"/>
      <c r="DL66" s="126"/>
      <c r="DM66" s="126"/>
      <c r="DN66" s="126"/>
      <c r="DO66" s="126"/>
      <c r="DP66" s="126"/>
      <c r="DQ66" s="126"/>
    </row>
    <row r="67" spans="1:121" x14ac:dyDescent="0.25">
      <c r="A67" s="126"/>
      <c r="B67" s="126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6"/>
      <c r="BC67" s="126"/>
      <c r="BD67" s="126"/>
      <c r="BE67" s="126"/>
      <c r="BF67" s="126"/>
      <c r="BG67" s="126"/>
      <c r="BH67" s="126"/>
      <c r="BI67" s="126"/>
      <c r="BJ67" s="126"/>
      <c r="BK67" s="126"/>
      <c r="BL67" s="126"/>
      <c r="BM67" s="126"/>
      <c r="BN67" s="126"/>
      <c r="BO67" s="126"/>
      <c r="BP67" s="126"/>
      <c r="BQ67" s="126"/>
      <c r="BR67" s="126"/>
      <c r="BS67" s="126"/>
      <c r="BT67" s="126"/>
      <c r="BU67" s="126"/>
      <c r="BV67" s="126"/>
      <c r="BW67" s="126"/>
      <c r="BX67" s="126"/>
      <c r="BY67" s="126"/>
      <c r="BZ67" s="126"/>
      <c r="CA67" s="126"/>
      <c r="CB67" s="126"/>
      <c r="CC67" s="126"/>
      <c r="CD67" s="126"/>
      <c r="CE67" s="126"/>
      <c r="CF67" s="126"/>
      <c r="CG67" s="126"/>
      <c r="CH67" s="126"/>
      <c r="CI67" s="126"/>
      <c r="CJ67" s="126"/>
      <c r="CK67" s="126"/>
      <c r="CL67" s="126"/>
      <c r="CM67" s="126"/>
      <c r="CN67" s="126"/>
      <c r="CO67" s="126"/>
      <c r="CP67" s="126"/>
      <c r="CQ67" s="126"/>
      <c r="CR67" s="126"/>
      <c r="CS67" s="126"/>
      <c r="CT67" s="126"/>
      <c r="CU67" s="126"/>
      <c r="CV67" s="126"/>
      <c r="CW67" s="126"/>
      <c r="CX67" s="126"/>
      <c r="CY67" s="126"/>
      <c r="CZ67" s="126"/>
      <c r="DA67" s="126"/>
      <c r="DB67" s="126"/>
      <c r="DC67" s="126"/>
      <c r="DD67" s="126"/>
      <c r="DE67" s="126"/>
      <c r="DF67" s="126"/>
      <c r="DG67" s="126"/>
      <c r="DH67" s="126"/>
      <c r="DI67" s="126"/>
      <c r="DJ67" s="126"/>
      <c r="DK67" s="126"/>
      <c r="DL67" s="126"/>
      <c r="DM67" s="126"/>
      <c r="DN67" s="126"/>
      <c r="DO67" s="126"/>
      <c r="DP67" s="126"/>
      <c r="DQ67" s="126"/>
    </row>
    <row r="68" spans="1:121" x14ac:dyDescent="0.25">
      <c r="A68" s="126"/>
      <c r="B68" s="126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  <c r="BE68" s="126"/>
      <c r="BF68" s="126"/>
      <c r="BG68" s="126"/>
      <c r="BH68" s="126"/>
      <c r="BI68" s="126"/>
      <c r="BJ68" s="126"/>
      <c r="BK68" s="126"/>
      <c r="BL68" s="126"/>
      <c r="BM68" s="126"/>
      <c r="BN68" s="126"/>
      <c r="BO68" s="126"/>
      <c r="BP68" s="126"/>
      <c r="BQ68" s="126"/>
      <c r="BR68" s="126"/>
      <c r="BS68" s="126"/>
      <c r="BT68" s="126"/>
      <c r="BU68" s="126"/>
      <c r="BV68" s="126"/>
      <c r="BW68" s="126"/>
      <c r="BX68" s="126"/>
      <c r="BY68" s="126"/>
      <c r="BZ68" s="126"/>
      <c r="CA68" s="126"/>
      <c r="CB68" s="126"/>
      <c r="CC68" s="126"/>
      <c r="CD68" s="126"/>
      <c r="CE68" s="126"/>
      <c r="CF68" s="126"/>
      <c r="CG68" s="126"/>
      <c r="CH68" s="126"/>
      <c r="CI68" s="126"/>
      <c r="CJ68" s="126"/>
      <c r="CK68" s="126"/>
      <c r="CL68" s="126"/>
      <c r="CM68" s="126"/>
      <c r="CN68" s="126"/>
      <c r="CO68" s="126"/>
      <c r="CP68" s="126"/>
      <c r="CQ68" s="126"/>
      <c r="CR68" s="126"/>
      <c r="CS68" s="126"/>
      <c r="CT68" s="126"/>
      <c r="CU68" s="126"/>
      <c r="CV68" s="126"/>
      <c r="CW68" s="126"/>
      <c r="CX68" s="126"/>
      <c r="CY68" s="126"/>
      <c r="CZ68" s="126"/>
      <c r="DA68" s="126"/>
      <c r="DB68" s="126"/>
      <c r="DC68" s="126"/>
      <c r="DD68" s="126"/>
      <c r="DE68" s="126"/>
      <c r="DF68" s="126"/>
      <c r="DG68" s="126"/>
      <c r="DH68" s="126"/>
      <c r="DI68" s="126"/>
      <c r="DJ68" s="126"/>
      <c r="DK68" s="126"/>
      <c r="DL68" s="126"/>
      <c r="DM68" s="126"/>
      <c r="DN68" s="126"/>
      <c r="DO68" s="126"/>
      <c r="DP68" s="126"/>
      <c r="DQ68" s="126"/>
    </row>
    <row r="69" spans="1:121" x14ac:dyDescent="0.25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  <c r="AI69" s="126"/>
      <c r="AJ69" s="126"/>
      <c r="AK69" s="126"/>
      <c r="AL69" s="126"/>
      <c r="AM69" s="126"/>
      <c r="AN69" s="126"/>
      <c r="AO69" s="126"/>
      <c r="AP69" s="126"/>
      <c r="AQ69" s="126"/>
      <c r="AR69" s="126"/>
      <c r="AS69" s="126"/>
      <c r="AT69" s="126"/>
      <c r="AU69" s="126"/>
      <c r="AV69" s="126"/>
      <c r="AW69" s="126"/>
      <c r="AX69" s="126"/>
      <c r="AY69" s="126"/>
      <c r="AZ69" s="126"/>
      <c r="BA69" s="126"/>
      <c r="BB69" s="126"/>
      <c r="BC69" s="126"/>
      <c r="BD69" s="126"/>
      <c r="BE69" s="126"/>
      <c r="BF69" s="126"/>
      <c r="BG69" s="126"/>
      <c r="BH69" s="126"/>
      <c r="BI69" s="126"/>
      <c r="BJ69" s="126"/>
      <c r="BK69" s="126"/>
      <c r="BL69" s="126"/>
      <c r="BM69" s="126"/>
      <c r="BN69" s="126"/>
      <c r="BO69" s="126"/>
      <c r="BP69" s="126"/>
      <c r="BQ69" s="126"/>
      <c r="BR69" s="126"/>
      <c r="BS69" s="126"/>
      <c r="BT69" s="126"/>
      <c r="BU69" s="126"/>
      <c r="BV69" s="126"/>
      <c r="BW69" s="126"/>
      <c r="BX69" s="126"/>
      <c r="BY69" s="126"/>
      <c r="BZ69" s="126"/>
      <c r="CA69" s="126"/>
      <c r="CB69" s="126"/>
      <c r="CC69" s="126"/>
      <c r="CD69" s="126"/>
      <c r="CE69" s="126"/>
      <c r="CF69" s="126"/>
      <c r="CG69" s="126"/>
      <c r="CH69" s="126"/>
      <c r="CI69" s="126"/>
      <c r="CJ69" s="126"/>
      <c r="CK69" s="126"/>
      <c r="CL69" s="126"/>
      <c r="CM69" s="126"/>
      <c r="CN69" s="126"/>
      <c r="CO69" s="126"/>
      <c r="CP69" s="126"/>
      <c r="CQ69" s="126"/>
      <c r="CR69" s="126"/>
      <c r="CS69" s="126"/>
      <c r="CT69" s="126"/>
      <c r="CU69" s="126"/>
      <c r="CV69" s="126"/>
      <c r="CW69" s="126"/>
      <c r="CX69" s="126"/>
      <c r="CY69" s="126"/>
      <c r="CZ69" s="126"/>
      <c r="DA69" s="126"/>
      <c r="DB69" s="126"/>
      <c r="DC69" s="126"/>
      <c r="DD69" s="126"/>
      <c r="DE69" s="126"/>
      <c r="DF69" s="126"/>
      <c r="DG69" s="126"/>
      <c r="DH69" s="126"/>
      <c r="DI69" s="126"/>
      <c r="DJ69" s="126"/>
      <c r="DK69" s="126"/>
      <c r="DL69" s="126"/>
      <c r="DM69" s="126"/>
      <c r="DN69" s="126"/>
      <c r="DO69" s="126"/>
      <c r="DP69" s="126"/>
      <c r="DQ69" s="126"/>
    </row>
    <row r="70" spans="1:121" x14ac:dyDescent="0.25">
      <c r="A70" s="126"/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6"/>
      <c r="AM70" s="126"/>
      <c r="AN70" s="126"/>
      <c r="AO70" s="126"/>
      <c r="AP70" s="126"/>
      <c r="AQ70" s="126"/>
      <c r="AR70" s="126"/>
      <c r="AS70" s="126"/>
      <c r="AT70" s="126"/>
      <c r="AU70" s="126"/>
      <c r="AV70" s="126"/>
      <c r="AW70" s="126"/>
      <c r="AX70" s="126"/>
      <c r="AY70" s="126"/>
      <c r="AZ70" s="126"/>
      <c r="BA70" s="126"/>
      <c r="BB70" s="126"/>
      <c r="BC70" s="126"/>
      <c r="BD70" s="126"/>
      <c r="BE70" s="126"/>
      <c r="BF70" s="126"/>
      <c r="BG70" s="126"/>
      <c r="BH70" s="126"/>
      <c r="BI70" s="126"/>
      <c r="BJ70" s="126"/>
      <c r="BK70" s="126"/>
      <c r="BL70" s="126"/>
      <c r="BM70" s="126"/>
      <c r="BN70" s="126"/>
      <c r="BO70" s="126"/>
      <c r="BP70" s="126"/>
      <c r="BQ70" s="126"/>
      <c r="BR70" s="126"/>
      <c r="BS70" s="126"/>
      <c r="BT70" s="126"/>
      <c r="BU70" s="126"/>
      <c r="BV70" s="126"/>
      <c r="BW70" s="126"/>
      <c r="BX70" s="126"/>
      <c r="BY70" s="126"/>
      <c r="BZ70" s="126"/>
      <c r="CA70" s="126"/>
      <c r="CB70" s="126"/>
      <c r="CC70" s="126"/>
      <c r="CD70" s="126"/>
      <c r="CE70" s="126"/>
      <c r="CF70" s="126"/>
      <c r="CG70" s="126"/>
      <c r="CH70" s="126"/>
      <c r="CI70" s="126"/>
      <c r="CJ70" s="126"/>
      <c r="CK70" s="126"/>
      <c r="CL70" s="126"/>
      <c r="CM70" s="126"/>
      <c r="CN70" s="126"/>
      <c r="CO70" s="126"/>
      <c r="CP70" s="126"/>
      <c r="CQ70" s="126"/>
      <c r="CR70" s="126"/>
      <c r="CS70" s="126"/>
      <c r="CT70" s="126"/>
      <c r="CU70" s="126"/>
      <c r="CV70" s="126"/>
      <c r="CW70" s="126"/>
      <c r="CX70" s="126"/>
      <c r="CY70" s="126"/>
      <c r="CZ70" s="126"/>
      <c r="DA70" s="126"/>
      <c r="DB70" s="126"/>
      <c r="DC70" s="126"/>
      <c r="DD70" s="126"/>
      <c r="DE70" s="126"/>
      <c r="DF70" s="126"/>
      <c r="DG70" s="126"/>
      <c r="DH70" s="126"/>
      <c r="DI70" s="126"/>
      <c r="DJ70" s="126"/>
      <c r="DK70" s="126"/>
      <c r="DL70" s="126"/>
      <c r="DM70" s="126"/>
      <c r="DN70" s="126"/>
      <c r="DO70" s="126"/>
      <c r="DP70" s="126"/>
      <c r="DQ70" s="126"/>
    </row>
    <row r="71" spans="1:121" x14ac:dyDescent="0.25">
      <c r="A71" s="126"/>
      <c r="B71" s="126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  <c r="BE71" s="126"/>
      <c r="BF71" s="126"/>
      <c r="BG71" s="126"/>
      <c r="BH71" s="126"/>
      <c r="BI71" s="126"/>
      <c r="BJ71" s="126"/>
      <c r="BK71" s="126"/>
      <c r="BL71" s="126"/>
      <c r="BM71" s="126"/>
      <c r="BN71" s="126"/>
      <c r="BO71" s="126"/>
      <c r="BP71" s="126"/>
      <c r="BQ71" s="126"/>
      <c r="BR71" s="126"/>
      <c r="BS71" s="126"/>
      <c r="BT71" s="126"/>
      <c r="BU71" s="126"/>
      <c r="BV71" s="126"/>
      <c r="BW71" s="126"/>
      <c r="BX71" s="126"/>
      <c r="BY71" s="126"/>
      <c r="BZ71" s="126"/>
      <c r="CA71" s="126"/>
      <c r="CB71" s="126"/>
      <c r="CC71" s="126"/>
      <c r="CD71" s="126"/>
      <c r="CE71" s="126"/>
      <c r="CF71" s="126"/>
      <c r="CG71" s="126"/>
      <c r="CH71" s="126"/>
      <c r="CI71" s="126"/>
      <c r="CJ71" s="126"/>
      <c r="CK71" s="126"/>
      <c r="CL71" s="126"/>
      <c r="CM71" s="126"/>
      <c r="CN71" s="126"/>
      <c r="CO71" s="126"/>
      <c r="CP71" s="126"/>
      <c r="CQ71" s="126"/>
      <c r="CR71" s="126"/>
      <c r="CS71" s="126"/>
      <c r="CT71" s="126"/>
      <c r="CU71" s="126"/>
      <c r="CV71" s="126"/>
      <c r="CW71" s="126"/>
      <c r="CX71" s="126"/>
      <c r="CY71" s="126"/>
      <c r="CZ71" s="126"/>
      <c r="DA71" s="126"/>
      <c r="DB71" s="126"/>
      <c r="DC71" s="126"/>
      <c r="DD71" s="126"/>
      <c r="DE71" s="126"/>
      <c r="DF71" s="126"/>
      <c r="DG71" s="126"/>
      <c r="DH71" s="126"/>
      <c r="DI71" s="126"/>
      <c r="DJ71" s="126"/>
      <c r="DK71" s="126"/>
      <c r="DL71" s="126"/>
      <c r="DM71" s="126"/>
      <c r="DN71" s="126"/>
      <c r="DO71" s="126"/>
      <c r="DP71" s="126"/>
      <c r="DQ71" s="126"/>
    </row>
    <row r="72" spans="1:121" x14ac:dyDescent="0.25">
      <c r="A72" s="126"/>
      <c r="B72" s="126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</row>
    <row r="73" spans="1:121" x14ac:dyDescent="0.25">
      <c r="A73" s="126"/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126"/>
      <c r="AP73" s="126"/>
      <c r="AQ73" s="126"/>
      <c r="AR73" s="126"/>
      <c r="AS73" s="126"/>
      <c r="AT73" s="126"/>
      <c r="AU73" s="126"/>
      <c r="AV73" s="126"/>
      <c r="AW73" s="126"/>
      <c r="AX73" s="126"/>
      <c r="AY73" s="126"/>
      <c r="AZ73" s="126"/>
      <c r="BA73" s="126"/>
      <c r="BB73" s="126"/>
      <c r="BC73" s="126"/>
      <c r="BD73" s="126"/>
      <c r="BE73" s="126"/>
      <c r="BF73" s="126"/>
      <c r="BG73" s="126"/>
      <c r="BH73" s="126"/>
      <c r="BI73" s="126"/>
      <c r="BJ73" s="126"/>
      <c r="BK73" s="126"/>
      <c r="BL73" s="126"/>
      <c r="BM73" s="126"/>
      <c r="BN73" s="126"/>
      <c r="BO73" s="126"/>
      <c r="BP73" s="126"/>
      <c r="BQ73" s="126"/>
      <c r="BR73" s="126"/>
      <c r="BS73" s="126"/>
      <c r="BT73" s="126"/>
      <c r="BU73" s="126"/>
      <c r="BV73" s="126"/>
      <c r="BW73" s="126"/>
      <c r="BX73" s="126"/>
      <c r="BY73" s="126"/>
      <c r="BZ73" s="126"/>
      <c r="CA73" s="126"/>
      <c r="CB73" s="126"/>
      <c r="CC73" s="126"/>
      <c r="CD73" s="126"/>
      <c r="CE73" s="126"/>
      <c r="CF73" s="126"/>
      <c r="CG73" s="126"/>
      <c r="CH73" s="126"/>
      <c r="CI73" s="126"/>
      <c r="CJ73" s="126"/>
      <c r="CK73" s="126"/>
      <c r="CL73" s="126"/>
      <c r="CM73" s="126"/>
      <c r="CN73" s="126"/>
      <c r="CO73" s="126"/>
      <c r="CP73" s="126"/>
      <c r="CQ73" s="126"/>
      <c r="CR73" s="126"/>
      <c r="CS73" s="126"/>
      <c r="CT73" s="126"/>
      <c r="CU73" s="126"/>
      <c r="CV73" s="126"/>
      <c r="CW73" s="126"/>
      <c r="CX73" s="126"/>
      <c r="CY73" s="126"/>
      <c r="CZ73" s="126"/>
      <c r="DA73" s="126"/>
      <c r="DB73" s="126"/>
      <c r="DC73" s="126"/>
      <c r="DD73" s="126"/>
      <c r="DE73" s="126"/>
      <c r="DF73" s="126"/>
      <c r="DG73" s="126"/>
      <c r="DH73" s="126"/>
      <c r="DI73" s="126"/>
      <c r="DJ73" s="126"/>
      <c r="DK73" s="126"/>
      <c r="DL73" s="126"/>
      <c r="DM73" s="126"/>
      <c r="DN73" s="126"/>
      <c r="DO73" s="126"/>
      <c r="DP73" s="126"/>
      <c r="DQ73" s="126"/>
    </row>
    <row r="74" spans="1:121" x14ac:dyDescent="0.25">
      <c r="A74" s="126"/>
      <c r="B74" s="126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  <c r="AI74" s="126"/>
      <c r="AJ74" s="126"/>
      <c r="AK74" s="126"/>
      <c r="AL74" s="126"/>
      <c r="AM74" s="126"/>
      <c r="AN74" s="126"/>
      <c r="AO74" s="126"/>
      <c r="AP74" s="126"/>
      <c r="AQ74" s="126"/>
      <c r="AR74" s="126"/>
      <c r="AS74" s="126"/>
      <c r="AT74" s="126"/>
      <c r="AU74" s="126"/>
      <c r="AV74" s="126"/>
      <c r="AW74" s="126"/>
      <c r="AX74" s="126"/>
      <c r="AY74" s="126"/>
      <c r="AZ74" s="126"/>
      <c r="BA74" s="126"/>
      <c r="BB74" s="126"/>
      <c r="BC74" s="126"/>
      <c r="BD74" s="126"/>
      <c r="BE74" s="126"/>
      <c r="BF74" s="126"/>
      <c r="BG74" s="126"/>
      <c r="BH74" s="126"/>
      <c r="BI74" s="126"/>
      <c r="BJ74" s="126"/>
      <c r="BK74" s="126"/>
      <c r="BL74" s="126"/>
      <c r="BM74" s="126"/>
      <c r="BN74" s="126"/>
      <c r="BO74" s="126"/>
      <c r="BP74" s="126"/>
      <c r="BQ74" s="126"/>
      <c r="BR74" s="126"/>
      <c r="BS74" s="126"/>
      <c r="BT74" s="126"/>
      <c r="BU74" s="126"/>
      <c r="BV74" s="126"/>
      <c r="BW74" s="126"/>
      <c r="BX74" s="126"/>
      <c r="BY74" s="126"/>
      <c r="BZ74" s="126"/>
      <c r="CA74" s="126"/>
      <c r="CB74" s="126"/>
      <c r="CC74" s="126"/>
      <c r="CD74" s="126"/>
      <c r="CE74" s="126"/>
      <c r="CF74" s="126"/>
      <c r="CG74" s="126"/>
      <c r="CH74" s="126"/>
      <c r="CI74" s="126"/>
      <c r="CJ74" s="126"/>
      <c r="CK74" s="126"/>
      <c r="CL74" s="126"/>
      <c r="CM74" s="126"/>
      <c r="CN74" s="126"/>
      <c r="CO74" s="126"/>
      <c r="CP74" s="126"/>
      <c r="CQ74" s="126"/>
      <c r="CR74" s="126"/>
      <c r="CS74" s="126"/>
      <c r="CT74" s="126"/>
      <c r="CU74" s="126"/>
      <c r="CV74" s="126"/>
      <c r="CW74" s="126"/>
      <c r="CX74" s="126"/>
      <c r="CY74" s="126"/>
      <c r="CZ74" s="126"/>
      <c r="DA74" s="126"/>
      <c r="DB74" s="126"/>
      <c r="DC74" s="126"/>
      <c r="DD74" s="126"/>
      <c r="DE74" s="126"/>
      <c r="DF74" s="126"/>
      <c r="DG74" s="126"/>
      <c r="DH74" s="126"/>
      <c r="DI74" s="126"/>
      <c r="DJ74" s="126"/>
      <c r="DK74" s="126"/>
      <c r="DL74" s="126"/>
      <c r="DM74" s="126"/>
      <c r="DN74" s="126"/>
      <c r="DO74" s="126"/>
      <c r="DP74" s="126"/>
      <c r="DQ74" s="126"/>
    </row>
    <row r="75" spans="1:121" x14ac:dyDescent="0.25">
      <c r="A75" s="126"/>
      <c r="B75" s="126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  <c r="BE75" s="126"/>
      <c r="BF75" s="126"/>
      <c r="BG75" s="126"/>
      <c r="BH75" s="126"/>
      <c r="BI75" s="126"/>
      <c r="BJ75" s="126"/>
      <c r="BK75" s="126"/>
      <c r="BL75" s="126"/>
      <c r="BM75" s="126"/>
      <c r="BN75" s="126"/>
      <c r="BO75" s="126"/>
      <c r="BP75" s="126"/>
      <c r="BQ75" s="126"/>
      <c r="BR75" s="126"/>
      <c r="BS75" s="126"/>
      <c r="BT75" s="126"/>
      <c r="BU75" s="126"/>
      <c r="BV75" s="126"/>
      <c r="BW75" s="126"/>
      <c r="BX75" s="126"/>
      <c r="BY75" s="126"/>
      <c r="BZ75" s="126"/>
      <c r="CA75" s="126"/>
      <c r="CB75" s="126"/>
      <c r="CC75" s="126"/>
      <c r="CD75" s="126"/>
      <c r="CE75" s="126"/>
      <c r="CF75" s="126"/>
      <c r="CG75" s="126"/>
      <c r="CH75" s="126"/>
      <c r="CI75" s="126"/>
      <c r="CJ75" s="126"/>
      <c r="CK75" s="126"/>
      <c r="CL75" s="126"/>
      <c r="CM75" s="126"/>
      <c r="CN75" s="126"/>
      <c r="CO75" s="126"/>
      <c r="CP75" s="126"/>
      <c r="CQ75" s="126"/>
      <c r="CR75" s="126"/>
      <c r="CS75" s="126"/>
      <c r="CT75" s="126"/>
      <c r="CU75" s="126"/>
      <c r="CV75" s="126"/>
      <c r="CW75" s="126"/>
      <c r="CX75" s="126"/>
      <c r="CY75" s="126"/>
      <c r="CZ75" s="126"/>
      <c r="DA75" s="126"/>
      <c r="DB75" s="126"/>
      <c r="DC75" s="126"/>
      <c r="DD75" s="126"/>
      <c r="DE75" s="126"/>
      <c r="DF75" s="126"/>
      <c r="DG75" s="126"/>
      <c r="DH75" s="126"/>
      <c r="DI75" s="126"/>
      <c r="DJ75" s="126"/>
      <c r="DK75" s="126"/>
      <c r="DL75" s="126"/>
      <c r="DM75" s="126"/>
      <c r="DN75" s="126"/>
      <c r="DO75" s="126"/>
      <c r="DP75" s="126"/>
      <c r="DQ75" s="126"/>
    </row>
    <row r="76" spans="1:121" x14ac:dyDescent="0.25">
      <c r="A76" s="126"/>
      <c r="B76" s="126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26"/>
      <c r="BF76" s="126"/>
      <c r="BG76" s="126"/>
      <c r="BH76" s="126"/>
      <c r="BI76" s="126"/>
      <c r="BJ76" s="126"/>
      <c r="BK76" s="126"/>
      <c r="BL76" s="126"/>
      <c r="BM76" s="126"/>
      <c r="BN76" s="126"/>
      <c r="BO76" s="126"/>
      <c r="BP76" s="126"/>
      <c r="BQ76" s="126"/>
      <c r="BR76" s="126"/>
      <c r="BS76" s="126"/>
      <c r="BT76" s="126"/>
      <c r="BU76" s="126"/>
      <c r="BV76" s="126"/>
      <c r="BW76" s="126"/>
      <c r="BX76" s="126"/>
      <c r="BY76" s="126"/>
      <c r="BZ76" s="126"/>
      <c r="CA76" s="126"/>
      <c r="CB76" s="126"/>
      <c r="CC76" s="126"/>
      <c r="CD76" s="126"/>
      <c r="CE76" s="126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26"/>
      <c r="CQ76" s="126"/>
      <c r="CR76" s="126"/>
      <c r="CS76" s="126"/>
      <c r="CT76" s="126"/>
      <c r="CU76" s="126"/>
      <c r="CV76" s="126"/>
      <c r="CW76" s="126"/>
      <c r="CX76" s="126"/>
      <c r="CY76" s="126"/>
      <c r="CZ76" s="126"/>
      <c r="DA76" s="126"/>
      <c r="DB76" s="126"/>
      <c r="DC76" s="126"/>
      <c r="DD76" s="126"/>
      <c r="DE76" s="126"/>
      <c r="DF76" s="126"/>
      <c r="DG76" s="126"/>
      <c r="DH76" s="126"/>
      <c r="DI76" s="126"/>
      <c r="DJ76" s="126"/>
      <c r="DK76" s="126"/>
      <c r="DL76" s="126"/>
      <c r="DM76" s="126"/>
      <c r="DN76" s="126"/>
      <c r="DO76" s="126"/>
      <c r="DP76" s="126"/>
      <c r="DQ76" s="126"/>
    </row>
    <row r="77" spans="1:121" x14ac:dyDescent="0.25">
      <c r="A77" s="126"/>
      <c r="B77" s="126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  <c r="AS77" s="126"/>
      <c r="AT77" s="126"/>
      <c r="AU77" s="126"/>
      <c r="AV77" s="126"/>
      <c r="AW77" s="126"/>
      <c r="AX77" s="126"/>
      <c r="AY77" s="126"/>
      <c r="AZ77" s="126"/>
      <c r="BA77" s="126"/>
      <c r="BB77" s="126"/>
      <c r="BC77" s="126"/>
      <c r="BD77" s="126"/>
      <c r="BE77" s="126"/>
      <c r="BF77" s="126"/>
      <c r="BG77" s="126"/>
      <c r="BH77" s="126"/>
      <c r="BI77" s="126"/>
      <c r="BJ77" s="126"/>
      <c r="BK77" s="126"/>
      <c r="BL77" s="126"/>
      <c r="BM77" s="126"/>
      <c r="BN77" s="126"/>
      <c r="BO77" s="126"/>
      <c r="BP77" s="126"/>
      <c r="BQ77" s="126"/>
      <c r="BR77" s="126"/>
      <c r="BS77" s="126"/>
      <c r="BT77" s="126"/>
      <c r="BU77" s="126"/>
      <c r="BV77" s="126"/>
      <c r="BW77" s="126"/>
      <c r="BX77" s="126"/>
      <c r="BY77" s="126"/>
      <c r="BZ77" s="126"/>
      <c r="CA77" s="126"/>
      <c r="CB77" s="126"/>
      <c r="CC77" s="126"/>
      <c r="CD77" s="126"/>
      <c r="CE77" s="126"/>
      <c r="CF77" s="126"/>
      <c r="CG77" s="126"/>
      <c r="CH77" s="126"/>
      <c r="CI77" s="126"/>
      <c r="CJ77" s="126"/>
      <c r="CK77" s="126"/>
      <c r="CL77" s="126"/>
      <c r="CM77" s="126"/>
      <c r="CN77" s="126"/>
      <c r="CO77" s="126"/>
      <c r="CP77" s="126"/>
      <c r="CQ77" s="126"/>
      <c r="CR77" s="126"/>
      <c r="CS77" s="126"/>
      <c r="CT77" s="126"/>
      <c r="CU77" s="126"/>
      <c r="CV77" s="126"/>
      <c r="CW77" s="126"/>
      <c r="CX77" s="126"/>
      <c r="CY77" s="126"/>
      <c r="CZ77" s="126"/>
      <c r="DA77" s="126"/>
      <c r="DB77" s="126"/>
      <c r="DC77" s="126"/>
      <c r="DD77" s="126"/>
      <c r="DE77" s="126"/>
      <c r="DF77" s="126"/>
      <c r="DG77" s="126"/>
      <c r="DH77" s="126"/>
      <c r="DI77" s="126"/>
      <c r="DJ77" s="126"/>
      <c r="DK77" s="126"/>
      <c r="DL77" s="126"/>
      <c r="DM77" s="126"/>
      <c r="DN77" s="126"/>
      <c r="DO77" s="126"/>
      <c r="DP77" s="126"/>
      <c r="DQ77" s="126"/>
    </row>
    <row r="78" spans="1:121" x14ac:dyDescent="0.25">
      <c r="A78" s="126"/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6"/>
      <c r="BD78" s="126"/>
      <c r="BE78" s="126"/>
      <c r="BF78" s="126"/>
      <c r="BG78" s="126"/>
      <c r="BH78" s="126"/>
      <c r="BI78" s="126"/>
      <c r="BJ78" s="126"/>
      <c r="BK78" s="126"/>
      <c r="BL78" s="126"/>
      <c r="BM78" s="126"/>
      <c r="BN78" s="126"/>
      <c r="BO78" s="126"/>
      <c r="BP78" s="126"/>
      <c r="BQ78" s="126"/>
      <c r="BR78" s="126"/>
      <c r="BS78" s="126"/>
      <c r="BT78" s="126"/>
      <c r="BU78" s="126"/>
      <c r="BV78" s="126"/>
      <c r="BW78" s="126"/>
      <c r="BX78" s="126"/>
      <c r="BY78" s="126"/>
      <c r="BZ78" s="126"/>
      <c r="CA78" s="126"/>
      <c r="CB78" s="126"/>
      <c r="CC78" s="126"/>
      <c r="CD78" s="126"/>
      <c r="CE78" s="126"/>
      <c r="CF78" s="126"/>
      <c r="CG78" s="126"/>
      <c r="CH78" s="126"/>
      <c r="CI78" s="126"/>
      <c r="CJ78" s="126"/>
      <c r="CK78" s="126"/>
      <c r="CL78" s="126"/>
      <c r="CM78" s="126"/>
      <c r="CN78" s="126"/>
      <c r="CO78" s="126"/>
      <c r="CP78" s="126"/>
      <c r="CQ78" s="126"/>
      <c r="CR78" s="126"/>
      <c r="CS78" s="126"/>
      <c r="CT78" s="126"/>
      <c r="CU78" s="126"/>
      <c r="CV78" s="126"/>
      <c r="CW78" s="126"/>
      <c r="CX78" s="126"/>
      <c r="CY78" s="126"/>
      <c r="CZ78" s="126"/>
      <c r="DA78" s="126"/>
      <c r="DB78" s="126"/>
      <c r="DC78" s="126"/>
      <c r="DD78" s="126"/>
      <c r="DE78" s="126"/>
      <c r="DF78" s="126"/>
      <c r="DG78" s="126"/>
      <c r="DH78" s="126"/>
      <c r="DI78" s="126"/>
      <c r="DJ78" s="126"/>
      <c r="DK78" s="126"/>
      <c r="DL78" s="126"/>
      <c r="DM78" s="126"/>
      <c r="DN78" s="126"/>
      <c r="DO78" s="126"/>
      <c r="DP78" s="126"/>
      <c r="DQ78" s="126"/>
    </row>
    <row r="79" spans="1:121" x14ac:dyDescent="0.25">
      <c r="A79" s="126"/>
      <c r="B79" s="126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  <c r="AI79" s="126"/>
      <c r="AJ79" s="126"/>
      <c r="AK79" s="126"/>
      <c r="AL79" s="126"/>
      <c r="AM79" s="126"/>
      <c r="AN79" s="126"/>
      <c r="AO79" s="126"/>
      <c r="AP79" s="126"/>
      <c r="AQ79" s="126"/>
      <c r="AR79" s="126"/>
      <c r="AS79" s="126"/>
      <c r="AT79" s="126"/>
      <c r="AU79" s="126"/>
      <c r="AV79" s="126"/>
      <c r="AW79" s="126"/>
      <c r="AX79" s="126"/>
      <c r="AY79" s="126"/>
      <c r="AZ79" s="126"/>
      <c r="BA79" s="126"/>
      <c r="BB79" s="126"/>
      <c r="BC79" s="126"/>
      <c r="BD79" s="126"/>
      <c r="BE79" s="126"/>
      <c r="BF79" s="126"/>
      <c r="BG79" s="126"/>
      <c r="BH79" s="126"/>
      <c r="BI79" s="126"/>
      <c r="BJ79" s="126"/>
      <c r="BK79" s="126"/>
      <c r="BL79" s="126"/>
      <c r="BM79" s="126"/>
      <c r="BN79" s="126"/>
      <c r="BO79" s="126"/>
      <c r="BP79" s="126"/>
      <c r="BQ79" s="126"/>
      <c r="BR79" s="126"/>
      <c r="BS79" s="126"/>
      <c r="BT79" s="126"/>
      <c r="BU79" s="126"/>
      <c r="BV79" s="126"/>
      <c r="BW79" s="126"/>
      <c r="BX79" s="126"/>
      <c r="BY79" s="126"/>
      <c r="BZ79" s="126"/>
      <c r="CA79" s="126"/>
      <c r="CB79" s="126"/>
      <c r="CC79" s="126"/>
      <c r="CD79" s="126"/>
      <c r="CE79" s="126"/>
      <c r="CF79" s="126"/>
      <c r="CG79" s="126"/>
      <c r="CH79" s="126"/>
      <c r="CI79" s="126"/>
      <c r="CJ79" s="126"/>
      <c r="CK79" s="126"/>
      <c r="CL79" s="126"/>
      <c r="CM79" s="126"/>
      <c r="CN79" s="126"/>
      <c r="CO79" s="126"/>
      <c r="CP79" s="126"/>
      <c r="CQ79" s="126"/>
      <c r="CR79" s="126"/>
      <c r="CS79" s="126"/>
      <c r="CT79" s="126"/>
      <c r="CU79" s="126"/>
      <c r="CV79" s="126"/>
      <c r="CW79" s="126"/>
      <c r="CX79" s="126"/>
      <c r="CY79" s="126"/>
      <c r="CZ79" s="126"/>
      <c r="DA79" s="126"/>
      <c r="DB79" s="126"/>
      <c r="DC79" s="126"/>
      <c r="DD79" s="126"/>
      <c r="DE79" s="126"/>
      <c r="DF79" s="126"/>
      <c r="DG79" s="126"/>
      <c r="DH79" s="126"/>
      <c r="DI79" s="126"/>
      <c r="DJ79" s="126"/>
      <c r="DK79" s="126"/>
      <c r="DL79" s="126"/>
      <c r="DM79" s="126"/>
      <c r="DN79" s="126"/>
      <c r="DO79" s="126"/>
      <c r="DP79" s="126"/>
      <c r="DQ79" s="126"/>
    </row>
    <row r="80" spans="1:121" x14ac:dyDescent="0.25">
      <c r="A80" s="126"/>
      <c r="B80" s="126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6"/>
      <c r="BG80" s="126"/>
      <c r="BH80" s="126"/>
      <c r="BI80" s="126"/>
      <c r="BJ80" s="126"/>
      <c r="BK80" s="126"/>
      <c r="BL80" s="126"/>
      <c r="BM80" s="126"/>
      <c r="BN80" s="126"/>
      <c r="BO80" s="126"/>
      <c r="BP80" s="126"/>
      <c r="BQ80" s="126"/>
      <c r="BR80" s="126"/>
      <c r="BS80" s="126"/>
      <c r="BT80" s="126"/>
      <c r="BU80" s="126"/>
      <c r="BV80" s="126"/>
      <c r="BW80" s="126"/>
      <c r="BX80" s="126"/>
      <c r="BY80" s="126"/>
      <c r="BZ80" s="126"/>
      <c r="CA80" s="126"/>
      <c r="CB80" s="126"/>
      <c r="CC80" s="126"/>
      <c r="CD80" s="126"/>
      <c r="CE80" s="126"/>
      <c r="CF80" s="126"/>
      <c r="CG80" s="126"/>
      <c r="CH80" s="126"/>
      <c r="CI80" s="126"/>
      <c r="CJ80" s="126"/>
      <c r="CK80" s="126"/>
      <c r="CL80" s="126"/>
      <c r="CM80" s="126"/>
      <c r="CN80" s="126"/>
      <c r="CO80" s="126"/>
      <c r="CP80" s="126"/>
      <c r="CQ80" s="126"/>
      <c r="CR80" s="126"/>
      <c r="CS80" s="126"/>
      <c r="CT80" s="126"/>
      <c r="CU80" s="126"/>
      <c r="CV80" s="126"/>
      <c r="CW80" s="126"/>
      <c r="CX80" s="126"/>
      <c r="CY80" s="126"/>
      <c r="CZ80" s="126"/>
      <c r="DA80" s="126"/>
      <c r="DB80" s="126"/>
      <c r="DC80" s="126"/>
      <c r="DD80" s="126"/>
      <c r="DE80" s="126"/>
      <c r="DF80" s="126"/>
      <c r="DG80" s="126"/>
      <c r="DH80" s="126"/>
      <c r="DI80" s="126"/>
      <c r="DJ80" s="126"/>
      <c r="DK80" s="126"/>
      <c r="DL80" s="126"/>
      <c r="DM80" s="126"/>
      <c r="DN80" s="126"/>
      <c r="DO80" s="126"/>
      <c r="DP80" s="126"/>
      <c r="DQ80" s="126"/>
    </row>
    <row r="81" spans="1:121" x14ac:dyDescent="0.25">
      <c r="A81" s="126"/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  <c r="AI81" s="126"/>
      <c r="AJ81" s="126"/>
      <c r="AK81" s="126"/>
      <c r="AL81" s="126"/>
      <c r="AM81" s="126"/>
      <c r="AN81" s="126"/>
      <c r="AO81" s="126"/>
      <c r="AP81" s="126"/>
      <c r="AQ81" s="126"/>
      <c r="AR81" s="126"/>
      <c r="AS81" s="126"/>
      <c r="AT81" s="126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26"/>
      <c r="BF81" s="126"/>
      <c r="BG81" s="126"/>
      <c r="BH81" s="126"/>
      <c r="BI81" s="126"/>
      <c r="BJ81" s="126"/>
      <c r="BK81" s="126"/>
      <c r="BL81" s="126"/>
      <c r="BM81" s="126"/>
      <c r="BN81" s="126"/>
      <c r="BO81" s="126"/>
      <c r="BP81" s="126"/>
      <c r="BQ81" s="126"/>
      <c r="BR81" s="126"/>
      <c r="BS81" s="126"/>
      <c r="BT81" s="126"/>
      <c r="BU81" s="126"/>
      <c r="BV81" s="126"/>
      <c r="BW81" s="126"/>
      <c r="BX81" s="126"/>
      <c r="BY81" s="126"/>
      <c r="BZ81" s="126"/>
      <c r="CA81" s="126"/>
      <c r="CB81" s="126"/>
      <c r="CC81" s="126"/>
      <c r="CD81" s="126"/>
      <c r="CE81" s="126"/>
      <c r="CF81" s="126"/>
      <c r="CG81" s="126"/>
      <c r="CH81" s="126"/>
      <c r="CI81" s="126"/>
      <c r="CJ81" s="126"/>
      <c r="CK81" s="126"/>
      <c r="CL81" s="126"/>
      <c r="CM81" s="126"/>
      <c r="CN81" s="126"/>
      <c r="CO81" s="126"/>
      <c r="CP81" s="126"/>
      <c r="CQ81" s="126"/>
      <c r="CR81" s="126"/>
      <c r="CS81" s="126"/>
      <c r="CT81" s="126"/>
      <c r="CU81" s="126"/>
      <c r="CV81" s="126"/>
      <c r="CW81" s="126"/>
      <c r="CX81" s="126"/>
      <c r="CY81" s="126"/>
      <c r="CZ81" s="126"/>
      <c r="DA81" s="126"/>
      <c r="DB81" s="126"/>
      <c r="DC81" s="126"/>
      <c r="DD81" s="126"/>
      <c r="DE81" s="126"/>
      <c r="DF81" s="126"/>
      <c r="DG81" s="126"/>
      <c r="DH81" s="126"/>
      <c r="DI81" s="126"/>
      <c r="DJ81" s="126"/>
      <c r="DK81" s="126"/>
      <c r="DL81" s="126"/>
      <c r="DM81" s="126"/>
      <c r="DN81" s="126"/>
      <c r="DO81" s="126"/>
      <c r="DP81" s="126"/>
      <c r="DQ81" s="126"/>
    </row>
    <row r="82" spans="1:121" x14ac:dyDescent="0.25">
      <c r="A82" s="126"/>
      <c r="B82" s="126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  <c r="AH82" s="126"/>
      <c r="AI82" s="126"/>
      <c r="AJ82" s="126"/>
      <c r="AK82" s="126"/>
      <c r="AL82" s="126"/>
      <c r="AM82" s="126"/>
      <c r="AN82" s="126"/>
      <c r="AO82" s="126"/>
      <c r="AP82" s="126"/>
      <c r="AQ82" s="126"/>
      <c r="AR82" s="126"/>
      <c r="AS82" s="126"/>
      <c r="AT82" s="126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26"/>
      <c r="BF82" s="126"/>
      <c r="BG82" s="126"/>
      <c r="BH82" s="126"/>
      <c r="BI82" s="126"/>
      <c r="BJ82" s="126"/>
      <c r="BK82" s="126"/>
      <c r="BL82" s="126"/>
      <c r="BM82" s="126"/>
      <c r="BN82" s="126"/>
      <c r="BO82" s="126"/>
      <c r="BP82" s="126"/>
      <c r="BQ82" s="126"/>
      <c r="BR82" s="126"/>
      <c r="BS82" s="126"/>
      <c r="BT82" s="126"/>
      <c r="BU82" s="126"/>
      <c r="BV82" s="126"/>
      <c r="BW82" s="126"/>
      <c r="BX82" s="126"/>
      <c r="BY82" s="126"/>
      <c r="BZ82" s="126"/>
      <c r="CA82" s="126"/>
      <c r="CB82" s="126"/>
      <c r="CC82" s="126"/>
      <c r="CD82" s="126"/>
      <c r="CE82" s="126"/>
      <c r="CF82" s="126"/>
      <c r="CG82" s="126"/>
      <c r="CH82" s="126"/>
      <c r="CI82" s="126"/>
      <c r="CJ82" s="126"/>
      <c r="CK82" s="126"/>
      <c r="CL82" s="126"/>
      <c r="CM82" s="126"/>
      <c r="CN82" s="126"/>
      <c r="CO82" s="126"/>
      <c r="CP82" s="126"/>
      <c r="CQ82" s="126"/>
      <c r="CR82" s="126"/>
      <c r="CS82" s="126"/>
      <c r="CT82" s="126"/>
      <c r="CU82" s="126"/>
      <c r="CV82" s="126"/>
      <c r="CW82" s="126"/>
      <c r="CX82" s="126"/>
      <c r="CY82" s="126"/>
      <c r="CZ82" s="126"/>
      <c r="DA82" s="126"/>
      <c r="DB82" s="126"/>
      <c r="DC82" s="126"/>
      <c r="DD82" s="126"/>
      <c r="DE82" s="126"/>
      <c r="DF82" s="126"/>
      <c r="DG82" s="126"/>
      <c r="DH82" s="126"/>
      <c r="DI82" s="126"/>
      <c r="DJ82" s="126"/>
      <c r="DK82" s="126"/>
      <c r="DL82" s="126"/>
      <c r="DM82" s="126"/>
      <c r="DN82" s="126"/>
      <c r="DO82" s="126"/>
      <c r="DP82" s="126"/>
      <c r="DQ82" s="126"/>
    </row>
    <row r="83" spans="1:121" x14ac:dyDescent="0.25">
      <c r="A83" s="126"/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126"/>
      <c r="AI83" s="126"/>
      <c r="AJ83" s="126"/>
      <c r="AK83" s="126"/>
      <c r="AL83" s="126"/>
      <c r="AM83" s="126"/>
      <c r="AN83" s="126"/>
      <c r="AO83" s="126"/>
      <c r="AP83" s="126"/>
      <c r="AQ83" s="126"/>
      <c r="AR83" s="126"/>
      <c r="AS83" s="126"/>
      <c r="AT83" s="126"/>
      <c r="AU83" s="126"/>
      <c r="AV83" s="126"/>
      <c r="AW83" s="126"/>
      <c r="AX83" s="126"/>
      <c r="AY83" s="126"/>
      <c r="AZ83" s="126"/>
      <c r="BA83" s="126"/>
      <c r="BB83" s="126"/>
      <c r="BC83" s="126"/>
      <c r="BD83" s="126"/>
      <c r="BE83" s="126"/>
      <c r="BF83" s="126"/>
      <c r="BG83" s="126"/>
      <c r="BH83" s="126"/>
      <c r="BI83" s="126"/>
      <c r="BJ83" s="126"/>
      <c r="BK83" s="126"/>
      <c r="BL83" s="126"/>
      <c r="BM83" s="126"/>
      <c r="BN83" s="126"/>
      <c r="BO83" s="126"/>
      <c r="BP83" s="126"/>
      <c r="BQ83" s="126"/>
      <c r="BR83" s="126"/>
      <c r="BS83" s="126"/>
      <c r="BT83" s="126"/>
      <c r="BU83" s="126"/>
      <c r="BV83" s="126"/>
      <c r="BW83" s="126"/>
      <c r="BX83" s="126"/>
      <c r="BY83" s="126"/>
      <c r="BZ83" s="126"/>
      <c r="CA83" s="126"/>
      <c r="CB83" s="126"/>
      <c r="CC83" s="126"/>
      <c r="CD83" s="126"/>
      <c r="CE83" s="126"/>
      <c r="CF83" s="126"/>
      <c r="CG83" s="126"/>
      <c r="CH83" s="126"/>
      <c r="CI83" s="126"/>
      <c r="CJ83" s="126"/>
      <c r="CK83" s="126"/>
      <c r="CL83" s="126"/>
      <c r="CM83" s="126"/>
      <c r="CN83" s="126"/>
      <c r="CO83" s="126"/>
      <c r="CP83" s="126"/>
      <c r="CQ83" s="126"/>
      <c r="CR83" s="126"/>
      <c r="CS83" s="126"/>
      <c r="CT83" s="126"/>
      <c r="CU83" s="126"/>
      <c r="CV83" s="126"/>
      <c r="CW83" s="126"/>
      <c r="CX83" s="126"/>
      <c r="CY83" s="126"/>
      <c r="CZ83" s="126"/>
      <c r="DA83" s="126"/>
      <c r="DB83" s="126"/>
      <c r="DC83" s="126"/>
      <c r="DD83" s="126"/>
      <c r="DE83" s="126"/>
      <c r="DF83" s="126"/>
      <c r="DG83" s="126"/>
      <c r="DH83" s="126"/>
      <c r="DI83" s="126"/>
      <c r="DJ83" s="126"/>
      <c r="DK83" s="126"/>
      <c r="DL83" s="126"/>
      <c r="DM83" s="126"/>
      <c r="DN83" s="126"/>
      <c r="DO83" s="126"/>
      <c r="DP83" s="126"/>
      <c r="DQ83" s="126"/>
    </row>
    <row r="84" spans="1:121" x14ac:dyDescent="0.25">
      <c r="A84" s="126"/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26"/>
      <c r="BF84" s="126"/>
      <c r="BG84" s="126"/>
      <c r="BH84" s="126"/>
      <c r="BI84" s="126"/>
      <c r="BJ84" s="126"/>
      <c r="BK84" s="126"/>
      <c r="BL84" s="126"/>
      <c r="BM84" s="126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26"/>
      <c r="CH84" s="126"/>
      <c r="CI84" s="126"/>
      <c r="CJ84" s="126"/>
      <c r="CK84" s="126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26"/>
      <c r="DI84" s="126"/>
      <c r="DJ84" s="126"/>
      <c r="DK84" s="126"/>
      <c r="DL84" s="126"/>
      <c r="DM84" s="126"/>
      <c r="DN84" s="126"/>
      <c r="DO84" s="126"/>
      <c r="DP84" s="126"/>
      <c r="DQ84" s="126"/>
    </row>
    <row r="85" spans="1:121" x14ac:dyDescent="0.25">
      <c r="A85" s="126"/>
      <c r="B85" s="126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126"/>
      <c r="AI85" s="126"/>
      <c r="AJ85" s="126"/>
      <c r="AK85" s="126"/>
      <c r="AL85" s="126"/>
      <c r="AM85" s="126"/>
      <c r="AN85" s="126"/>
      <c r="AO85" s="126"/>
      <c r="AP85" s="126"/>
      <c r="AQ85" s="126"/>
      <c r="AR85" s="126"/>
      <c r="AS85" s="126"/>
      <c r="AT85" s="126"/>
      <c r="AU85" s="126"/>
      <c r="AV85" s="126"/>
      <c r="AW85" s="126"/>
      <c r="AX85" s="126"/>
      <c r="AY85" s="126"/>
      <c r="AZ85" s="126"/>
      <c r="BA85" s="126"/>
      <c r="BB85" s="126"/>
      <c r="BC85" s="126"/>
      <c r="BD85" s="126"/>
      <c r="BE85" s="126"/>
      <c r="BF85" s="126"/>
      <c r="BG85" s="126"/>
      <c r="BH85" s="126"/>
      <c r="BI85" s="126"/>
      <c r="BJ85" s="126"/>
      <c r="BK85" s="126"/>
      <c r="BL85" s="126"/>
      <c r="BM85" s="126"/>
      <c r="BN85" s="126"/>
      <c r="BO85" s="126"/>
      <c r="BP85" s="126"/>
      <c r="BQ85" s="126"/>
      <c r="BR85" s="126"/>
      <c r="BS85" s="126"/>
      <c r="BT85" s="126"/>
      <c r="BU85" s="126"/>
      <c r="BV85" s="126"/>
      <c r="BW85" s="126"/>
      <c r="BX85" s="126"/>
      <c r="BY85" s="126"/>
      <c r="BZ85" s="126"/>
      <c r="CA85" s="126"/>
      <c r="CB85" s="126"/>
      <c r="CC85" s="126"/>
      <c r="CD85" s="126"/>
      <c r="CE85" s="126"/>
      <c r="CF85" s="126"/>
      <c r="CG85" s="126"/>
      <c r="CH85" s="126"/>
      <c r="CI85" s="126"/>
      <c r="CJ85" s="126"/>
      <c r="CK85" s="126"/>
      <c r="CL85" s="126"/>
      <c r="CM85" s="126"/>
      <c r="CN85" s="126"/>
      <c r="CO85" s="126"/>
      <c r="CP85" s="126"/>
      <c r="CQ85" s="126"/>
      <c r="CR85" s="126"/>
      <c r="CS85" s="126"/>
      <c r="CT85" s="126"/>
      <c r="CU85" s="126"/>
      <c r="CV85" s="126"/>
      <c r="CW85" s="126"/>
      <c r="CX85" s="126"/>
      <c r="CY85" s="126"/>
      <c r="CZ85" s="126"/>
      <c r="DA85" s="126"/>
      <c r="DB85" s="126"/>
      <c r="DC85" s="126"/>
      <c r="DD85" s="126"/>
      <c r="DE85" s="126"/>
      <c r="DF85" s="126"/>
      <c r="DG85" s="126"/>
      <c r="DH85" s="126"/>
      <c r="DI85" s="126"/>
      <c r="DJ85" s="126"/>
      <c r="DK85" s="126"/>
      <c r="DL85" s="126"/>
      <c r="DM85" s="126"/>
      <c r="DN85" s="126"/>
      <c r="DO85" s="126"/>
      <c r="DP85" s="126"/>
      <c r="DQ85" s="126"/>
    </row>
    <row r="86" spans="1:121" x14ac:dyDescent="0.25">
      <c r="A86" s="126"/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126"/>
      <c r="AI86" s="126"/>
      <c r="AJ86" s="126"/>
      <c r="AK86" s="126"/>
      <c r="AL86" s="126"/>
      <c r="AM86" s="126"/>
      <c r="AN86" s="126"/>
      <c r="AO86" s="126"/>
      <c r="AP86" s="126"/>
      <c r="AQ86" s="126"/>
      <c r="AR86" s="126"/>
      <c r="AS86" s="126"/>
      <c r="AT86" s="126"/>
      <c r="AU86" s="126"/>
      <c r="AV86" s="126"/>
      <c r="AW86" s="126"/>
      <c r="AX86" s="126"/>
      <c r="AY86" s="126"/>
      <c r="AZ86" s="126"/>
      <c r="BA86" s="126"/>
      <c r="BB86" s="126"/>
      <c r="BC86" s="126"/>
      <c r="BD86" s="126"/>
      <c r="BE86" s="126"/>
      <c r="BF86" s="126"/>
      <c r="BG86" s="126"/>
      <c r="BH86" s="126"/>
      <c r="BI86" s="126"/>
      <c r="BJ86" s="126"/>
      <c r="BK86" s="126"/>
      <c r="BL86" s="126"/>
      <c r="BM86" s="126"/>
      <c r="BN86" s="126"/>
      <c r="BO86" s="126"/>
      <c r="BP86" s="126"/>
      <c r="BQ86" s="126"/>
      <c r="BR86" s="126"/>
      <c r="BS86" s="126"/>
      <c r="BT86" s="126"/>
      <c r="BU86" s="126"/>
      <c r="BV86" s="126"/>
      <c r="BW86" s="126"/>
      <c r="BX86" s="126"/>
      <c r="BY86" s="126"/>
      <c r="BZ86" s="126"/>
      <c r="CA86" s="126"/>
      <c r="CB86" s="126"/>
      <c r="CC86" s="126"/>
      <c r="CD86" s="126"/>
      <c r="CE86" s="126"/>
      <c r="CF86" s="126"/>
      <c r="CG86" s="126"/>
      <c r="CH86" s="126"/>
      <c r="CI86" s="126"/>
      <c r="CJ86" s="126"/>
      <c r="CK86" s="126"/>
      <c r="CL86" s="126"/>
      <c r="CM86" s="126"/>
      <c r="CN86" s="126"/>
      <c r="CO86" s="126"/>
      <c r="CP86" s="126"/>
      <c r="CQ86" s="126"/>
      <c r="CR86" s="126"/>
      <c r="CS86" s="126"/>
      <c r="CT86" s="126"/>
      <c r="CU86" s="126"/>
      <c r="CV86" s="126"/>
      <c r="CW86" s="126"/>
      <c r="CX86" s="126"/>
      <c r="CY86" s="126"/>
      <c r="CZ86" s="126"/>
      <c r="DA86" s="126"/>
      <c r="DB86" s="126"/>
      <c r="DC86" s="126"/>
      <c r="DD86" s="126"/>
      <c r="DE86" s="126"/>
      <c r="DF86" s="126"/>
      <c r="DG86" s="126"/>
      <c r="DH86" s="126"/>
      <c r="DI86" s="126"/>
      <c r="DJ86" s="126"/>
      <c r="DK86" s="126"/>
      <c r="DL86" s="126"/>
      <c r="DM86" s="126"/>
      <c r="DN86" s="126"/>
      <c r="DO86" s="126"/>
      <c r="DP86" s="126"/>
      <c r="DQ86" s="126"/>
    </row>
    <row r="87" spans="1:121" x14ac:dyDescent="0.25">
      <c r="A87" s="126"/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26"/>
      <c r="BF87" s="126"/>
      <c r="BG87" s="126"/>
      <c r="BH87" s="126"/>
      <c r="BI87" s="126"/>
      <c r="BJ87" s="126"/>
      <c r="BK87" s="126"/>
      <c r="BL87" s="126"/>
      <c r="BM87" s="126"/>
      <c r="BN87" s="126"/>
      <c r="BO87" s="126"/>
      <c r="BP87" s="126"/>
      <c r="BQ87" s="126"/>
      <c r="BR87" s="126"/>
      <c r="BS87" s="126"/>
      <c r="BT87" s="126"/>
      <c r="BU87" s="126"/>
      <c r="BV87" s="126"/>
      <c r="BW87" s="126"/>
      <c r="BX87" s="126"/>
      <c r="BY87" s="126"/>
      <c r="BZ87" s="126"/>
      <c r="CA87" s="126"/>
      <c r="CB87" s="126"/>
      <c r="CC87" s="126"/>
      <c r="CD87" s="126"/>
      <c r="CE87" s="126"/>
      <c r="CF87" s="126"/>
      <c r="CG87" s="126"/>
      <c r="CH87" s="126"/>
      <c r="CI87" s="126"/>
      <c r="CJ87" s="126"/>
      <c r="CK87" s="126"/>
      <c r="CL87" s="126"/>
      <c r="CM87" s="126"/>
      <c r="CN87" s="126"/>
      <c r="CO87" s="126"/>
      <c r="CP87" s="126"/>
      <c r="CQ87" s="126"/>
      <c r="CR87" s="126"/>
      <c r="CS87" s="126"/>
      <c r="CT87" s="126"/>
      <c r="CU87" s="126"/>
      <c r="CV87" s="126"/>
      <c r="CW87" s="126"/>
      <c r="CX87" s="126"/>
      <c r="CY87" s="126"/>
      <c r="CZ87" s="126"/>
      <c r="DA87" s="126"/>
      <c r="DB87" s="126"/>
      <c r="DC87" s="126"/>
      <c r="DD87" s="126"/>
      <c r="DE87" s="126"/>
      <c r="DF87" s="126"/>
      <c r="DG87" s="126"/>
      <c r="DH87" s="126"/>
      <c r="DI87" s="126"/>
      <c r="DJ87" s="126"/>
      <c r="DK87" s="126"/>
      <c r="DL87" s="126"/>
      <c r="DM87" s="126"/>
      <c r="DN87" s="126"/>
      <c r="DO87" s="126"/>
      <c r="DP87" s="126"/>
      <c r="DQ87" s="126"/>
    </row>
    <row r="88" spans="1:121" x14ac:dyDescent="0.25">
      <c r="A88" s="126"/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126"/>
      <c r="AI88" s="126"/>
      <c r="AJ88" s="126"/>
      <c r="AK88" s="126"/>
      <c r="AL88" s="126"/>
      <c r="AM88" s="126"/>
      <c r="AN88" s="126"/>
      <c r="AO88" s="126"/>
      <c r="AP88" s="126"/>
      <c r="AQ88" s="126"/>
      <c r="AR88" s="126"/>
      <c r="AS88" s="126"/>
      <c r="AT88" s="126"/>
      <c r="AU88" s="126"/>
      <c r="AV88" s="126"/>
      <c r="AW88" s="126"/>
      <c r="AX88" s="126"/>
      <c r="AY88" s="126"/>
      <c r="AZ88" s="126"/>
      <c r="BA88" s="126"/>
      <c r="BB88" s="126"/>
      <c r="BC88" s="126"/>
      <c r="BD88" s="126"/>
      <c r="BE88" s="126"/>
      <c r="BF88" s="126"/>
      <c r="BG88" s="126"/>
      <c r="BH88" s="126"/>
      <c r="BI88" s="126"/>
      <c r="BJ88" s="126"/>
      <c r="BK88" s="126"/>
      <c r="BL88" s="126"/>
      <c r="BM88" s="126"/>
      <c r="BN88" s="126"/>
      <c r="BO88" s="126"/>
      <c r="BP88" s="126"/>
      <c r="BQ88" s="126"/>
      <c r="BR88" s="126"/>
      <c r="BS88" s="126"/>
      <c r="BT88" s="126"/>
      <c r="BU88" s="126"/>
      <c r="BV88" s="126"/>
      <c r="BW88" s="126"/>
      <c r="BX88" s="126"/>
      <c r="BY88" s="126"/>
      <c r="BZ88" s="126"/>
      <c r="CA88" s="126"/>
      <c r="CB88" s="126"/>
      <c r="CC88" s="126"/>
      <c r="CD88" s="126"/>
      <c r="CE88" s="126"/>
      <c r="CF88" s="126"/>
      <c r="CG88" s="126"/>
      <c r="CH88" s="126"/>
      <c r="CI88" s="126"/>
      <c r="CJ88" s="126"/>
      <c r="CK88" s="126"/>
      <c r="CL88" s="126"/>
      <c r="CM88" s="126"/>
      <c r="CN88" s="126"/>
      <c r="CO88" s="126"/>
      <c r="CP88" s="126"/>
      <c r="CQ88" s="126"/>
      <c r="CR88" s="126"/>
      <c r="CS88" s="126"/>
      <c r="CT88" s="126"/>
      <c r="CU88" s="126"/>
      <c r="CV88" s="126"/>
      <c r="CW88" s="126"/>
      <c r="CX88" s="126"/>
      <c r="CY88" s="126"/>
      <c r="CZ88" s="126"/>
      <c r="DA88" s="126"/>
      <c r="DB88" s="126"/>
      <c r="DC88" s="126"/>
      <c r="DD88" s="126"/>
      <c r="DE88" s="126"/>
      <c r="DF88" s="126"/>
      <c r="DG88" s="126"/>
      <c r="DH88" s="126"/>
      <c r="DI88" s="126"/>
      <c r="DJ88" s="126"/>
      <c r="DK88" s="126"/>
      <c r="DL88" s="126"/>
      <c r="DM88" s="126"/>
      <c r="DN88" s="126"/>
      <c r="DO88" s="126"/>
      <c r="DP88" s="126"/>
      <c r="DQ88" s="126"/>
    </row>
    <row r="89" spans="1:121" x14ac:dyDescent="0.25">
      <c r="A89" s="126"/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6"/>
      <c r="AI89" s="126"/>
      <c r="AJ89" s="126"/>
      <c r="AK89" s="126"/>
      <c r="AL89" s="126"/>
      <c r="AM89" s="126"/>
      <c r="AN89" s="126"/>
      <c r="AO89" s="126"/>
      <c r="AP89" s="126"/>
      <c r="AQ89" s="126"/>
      <c r="AR89" s="126"/>
      <c r="AS89" s="126"/>
      <c r="AT89" s="126"/>
      <c r="AU89" s="126"/>
      <c r="AV89" s="126"/>
      <c r="AW89" s="126"/>
      <c r="AX89" s="126"/>
      <c r="AY89" s="126"/>
      <c r="AZ89" s="126"/>
      <c r="BA89" s="126"/>
      <c r="BB89" s="126"/>
      <c r="BC89" s="126"/>
      <c r="BD89" s="126"/>
      <c r="BE89" s="126"/>
      <c r="BF89" s="126"/>
      <c r="BG89" s="126"/>
      <c r="BH89" s="126"/>
      <c r="BI89" s="126"/>
      <c r="BJ89" s="126"/>
      <c r="BK89" s="126"/>
      <c r="BL89" s="126"/>
      <c r="BM89" s="126"/>
      <c r="BN89" s="126"/>
      <c r="BO89" s="126"/>
      <c r="BP89" s="126"/>
      <c r="BQ89" s="126"/>
      <c r="BR89" s="126"/>
      <c r="BS89" s="126"/>
      <c r="BT89" s="126"/>
      <c r="BU89" s="126"/>
      <c r="BV89" s="126"/>
      <c r="BW89" s="126"/>
      <c r="BX89" s="126"/>
      <c r="BY89" s="126"/>
      <c r="BZ89" s="126"/>
      <c r="CA89" s="126"/>
      <c r="CB89" s="126"/>
      <c r="CC89" s="126"/>
      <c r="CD89" s="126"/>
      <c r="CE89" s="126"/>
      <c r="CF89" s="126"/>
      <c r="CG89" s="126"/>
      <c r="CH89" s="126"/>
      <c r="CI89" s="126"/>
      <c r="CJ89" s="126"/>
      <c r="CK89" s="126"/>
      <c r="CL89" s="126"/>
      <c r="CM89" s="126"/>
      <c r="CN89" s="126"/>
      <c r="CO89" s="126"/>
      <c r="CP89" s="126"/>
      <c r="CQ89" s="126"/>
      <c r="CR89" s="126"/>
      <c r="CS89" s="126"/>
      <c r="CT89" s="126"/>
      <c r="CU89" s="126"/>
      <c r="CV89" s="126"/>
      <c r="CW89" s="126"/>
      <c r="CX89" s="126"/>
      <c r="CY89" s="126"/>
      <c r="CZ89" s="126"/>
      <c r="DA89" s="126"/>
      <c r="DB89" s="126"/>
      <c r="DC89" s="126"/>
      <c r="DD89" s="126"/>
      <c r="DE89" s="126"/>
      <c r="DF89" s="126"/>
      <c r="DG89" s="126"/>
      <c r="DH89" s="126"/>
      <c r="DI89" s="126"/>
      <c r="DJ89" s="126"/>
      <c r="DK89" s="126"/>
      <c r="DL89" s="126"/>
      <c r="DM89" s="126"/>
      <c r="DN89" s="126"/>
      <c r="DO89" s="126"/>
      <c r="DP89" s="126"/>
      <c r="DQ89" s="126"/>
    </row>
    <row r="90" spans="1:121" x14ac:dyDescent="0.25">
      <c r="A90" s="126"/>
      <c r="B90" s="126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126"/>
      <c r="AI90" s="126"/>
      <c r="AJ90" s="126"/>
      <c r="AK90" s="126"/>
      <c r="AL90" s="126"/>
      <c r="AM90" s="126"/>
      <c r="AN90" s="126"/>
      <c r="AO90" s="126"/>
      <c r="AP90" s="126"/>
      <c r="AQ90" s="126"/>
      <c r="AR90" s="126"/>
      <c r="AS90" s="126"/>
      <c r="AT90" s="126"/>
      <c r="AU90" s="126"/>
      <c r="AV90" s="126"/>
      <c r="AW90" s="126"/>
      <c r="AX90" s="126"/>
      <c r="AY90" s="126"/>
      <c r="AZ90" s="126"/>
      <c r="BA90" s="126"/>
      <c r="BB90" s="126"/>
      <c r="BC90" s="126"/>
      <c r="BD90" s="126"/>
      <c r="BE90" s="126"/>
      <c r="BF90" s="126"/>
      <c r="BG90" s="126"/>
      <c r="BH90" s="126"/>
      <c r="BI90" s="126"/>
      <c r="BJ90" s="126"/>
      <c r="BK90" s="126"/>
      <c r="BL90" s="126"/>
      <c r="BM90" s="126"/>
      <c r="BN90" s="126"/>
      <c r="BO90" s="126"/>
      <c r="BP90" s="126"/>
      <c r="BQ90" s="126"/>
      <c r="BR90" s="126"/>
      <c r="BS90" s="126"/>
      <c r="BT90" s="126"/>
      <c r="BU90" s="126"/>
      <c r="BV90" s="126"/>
      <c r="BW90" s="126"/>
      <c r="BX90" s="126"/>
      <c r="BY90" s="126"/>
      <c r="BZ90" s="126"/>
      <c r="CA90" s="126"/>
      <c r="CB90" s="126"/>
      <c r="CC90" s="126"/>
      <c r="CD90" s="126"/>
      <c r="CE90" s="126"/>
      <c r="CF90" s="126"/>
      <c r="CG90" s="126"/>
      <c r="CH90" s="126"/>
      <c r="CI90" s="126"/>
      <c r="CJ90" s="126"/>
      <c r="CK90" s="126"/>
      <c r="CL90" s="126"/>
      <c r="CM90" s="126"/>
      <c r="CN90" s="126"/>
      <c r="CO90" s="126"/>
      <c r="CP90" s="126"/>
      <c r="CQ90" s="126"/>
      <c r="CR90" s="126"/>
      <c r="CS90" s="126"/>
      <c r="CT90" s="126"/>
      <c r="CU90" s="126"/>
      <c r="CV90" s="126"/>
      <c r="CW90" s="126"/>
      <c r="CX90" s="126"/>
      <c r="CY90" s="126"/>
      <c r="CZ90" s="126"/>
      <c r="DA90" s="126"/>
      <c r="DB90" s="126"/>
      <c r="DC90" s="126"/>
      <c r="DD90" s="126"/>
      <c r="DE90" s="126"/>
      <c r="DF90" s="126"/>
      <c r="DG90" s="126"/>
      <c r="DH90" s="126"/>
      <c r="DI90" s="126"/>
      <c r="DJ90" s="126"/>
      <c r="DK90" s="126"/>
      <c r="DL90" s="126"/>
      <c r="DM90" s="126"/>
      <c r="DN90" s="126"/>
      <c r="DO90" s="126"/>
      <c r="DP90" s="126"/>
      <c r="DQ90" s="126"/>
    </row>
    <row r="91" spans="1:121" x14ac:dyDescent="0.25">
      <c r="A91" s="126"/>
      <c r="B91" s="126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  <c r="AL91" s="126"/>
      <c r="AM91" s="126"/>
      <c r="AN91" s="126"/>
      <c r="AO91" s="126"/>
      <c r="AP91" s="126"/>
      <c r="AQ91" s="126"/>
      <c r="AR91" s="126"/>
      <c r="AS91" s="126"/>
      <c r="AT91" s="126"/>
      <c r="AU91" s="126"/>
      <c r="AV91" s="126"/>
      <c r="AW91" s="126"/>
      <c r="AX91" s="126"/>
      <c r="AY91" s="126"/>
      <c r="AZ91" s="126"/>
      <c r="BA91" s="126"/>
      <c r="BB91" s="126"/>
      <c r="BC91" s="126"/>
      <c r="BD91" s="126"/>
      <c r="BE91" s="126"/>
      <c r="BF91" s="126"/>
      <c r="BG91" s="126"/>
      <c r="BH91" s="126"/>
      <c r="BI91" s="126"/>
      <c r="BJ91" s="126"/>
      <c r="BK91" s="126"/>
      <c r="BL91" s="126"/>
      <c r="BM91" s="126"/>
      <c r="BN91" s="126"/>
      <c r="BO91" s="126"/>
      <c r="BP91" s="126"/>
      <c r="BQ91" s="126"/>
      <c r="BR91" s="126"/>
      <c r="BS91" s="126"/>
      <c r="BT91" s="126"/>
      <c r="BU91" s="126"/>
      <c r="BV91" s="126"/>
      <c r="BW91" s="126"/>
      <c r="BX91" s="126"/>
      <c r="BY91" s="126"/>
      <c r="BZ91" s="126"/>
      <c r="CA91" s="126"/>
      <c r="CB91" s="12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26"/>
      <c r="CQ91" s="126"/>
      <c r="CR91" s="126"/>
      <c r="CS91" s="126"/>
      <c r="CT91" s="126"/>
      <c r="CU91" s="126"/>
      <c r="CV91" s="126"/>
      <c r="CW91" s="126"/>
      <c r="CX91" s="126"/>
      <c r="CY91" s="126"/>
      <c r="CZ91" s="126"/>
      <c r="DA91" s="126"/>
      <c r="DB91" s="126"/>
      <c r="DC91" s="126"/>
      <c r="DD91" s="126"/>
      <c r="DE91" s="126"/>
      <c r="DF91" s="126"/>
      <c r="DG91" s="126"/>
      <c r="DH91" s="126"/>
      <c r="DI91" s="126"/>
      <c r="DJ91" s="126"/>
      <c r="DK91" s="126"/>
      <c r="DL91" s="126"/>
      <c r="DM91" s="126"/>
      <c r="DN91" s="126"/>
      <c r="DO91" s="126"/>
      <c r="DP91" s="126"/>
      <c r="DQ91" s="126"/>
    </row>
    <row r="92" spans="1:121" x14ac:dyDescent="0.25">
      <c r="A92" s="126"/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126"/>
      <c r="AI92" s="126"/>
      <c r="AJ92" s="126"/>
      <c r="AK92" s="126"/>
      <c r="AL92" s="126"/>
      <c r="AM92" s="126"/>
      <c r="AN92" s="126"/>
      <c r="AO92" s="126"/>
      <c r="AP92" s="126"/>
      <c r="AQ92" s="126"/>
      <c r="AR92" s="126"/>
      <c r="AS92" s="126"/>
      <c r="AT92" s="126"/>
      <c r="AU92" s="126"/>
      <c r="AV92" s="126"/>
      <c r="AW92" s="126"/>
      <c r="AX92" s="126"/>
      <c r="AY92" s="126"/>
      <c r="AZ92" s="126"/>
      <c r="BA92" s="126"/>
      <c r="BB92" s="126"/>
      <c r="BC92" s="126"/>
      <c r="BD92" s="126"/>
      <c r="BE92" s="126"/>
      <c r="BF92" s="126"/>
      <c r="BG92" s="126"/>
      <c r="BH92" s="126"/>
      <c r="BI92" s="126"/>
      <c r="BJ92" s="126"/>
      <c r="BK92" s="126"/>
      <c r="BL92" s="126"/>
      <c r="BM92" s="126"/>
      <c r="BN92" s="126"/>
      <c r="BO92" s="126"/>
      <c r="BP92" s="126"/>
      <c r="BQ92" s="126"/>
      <c r="BR92" s="126"/>
      <c r="BS92" s="126"/>
      <c r="BT92" s="126"/>
      <c r="BU92" s="126"/>
      <c r="BV92" s="126"/>
      <c r="BW92" s="126"/>
      <c r="BX92" s="126"/>
      <c r="BY92" s="126"/>
      <c r="BZ92" s="126"/>
      <c r="CA92" s="126"/>
      <c r="CB92" s="126"/>
      <c r="CC92" s="126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26"/>
      <c r="CQ92" s="126"/>
      <c r="CR92" s="126"/>
      <c r="CS92" s="126"/>
      <c r="CT92" s="126"/>
      <c r="CU92" s="126"/>
      <c r="CV92" s="126"/>
      <c r="CW92" s="126"/>
      <c r="CX92" s="126"/>
      <c r="CY92" s="126"/>
      <c r="CZ92" s="126"/>
      <c r="DA92" s="126"/>
      <c r="DB92" s="126"/>
      <c r="DC92" s="126"/>
      <c r="DD92" s="126"/>
      <c r="DE92" s="126"/>
      <c r="DF92" s="126"/>
      <c r="DG92" s="126"/>
      <c r="DH92" s="126"/>
      <c r="DI92" s="126"/>
      <c r="DJ92" s="126"/>
      <c r="DK92" s="126"/>
      <c r="DL92" s="126"/>
      <c r="DM92" s="126"/>
      <c r="DN92" s="126"/>
      <c r="DO92" s="126"/>
      <c r="DP92" s="126"/>
      <c r="DQ92" s="126"/>
    </row>
    <row r="93" spans="1:121" x14ac:dyDescent="0.25">
      <c r="A93" s="126"/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6"/>
      <c r="AM93" s="126"/>
      <c r="AN93" s="126"/>
      <c r="AO93" s="126"/>
      <c r="AP93" s="126"/>
      <c r="AQ93" s="126"/>
      <c r="AR93" s="126"/>
      <c r="AS93" s="126"/>
      <c r="AT93" s="126"/>
      <c r="AU93" s="126"/>
      <c r="AV93" s="126"/>
      <c r="AW93" s="126"/>
      <c r="AX93" s="126"/>
      <c r="AY93" s="126"/>
      <c r="AZ93" s="126"/>
      <c r="BA93" s="126"/>
      <c r="BB93" s="126"/>
      <c r="BC93" s="126"/>
      <c r="BD93" s="126"/>
      <c r="BE93" s="126"/>
      <c r="BF93" s="126"/>
      <c r="BG93" s="126"/>
      <c r="BH93" s="126"/>
      <c r="BI93" s="126"/>
      <c r="BJ93" s="126"/>
      <c r="BK93" s="126"/>
      <c r="BL93" s="126"/>
      <c r="BM93" s="126"/>
      <c r="BN93" s="126"/>
      <c r="BO93" s="126"/>
      <c r="BP93" s="126"/>
      <c r="BQ93" s="126"/>
      <c r="BR93" s="126"/>
      <c r="BS93" s="126"/>
      <c r="BT93" s="126"/>
      <c r="BU93" s="126"/>
      <c r="BV93" s="126"/>
      <c r="BW93" s="126"/>
      <c r="BX93" s="126"/>
      <c r="BY93" s="126"/>
      <c r="BZ93" s="126"/>
      <c r="CA93" s="126"/>
      <c r="CB93" s="126"/>
      <c r="CC93" s="126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26"/>
      <c r="CQ93" s="126"/>
      <c r="CR93" s="126"/>
      <c r="CS93" s="126"/>
      <c r="CT93" s="126"/>
      <c r="CU93" s="126"/>
      <c r="CV93" s="126"/>
      <c r="CW93" s="126"/>
      <c r="CX93" s="126"/>
      <c r="CY93" s="126"/>
      <c r="CZ93" s="126"/>
      <c r="DA93" s="126"/>
      <c r="DB93" s="126"/>
      <c r="DC93" s="126"/>
      <c r="DD93" s="126"/>
      <c r="DE93" s="126"/>
      <c r="DF93" s="126"/>
      <c r="DG93" s="126"/>
      <c r="DH93" s="126"/>
      <c r="DI93" s="126"/>
      <c r="DJ93" s="126"/>
      <c r="DK93" s="126"/>
      <c r="DL93" s="126"/>
      <c r="DM93" s="126"/>
      <c r="DN93" s="126"/>
      <c r="DO93" s="126"/>
      <c r="DP93" s="126"/>
      <c r="DQ93" s="126"/>
    </row>
    <row r="94" spans="1:121" x14ac:dyDescent="0.25">
      <c r="A94" s="126"/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  <c r="AI94" s="126"/>
      <c r="AJ94" s="126"/>
      <c r="AK94" s="126"/>
      <c r="AL94" s="126"/>
      <c r="AM94" s="126"/>
      <c r="AN94" s="126"/>
      <c r="AO94" s="126"/>
      <c r="AP94" s="126"/>
      <c r="AQ94" s="126"/>
      <c r="AR94" s="126"/>
      <c r="AS94" s="126"/>
      <c r="AT94" s="126"/>
      <c r="AU94" s="126"/>
      <c r="AV94" s="126"/>
      <c r="AW94" s="126"/>
      <c r="AX94" s="126"/>
      <c r="AY94" s="126"/>
      <c r="AZ94" s="126"/>
      <c r="BA94" s="126"/>
      <c r="BB94" s="126"/>
      <c r="BC94" s="126"/>
      <c r="BD94" s="126"/>
      <c r="BE94" s="126"/>
      <c r="BF94" s="126"/>
      <c r="BG94" s="126"/>
      <c r="BH94" s="126"/>
      <c r="BI94" s="126"/>
      <c r="BJ94" s="126"/>
      <c r="BK94" s="126"/>
      <c r="BL94" s="126"/>
      <c r="BM94" s="126"/>
      <c r="BN94" s="126"/>
      <c r="BO94" s="126"/>
      <c r="BP94" s="126"/>
      <c r="BQ94" s="126"/>
      <c r="BR94" s="126"/>
      <c r="BS94" s="126"/>
      <c r="BT94" s="126"/>
      <c r="BU94" s="126"/>
      <c r="BV94" s="126"/>
      <c r="BW94" s="126"/>
      <c r="BX94" s="126"/>
      <c r="BY94" s="126"/>
      <c r="BZ94" s="126"/>
      <c r="CA94" s="126"/>
      <c r="CB94" s="126"/>
      <c r="CC94" s="126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V94" s="126"/>
      <c r="CW94" s="126"/>
      <c r="CX94" s="126"/>
      <c r="CY94" s="126"/>
      <c r="CZ94" s="126"/>
      <c r="DA94" s="126"/>
      <c r="DB94" s="126"/>
      <c r="DC94" s="126"/>
      <c r="DD94" s="126"/>
      <c r="DE94" s="126"/>
      <c r="DF94" s="126"/>
      <c r="DG94" s="126"/>
      <c r="DH94" s="126"/>
      <c r="DI94" s="126"/>
      <c r="DJ94" s="126"/>
      <c r="DK94" s="126"/>
      <c r="DL94" s="126"/>
      <c r="DM94" s="126"/>
      <c r="DN94" s="126"/>
      <c r="DO94" s="126"/>
      <c r="DP94" s="126"/>
      <c r="DQ94" s="126"/>
    </row>
    <row r="95" spans="1:121" x14ac:dyDescent="0.25">
      <c r="A95" s="126"/>
      <c r="B95" s="126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126"/>
      <c r="AI95" s="126"/>
      <c r="AJ95" s="126"/>
      <c r="AK95" s="126"/>
      <c r="AL95" s="126"/>
      <c r="AM95" s="126"/>
      <c r="AN95" s="126"/>
      <c r="AO95" s="126"/>
      <c r="AP95" s="126"/>
      <c r="AQ95" s="126"/>
      <c r="AR95" s="126"/>
      <c r="AS95" s="126"/>
      <c r="AT95" s="126"/>
      <c r="AU95" s="126"/>
      <c r="AV95" s="126"/>
      <c r="AW95" s="126"/>
      <c r="AX95" s="126"/>
      <c r="AY95" s="126"/>
      <c r="AZ95" s="126"/>
      <c r="BA95" s="126"/>
      <c r="BB95" s="126"/>
      <c r="BC95" s="126"/>
      <c r="BD95" s="126"/>
      <c r="BE95" s="126"/>
      <c r="BF95" s="126"/>
      <c r="BG95" s="126"/>
      <c r="BH95" s="126"/>
      <c r="BI95" s="126"/>
      <c r="BJ95" s="126"/>
      <c r="BK95" s="126"/>
      <c r="BL95" s="126"/>
      <c r="BM95" s="126"/>
      <c r="BN95" s="126"/>
      <c r="BO95" s="126"/>
      <c r="BP95" s="126"/>
      <c r="BQ95" s="126"/>
      <c r="BR95" s="126"/>
      <c r="BS95" s="126"/>
      <c r="BT95" s="126"/>
      <c r="BU95" s="126"/>
      <c r="BV95" s="126"/>
      <c r="BW95" s="126"/>
      <c r="BX95" s="126"/>
      <c r="BY95" s="126"/>
      <c r="BZ95" s="126"/>
      <c r="CA95" s="126"/>
      <c r="CB95" s="126"/>
      <c r="CC95" s="126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26"/>
      <c r="CQ95" s="126"/>
      <c r="CR95" s="126"/>
      <c r="CS95" s="126"/>
      <c r="CT95" s="126"/>
      <c r="CU95" s="126"/>
      <c r="CV95" s="126"/>
      <c r="CW95" s="126"/>
      <c r="CX95" s="126"/>
      <c r="CY95" s="126"/>
      <c r="CZ95" s="126"/>
      <c r="DA95" s="126"/>
      <c r="DB95" s="126"/>
      <c r="DC95" s="126"/>
      <c r="DD95" s="126"/>
      <c r="DE95" s="126"/>
      <c r="DF95" s="126"/>
      <c r="DG95" s="126"/>
      <c r="DH95" s="126"/>
      <c r="DI95" s="126"/>
      <c r="DJ95" s="126"/>
      <c r="DK95" s="126"/>
      <c r="DL95" s="126"/>
      <c r="DM95" s="126"/>
      <c r="DN95" s="126"/>
      <c r="DO95" s="126"/>
      <c r="DP95" s="126"/>
      <c r="DQ95" s="126"/>
    </row>
    <row r="96" spans="1:121" x14ac:dyDescent="0.25">
      <c r="A96" s="126"/>
      <c r="B96" s="126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126"/>
      <c r="AI96" s="126"/>
      <c r="AJ96" s="126"/>
      <c r="AK96" s="126"/>
      <c r="AL96" s="126"/>
      <c r="AM96" s="126"/>
      <c r="AN96" s="126"/>
      <c r="AO96" s="126"/>
      <c r="AP96" s="126"/>
      <c r="AQ96" s="126"/>
      <c r="AR96" s="126"/>
      <c r="AS96" s="126"/>
      <c r="AT96" s="126"/>
      <c r="AU96" s="126"/>
      <c r="AV96" s="126"/>
      <c r="AW96" s="126"/>
      <c r="AX96" s="126"/>
      <c r="AY96" s="126"/>
      <c r="AZ96" s="126"/>
      <c r="BA96" s="126"/>
      <c r="BB96" s="126"/>
      <c r="BC96" s="126"/>
      <c r="BD96" s="126"/>
      <c r="BE96" s="126"/>
      <c r="BF96" s="126"/>
      <c r="BG96" s="126"/>
      <c r="BH96" s="126"/>
      <c r="BI96" s="126"/>
      <c r="BJ96" s="126"/>
      <c r="BK96" s="126"/>
      <c r="BL96" s="126"/>
      <c r="BM96" s="126"/>
      <c r="BN96" s="126"/>
      <c r="BO96" s="126"/>
      <c r="BP96" s="126"/>
      <c r="BQ96" s="126"/>
      <c r="BR96" s="126"/>
      <c r="BS96" s="126"/>
      <c r="BT96" s="126"/>
      <c r="BU96" s="126"/>
      <c r="BV96" s="126"/>
      <c r="BW96" s="126"/>
      <c r="BX96" s="126"/>
      <c r="BY96" s="126"/>
      <c r="BZ96" s="126"/>
      <c r="CA96" s="126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6"/>
      <c r="CU96" s="126"/>
      <c r="CV96" s="126"/>
      <c r="CW96" s="126"/>
      <c r="CX96" s="126"/>
      <c r="CY96" s="126"/>
      <c r="CZ96" s="126"/>
      <c r="DA96" s="126"/>
      <c r="DB96" s="126"/>
      <c r="DC96" s="126"/>
      <c r="DD96" s="126"/>
      <c r="DE96" s="126"/>
      <c r="DF96" s="126"/>
      <c r="DG96" s="126"/>
      <c r="DH96" s="126"/>
      <c r="DI96" s="126"/>
      <c r="DJ96" s="126"/>
      <c r="DK96" s="126"/>
      <c r="DL96" s="126"/>
      <c r="DM96" s="126"/>
      <c r="DN96" s="126"/>
      <c r="DO96" s="126"/>
      <c r="DP96" s="126"/>
      <c r="DQ96" s="126"/>
    </row>
    <row r="97" spans="1:121" x14ac:dyDescent="0.25">
      <c r="A97" s="126"/>
      <c r="B97" s="126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126"/>
      <c r="AI97" s="126"/>
      <c r="AJ97" s="126"/>
      <c r="AK97" s="126"/>
      <c r="AL97" s="126"/>
      <c r="AM97" s="126"/>
      <c r="AN97" s="126"/>
      <c r="AO97" s="126"/>
      <c r="AP97" s="126"/>
      <c r="AQ97" s="126"/>
      <c r="AR97" s="126"/>
      <c r="AS97" s="126"/>
      <c r="AT97" s="126"/>
      <c r="AU97" s="126"/>
      <c r="AV97" s="126"/>
      <c r="AW97" s="126"/>
      <c r="AX97" s="126"/>
      <c r="AY97" s="126"/>
      <c r="AZ97" s="126"/>
      <c r="BA97" s="126"/>
      <c r="BB97" s="126"/>
      <c r="BC97" s="126"/>
      <c r="BD97" s="126"/>
      <c r="BE97" s="126"/>
      <c r="BF97" s="126"/>
      <c r="BG97" s="126"/>
      <c r="BH97" s="126"/>
      <c r="BI97" s="126"/>
      <c r="BJ97" s="126"/>
      <c r="BK97" s="126"/>
      <c r="BL97" s="126"/>
      <c r="BM97" s="126"/>
      <c r="BN97" s="126"/>
      <c r="BO97" s="126"/>
      <c r="BP97" s="126"/>
      <c r="BQ97" s="126"/>
      <c r="BR97" s="126"/>
      <c r="BS97" s="126"/>
      <c r="BT97" s="126"/>
      <c r="BU97" s="126"/>
      <c r="BV97" s="126"/>
      <c r="BW97" s="126"/>
      <c r="BX97" s="126"/>
      <c r="BY97" s="126"/>
      <c r="BZ97" s="126"/>
      <c r="CA97" s="126"/>
      <c r="CB97" s="126"/>
      <c r="CC97" s="126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26"/>
      <c r="CQ97" s="126"/>
      <c r="CR97" s="126"/>
      <c r="CS97" s="126"/>
      <c r="CT97" s="126"/>
      <c r="CU97" s="126"/>
      <c r="CV97" s="126"/>
      <c r="CW97" s="126"/>
      <c r="CX97" s="126"/>
      <c r="CY97" s="126"/>
      <c r="CZ97" s="126"/>
      <c r="DA97" s="126"/>
      <c r="DB97" s="126"/>
      <c r="DC97" s="126"/>
      <c r="DD97" s="126"/>
      <c r="DE97" s="126"/>
      <c r="DF97" s="126"/>
      <c r="DG97" s="126"/>
      <c r="DH97" s="126"/>
      <c r="DI97" s="126"/>
      <c r="DJ97" s="126"/>
      <c r="DK97" s="126"/>
      <c r="DL97" s="126"/>
      <c r="DM97" s="126"/>
      <c r="DN97" s="126"/>
      <c r="DO97" s="126"/>
      <c r="DP97" s="126"/>
      <c r="DQ97" s="126"/>
    </row>
    <row r="98" spans="1:121" x14ac:dyDescent="0.25">
      <c r="A98" s="126"/>
      <c r="B98" s="126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6"/>
      <c r="AM98" s="126"/>
      <c r="AN98" s="126"/>
      <c r="AO98" s="126"/>
      <c r="AP98" s="126"/>
      <c r="AQ98" s="126"/>
      <c r="AR98" s="126"/>
      <c r="AS98" s="126"/>
      <c r="AT98" s="126"/>
      <c r="AU98" s="126"/>
      <c r="AV98" s="126"/>
      <c r="AW98" s="126"/>
      <c r="AX98" s="126"/>
      <c r="AY98" s="126"/>
      <c r="AZ98" s="126"/>
      <c r="BA98" s="126"/>
      <c r="BB98" s="126"/>
      <c r="BC98" s="126"/>
      <c r="BD98" s="126"/>
      <c r="BE98" s="126"/>
      <c r="BF98" s="126"/>
      <c r="BG98" s="126"/>
      <c r="BH98" s="126"/>
      <c r="BI98" s="126"/>
      <c r="BJ98" s="126"/>
      <c r="BK98" s="126"/>
      <c r="BL98" s="126"/>
      <c r="BM98" s="126"/>
      <c r="BN98" s="126"/>
      <c r="BO98" s="126"/>
      <c r="BP98" s="126"/>
      <c r="BQ98" s="126"/>
      <c r="BR98" s="126"/>
      <c r="BS98" s="126"/>
      <c r="BT98" s="126"/>
      <c r="BU98" s="126"/>
      <c r="BV98" s="126"/>
      <c r="BW98" s="126"/>
      <c r="BX98" s="126"/>
      <c r="BY98" s="126"/>
      <c r="BZ98" s="126"/>
      <c r="CA98" s="126"/>
      <c r="CB98" s="126"/>
      <c r="CC98" s="126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26"/>
      <c r="CQ98" s="126"/>
      <c r="CR98" s="126"/>
      <c r="CS98" s="126"/>
      <c r="CT98" s="126"/>
      <c r="CU98" s="126"/>
      <c r="CV98" s="126"/>
      <c r="CW98" s="126"/>
      <c r="CX98" s="126"/>
      <c r="CY98" s="126"/>
      <c r="CZ98" s="126"/>
      <c r="DA98" s="126"/>
      <c r="DB98" s="126"/>
      <c r="DC98" s="126"/>
      <c r="DD98" s="126"/>
      <c r="DE98" s="126"/>
      <c r="DF98" s="126"/>
      <c r="DG98" s="126"/>
      <c r="DH98" s="126"/>
      <c r="DI98" s="126"/>
      <c r="DJ98" s="126"/>
      <c r="DK98" s="126"/>
      <c r="DL98" s="126"/>
      <c r="DM98" s="126"/>
      <c r="DN98" s="126"/>
      <c r="DO98" s="126"/>
      <c r="DP98" s="126"/>
      <c r="DQ98" s="126"/>
    </row>
    <row r="99" spans="1:121" x14ac:dyDescent="0.25">
      <c r="A99" s="126"/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26"/>
      <c r="BF99" s="126"/>
      <c r="BG99" s="126"/>
      <c r="BH99" s="126"/>
      <c r="BI99" s="126"/>
      <c r="BJ99" s="126"/>
      <c r="BK99" s="126"/>
      <c r="BL99" s="126"/>
      <c r="BM99" s="126"/>
      <c r="BN99" s="126"/>
      <c r="BO99" s="126"/>
      <c r="BP99" s="126"/>
      <c r="BQ99" s="126"/>
      <c r="BR99" s="126"/>
      <c r="BS99" s="126"/>
      <c r="BT99" s="126"/>
      <c r="BU99" s="126"/>
      <c r="BV99" s="126"/>
      <c r="BW99" s="126"/>
      <c r="BX99" s="126"/>
      <c r="BY99" s="126"/>
      <c r="BZ99" s="126"/>
      <c r="CA99" s="126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V99" s="126"/>
      <c r="CW99" s="126"/>
      <c r="CX99" s="126"/>
      <c r="CY99" s="126"/>
      <c r="CZ99" s="126"/>
      <c r="DA99" s="126"/>
      <c r="DB99" s="126"/>
      <c r="DC99" s="126"/>
      <c r="DD99" s="126"/>
      <c r="DE99" s="126"/>
      <c r="DF99" s="126"/>
      <c r="DG99" s="126"/>
      <c r="DH99" s="126"/>
      <c r="DI99" s="126"/>
      <c r="DJ99" s="126"/>
      <c r="DK99" s="126"/>
      <c r="DL99" s="126"/>
      <c r="DM99" s="126"/>
      <c r="DN99" s="126"/>
      <c r="DO99" s="126"/>
      <c r="DP99" s="126"/>
      <c r="DQ99" s="126"/>
    </row>
    <row r="100" spans="1:121" x14ac:dyDescent="0.25">
      <c r="A100" s="126"/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26"/>
      <c r="BF100" s="126"/>
      <c r="BG100" s="126"/>
      <c r="BH100" s="126"/>
      <c r="BI100" s="126"/>
      <c r="BJ100" s="126"/>
      <c r="BK100" s="126"/>
      <c r="BL100" s="126"/>
      <c r="BM100" s="126"/>
      <c r="BN100" s="126"/>
      <c r="BO100" s="126"/>
      <c r="BP100" s="126"/>
      <c r="BQ100" s="126"/>
      <c r="BR100" s="126"/>
      <c r="BS100" s="126"/>
      <c r="BT100" s="126"/>
      <c r="BU100" s="126"/>
      <c r="BV100" s="126"/>
      <c r="BW100" s="126"/>
      <c r="BX100" s="126"/>
      <c r="BY100" s="126"/>
      <c r="BZ100" s="126"/>
      <c r="CA100" s="126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V100" s="126"/>
      <c r="CW100" s="126"/>
      <c r="CX100" s="126"/>
      <c r="CY100" s="126"/>
      <c r="CZ100" s="126"/>
      <c r="DA100" s="126"/>
      <c r="DB100" s="126"/>
      <c r="DC100" s="126"/>
      <c r="DD100" s="126"/>
      <c r="DE100" s="126"/>
      <c r="DF100" s="126"/>
      <c r="DG100" s="126"/>
      <c r="DH100" s="126"/>
      <c r="DI100" s="126"/>
      <c r="DJ100" s="126"/>
      <c r="DK100" s="126"/>
      <c r="DL100" s="126"/>
      <c r="DM100" s="126"/>
      <c r="DN100" s="126"/>
      <c r="DO100" s="126"/>
      <c r="DP100" s="126"/>
      <c r="DQ100" s="126"/>
    </row>
    <row r="101" spans="1:121" x14ac:dyDescent="0.25">
      <c r="A101" s="126"/>
      <c r="B101" s="126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  <c r="AH101" s="126"/>
      <c r="AI101" s="126"/>
      <c r="AJ101" s="126"/>
      <c r="AK101" s="126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26"/>
      <c r="BF101" s="126"/>
      <c r="BG101" s="126"/>
      <c r="BH101" s="126"/>
      <c r="BI101" s="126"/>
      <c r="BJ101" s="126"/>
      <c r="BK101" s="126"/>
      <c r="BL101" s="126"/>
      <c r="BM101" s="126"/>
      <c r="BN101" s="126"/>
      <c r="BO101" s="126"/>
      <c r="BP101" s="126"/>
      <c r="BQ101" s="126"/>
      <c r="BR101" s="126"/>
      <c r="BS101" s="126"/>
      <c r="BT101" s="126"/>
      <c r="BU101" s="126"/>
      <c r="BV101" s="126"/>
      <c r="BW101" s="126"/>
      <c r="BX101" s="126"/>
      <c r="BY101" s="126"/>
      <c r="BZ101" s="126"/>
      <c r="CA101" s="126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V101" s="126"/>
      <c r="CW101" s="126"/>
      <c r="CX101" s="126"/>
      <c r="CY101" s="126"/>
      <c r="CZ101" s="126"/>
      <c r="DA101" s="126"/>
      <c r="DB101" s="126"/>
      <c r="DC101" s="126"/>
      <c r="DD101" s="126"/>
      <c r="DE101" s="126"/>
      <c r="DF101" s="126"/>
      <c r="DG101" s="126"/>
      <c r="DH101" s="126"/>
      <c r="DI101" s="126"/>
      <c r="DJ101" s="126"/>
      <c r="DK101" s="126"/>
      <c r="DL101" s="126"/>
      <c r="DM101" s="126"/>
      <c r="DN101" s="126"/>
      <c r="DO101" s="126"/>
      <c r="DP101" s="126"/>
      <c r="DQ101" s="126"/>
    </row>
    <row r="102" spans="1:121" x14ac:dyDescent="0.25">
      <c r="A102" s="126"/>
      <c r="B102" s="126"/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  <c r="BM102" s="126"/>
      <c r="BN102" s="126"/>
      <c r="BO102" s="126"/>
      <c r="BP102" s="126"/>
      <c r="BQ102" s="126"/>
      <c r="BR102" s="126"/>
      <c r="BS102" s="126"/>
      <c r="BT102" s="126"/>
      <c r="BU102" s="126"/>
      <c r="BV102" s="126"/>
      <c r="BW102" s="126"/>
      <c r="BX102" s="126"/>
      <c r="BY102" s="126"/>
      <c r="BZ102" s="126"/>
      <c r="CA102" s="126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V102" s="126"/>
      <c r="CW102" s="126"/>
      <c r="CX102" s="126"/>
      <c r="CY102" s="126"/>
      <c r="CZ102" s="126"/>
      <c r="DA102" s="126"/>
      <c r="DB102" s="126"/>
      <c r="DC102" s="126"/>
      <c r="DD102" s="126"/>
      <c r="DE102" s="126"/>
      <c r="DF102" s="126"/>
      <c r="DG102" s="126"/>
      <c r="DH102" s="126"/>
      <c r="DI102" s="126"/>
      <c r="DJ102" s="126"/>
      <c r="DK102" s="126"/>
      <c r="DL102" s="126"/>
      <c r="DM102" s="126"/>
      <c r="DN102" s="126"/>
      <c r="DO102" s="126"/>
      <c r="DP102" s="126"/>
      <c r="DQ102" s="126"/>
    </row>
    <row r="103" spans="1:121" x14ac:dyDescent="0.25">
      <c r="A103" s="126"/>
      <c r="B103" s="126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  <c r="BM103" s="126"/>
      <c r="BN103" s="126"/>
      <c r="BO103" s="126"/>
      <c r="BP103" s="126"/>
      <c r="BQ103" s="126"/>
      <c r="BR103" s="126"/>
      <c r="BS103" s="126"/>
      <c r="BT103" s="126"/>
      <c r="BU103" s="126"/>
      <c r="BV103" s="126"/>
      <c r="BW103" s="126"/>
      <c r="BX103" s="126"/>
      <c r="BY103" s="126"/>
      <c r="BZ103" s="126"/>
      <c r="CA103" s="126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V103" s="126"/>
      <c r="CW103" s="126"/>
      <c r="CX103" s="126"/>
      <c r="CY103" s="126"/>
      <c r="CZ103" s="126"/>
      <c r="DA103" s="126"/>
      <c r="DB103" s="126"/>
      <c r="DC103" s="126"/>
      <c r="DD103" s="126"/>
      <c r="DE103" s="126"/>
      <c r="DF103" s="126"/>
      <c r="DG103" s="126"/>
      <c r="DH103" s="126"/>
      <c r="DI103" s="126"/>
      <c r="DJ103" s="126"/>
      <c r="DK103" s="126"/>
      <c r="DL103" s="126"/>
      <c r="DM103" s="126"/>
      <c r="DN103" s="126"/>
      <c r="DO103" s="126"/>
      <c r="DP103" s="126"/>
      <c r="DQ103" s="126"/>
    </row>
    <row r="104" spans="1:121" x14ac:dyDescent="0.25">
      <c r="A104" s="126"/>
      <c r="B104" s="126"/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  <c r="BM104" s="126"/>
      <c r="BN104" s="126"/>
      <c r="BO104" s="126"/>
      <c r="BP104" s="126"/>
      <c r="BQ104" s="126"/>
      <c r="BR104" s="126"/>
      <c r="BS104" s="126"/>
      <c r="BT104" s="126"/>
      <c r="BU104" s="126"/>
      <c r="BV104" s="126"/>
      <c r="BW104" s="126"/>
      <c r="BX104" s="126"/>
      <c r="BY104" s="126"/>
      <c r="BZ104" s="126"/>
      <c r="CA104" s="126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V104" s="126"/>
      <c r="CW104" s="126"/>
      <c r="CX104" s="126"/>
      <c r="CY104" s="126"/>
      <c r="CZ104" s="126"/>
      <c r="DA104" s="126"/>
      <c r="DB104" s="126"/>
      <c r="DC104" s="126"/>
      <c r="DD104" s="126"/>
      <c r="DE104" s="126"/>
      <c r="DF104" s="126"/>
      <c r="DG104" s="126"/>
      <c r="DH104" s="126"/>
      <c r="DI104" s="126"/>
      <c r="DJ104" s="126"/>
      <c r="DK104" s="126"/>
      <c r="DL104" s="126"/>
      <c r="DM104" s="126"/>
      <c r="DN104" s="126"/>
      <c r="DO104" s="126"/>
      <c r="DP104" s="126"/>
      <c r="DQ104" s="126"/>
    </row>
    <row r="105" spans="1:121" x14ac:dyDescent="0.25">
      <c r="A105" s="126"/>
      <c r="B105" s="126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DD105" s="126"/>
      <c r="DE105" s="126"/>
      <c r="DF105" s="126"/>
      <c r="DG105" s="126"/>
      <c r="DH105" s="126"/>
      <c r="DI105" s="126"/>
      <c r="DJ105" s="126"/>
      <c r="DK105" s="126"/>
      <c r="DL105" s="126"/>
      <c r="DM105" s="126"/>
      <c r="DN105" s="126"/>
      <c r="DO105" s="126"/>
      <c r="DP105" s="126"/>
      <c r="DQ105" s="126"/>
    </row>
    <row r="106" spans="1:121" x14ac:dyDescent="0.25">
      <c r="A106" s="126"/>
      <c r="B106" s="126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DD106" s="126"/>
      <c r="DE106" s="126"/>
      <c r="DF106" s="126"/>
      <c r="DG106" s="126"/>
      <c r="DH106" s="126"/>
      <c r="DI106" s="126"/>
      <c r="DJ106" s="126"/>
      <c r="DK106" s="126"/>
      <c r="DL106" s="126"/>
      <c r="DM106" s="126"/>
      <c r="DN106" s="126"/>
      <c r="DO106" s="126"/>
      <c r="DP106" s="126"/>
      <c r="DQ106" s="126"/>
    </row>
    <row r="107" spans="1:121" x14ac:dyDescent="0.25">
      <c r="A107" s="126"/>
      <c r="B107" s="126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DD107" s="126"/>
      <c r="DE107" s="126"/>
      <c r="DF107" s="126"/>
      <c r="DG107" s="126"/>
      <c r="DH107" s="126"/>
      <c r="DI107" s="126"/>
      <c r="DJ107" s="126"/>
      <c r="DK107" s="126"/>
      <c r="DL107" s="126"/>
      <c r="DM107" s="126"/>
      <c r="DN107" s="126"/>
      <c r="DO107" s="126"/>
      <c r="DP107" s="126"/>
      <c r="DQ107" s="126"/>
    </row>
    <row r="108" spans="1:121" x14ac:dyDescent="0.25">
      <c r="A108" s="126"/>
      <c r="B108" s="126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DD108" s="126"/>
      <c r="DE108" s="126"/>
      <c r="DF108" s="126"/>
      <c r="DG108" s="126"/>
      <c r="DH108" s="126"/>
      <c r="DI108" s="126"/>
      <c r="DJ108" s="126"/>
      <c r="DK108" s="126"/>
      <c r="DL108" s="126"/>
      <c r="DM108" s="126"/>
      <c r="DN108" s="126"/>
      <c r="DO108" s="126"/>
      <c r="DP108" s="126"/>
      <c r="DQ108" s="126"/>
    </row>
    <row r="109" spans="1:121" x14ac:dyDescent="0.25">
      <c r="A109" s="126"/>
      <c r="B109" s="126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DD109" s="126"/>
      <c r="DE109" s="126"/>
      <c r="DF109" s="126"/>
      <c r="DG109" s="126"/>
      <c r="DH109" s="126"/>
      <c r="DI109" s="126"/>
      <c r="DJ109" s="126"/>
      <c r="DK109" s="126"/>
      <c r="DL109" s="126"/>
      <c r="DM109" s="126"/>
      <c r="DN109" s="126"/>
      <c r="DO109" s="126"/>
      <c r="DP109" s="126"/>
      <c r="DQ109" s="126"/>
    </row>
    <row r="110" spans="1:121" x14ac:dyDescent="0.25">
      <c r="A110" s="126"/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DD110" s="126"/>
      <c r="DE110" s="126"/>
      <c r="DF110" s="126"/>
      <c r="DG110" s="126"/>
      <c r="DH110" s="126"/>
      <c r="DI110" s="126"/>
      <c r="DJ110" s="126"/>
      <c r="DK110" s="126"/>
      <c r="DL110" s="126"/>
      <c r="DM110" s="126"/>
      <c r="DN110" s="126"/>
      <c r="DO110" s="126"/>
      <c r="DP110" s="126"/>
      <c r="DQ110" s="126"/>
    </row>
    <row r="111" spans="1:121" x14ac:dyDescent="0.25">
      <c r="A111" s="126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DD111" s="126"/>
      <c r="DE111" s="126"/>
      <c r="DF111" s="126"/>
      <c r="DG111" s="126"/>
      <c r="DH111" s="126"/>
      <c r="DI111" s="126"/>
      <c r="DJ111" s="126"/>
      <c r="DK111" s="126"/>
      <c r="DL111" s="126"/>
      <c r="DM111" s="126"/>
      <c r="DN111" s="126"/>
      <c r="DO111" s="126"/>
      <c r="DP111" s="126"/>
      <c r="DQ111" s="126"/>
    </row>
    <row r="112" spans="1:121" x14ac:dyDescent="0.25">
      <c r="A112" s="126"/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126"/>
      <c r="DE112" s="126"/>
      <c r="DF112" s="126"/>
      <c r="DG112" s="126"/>
      <c r="DH112" s="126"/>
      <c r="DI112" s="126"/>
      <c r="DJ112" s="126"/>
      <c r="DK112" s="126"/>
      <c r="DL112" s="126"/>
      <c r="DM112" s="126"/>
      <c r="DN112" s="126"/>
      <c r="DO112" s="126"/>
      <c r="DP112" s="126"/>
      <c r="DQ112" s="126"/>
    </row>
    <row r="113" spans="1:121" x14ac:dyDescent="0.25">
      <c r="A113" s="126"/>
      <c r="B113" s="126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126"/>
      <c r="DE113" s="126"/>
      <c r="DF113" s="126"/>
      <c r="DG113" s="126"/>
      <c r="DH113" s="126"/>
      <c r="DI113" s="126"/>
      <c r="DJ113" s="126"/>
      <c r="DK113" s="126"/>
      <c r="DL113" s="126"/>
      <c r="DM113" s="126"/>
      <c r="DN113" s="126"/>
      <c r="DO113" s="126"/>
      <c r="DP113" s="126"/>
      <c r="DQ113" s="126"/>
    </row>
    <row r="114" spans="1:121" x14ac:dyDescent="0.25">
      <c r="A114" s="126"/>
      <c r="B114" s="126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126"/>
      <c r="DG114" s="126"/>
      <c r="DH114" s="126"/>
      <c r="DI114" s="126"/>
      <c r="DJ114" s="126"/>
      <c r="DK114" s="126"/>
      <c r="DL114" s="126"/>
      <c r="DM114" s="126"/>
      <c r="DN114" s="126"/>
      <c r="DO114" s="126"/>
      <c r="DP114" s="126"/>
      <c r="DQ114" s="126"/>
    </row>
    <row r="115" spans="1:121" x14ac:dyDescent="0.25">
      <c r="A115" s="126"/>
      <c r="B115" s="126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126"/>
      <c r="DG115" s="126"/>
      <c r="DH115" s="126"/>
      <c r="DI115" s="126"/>
      <c r="DJ115" s="126"/>
      <c r="DK115" s="126"/>
      <c r="DL115" s="126"/>
      <c r="DM115" s="126"/>
      <c r="DN115" s="126"/>
      <c r="DO115" s="126"/>
      <c r="DP115" s="126"/>
      <c r="DQ115" s="126"/>
    </row>
    <row r="116" spans="1:121" x14ac:dyDescent="0.25">
      <c r="A116" s="126"/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126"/>
      <c r="DG116" s="126"/>
      <c r="DH116" s="126"/>
      <c r="DI116" s="126"/>
      <c r="DJ116" s="126"/>
      <c r="DK116" s="126"/>
      <c r="DL116" s="126"/>
      <c r="DM116" s="126"/>
      <c r="DN116" s="126"/>
      <c r="DO116" s="126"/>
      <c r="DP116" s="126"/>
      <c r="DQ116" s="126"/>
    </row>
    <row r="117" spans="1:121" x14ac:dyDescent="0.25">
      <c r="A117" s="126"/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126"/>
      <c r="DG117" s="126"/>
      <c r="DH117" s="126"/>
      <c r="DI117" s="126"/>
      <c r="DJ117" s="126"/>
      <c r="DK117" s="126"/>
      <c r="DL117" s="126"/>
      <c r="DM117" s="126"/>
      <c r="DN117" s="126"/>
      <c r="DO117" s="126"/>
      <c r="DP117" s="126"/>
      <c r="DQ117" s="126"/>
    </row>
    <row r="118" spans="1:121" x14ac:dyDescent="0.25">
      <c r="A118" s="126"/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126"/>
      <c r="DG118" s="126"/>
      <c r="DH118" s="126"/>
      <c r="DI118" s="126"/>
      <c r="DJ118" s="126"/>
      <c r="DK118" s="126"/>
      <c r="DL118" s="126"/>
      <c r="DM118" s="126"/>
      <c r="DN118" s="126"/>
      <c r="DO118" s="126"/>
      <c r="DP118" s="126"/>
      <c r="DQ118" s="126"/>
    </row>
    <row r="119" spans="1:121" x14ac:dyDescent="0.25">
      <c r="A119" s="126"/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126"/>
      <c r="DG119" s="126"/>
      <c r="DH119" s="126"/>
      <c r="DI119" s="126"/>
      <c r="DJ119" s="126"/>
      <c r="DK119" s="126"/>
      <c r="DL119" s="126"/>
      <c r="DM119" s="126"/>
      <c r="DN119" s="126"/>
      <c r="DO119" s="126"/>
      <c r="DP119" s="126"/>
      <c r="DQ119" s="126"/>
    </row>
    <row r="120" spans="1:121" x14ac:dyDescent="0.25">
      <c r="A120" s="126"/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126"/>
      <c r="DG120" s="126"/>
      <c r="DH120" s="126"/>
      <c r="DI120" s="126"/>
      <c r="DJ120" s="126"/>
      <c r="DK120" s="126"/>
      <c r="DL120" s="126"/>
      <c r="DM120" s="126"/>
      <c r="DN120" s="126"/>
      <c r="DO120" s="126"/>
      <c r="DP120" s="126"/>
      <c r="DQ120" s="126"/>
    </row>
    <row r="121" spans="1:121" x14ac:dyDescent="0.25">
      <c r="A121" s="126"/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126"/>
      <c r="DG121" s="126"/>
      <c r="DH121" s="126"/>
      <c r="DI121" s="126"/>
      <c r="DJ121" s="126"/>
      <c r="DK121" s="126"/>
      <c r="DL121" s="126"/>
      <c r="DM121" s="126"/>
      <c r="DN121" s="126"/>
      <c r="DO121" s="126"/>
      <c r="DP121" s="126"/>
      <c r="DQ121" s="126"/>
    </row>
    <row r="122" spans="1:121" x14ac:dyDescent="0.25">
      <c r="A122" s="126"/>
      <c r="B122" s="126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126"/>
      <c r="DG122" s="126"/>
      <c r="DH122" s="126"/>
      <c r="DI122" s="126"/>
      <c r="DJ122" s="126"/>
      <c r="DK122" s="126"/>
      <c r="DL122" s="126"/>
      <c r="DM122" s="126"/>
      <c r="DN122" s="126"/>
      <c r="DO122" s="126"/>
      <c r="DP122" s="126"/>
      <c r="DQ122" s="126"/>
    </row>
    <row r="123" spans="1:121" x14ac:dyDescent="0.25">
      <c r="A123" s="126"/>
      <c r="B123" s="126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126"/>
      <c r="DG123" s="126"/>
      <c r="DH123" s="126"/>
      <c r="DI123" s="126"/>
      <c r="DJ123" s="126"/>
      <c r="DK123" s="126"/>
      <c r="DL123" s="126"/>
      <c r="DM123" s="126"/>
      <c r="DN123" s="126"/>
      <c r="DO123" s="126"/>
      <c r="DP123" s="126"/>
      <c r="DQ123" s="126"/>
    </row>
    <row r="124" spans="1:121" x14ac:dyDescent="0.25">
      <c r="A124" s="126"/>
      <c r="B124" s="126"/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126"/>
      <c r="DG124" s="126"/>
      <c r="DH124" s="126"/>
      <c r="DI124" s="126"/>
      <c r="DJ124" s="126"/>
      <c r="DK124" s="126"/>
      <c r="DL124" s="126"/>
      <c r="DM124" s="126"/>
      <c r="DN124" s="126"/>
      <c r="DO124" s="126"/>
      <c r="DP124" s="126"/>
      <c r="DQ124" s="126"/>
    </row>
    <row r="125" spans="1:121" x14ac:dyDescent="0.25">
      <c r="A125" s="126"/>
      <c r="B125" s="126"/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126"/>
      <c r="DG125" s="126"/>
      <c r="DH125" s="126"/>
      <c r="DI125" s="126"/>
      <c r="DJ125" s="126"/>
      <c r="DK125" s="126"/>
      <c r="DL125" s="126"/>
      <c r="DM125" s="126"/>
      <c r="DN125" s="126"/>
      <c r="DO125" s="126"/>
      <c r="DP125" s="126"/>
      <c r="DQ125" s="126"/>
    </row>
    <row r="126" spans="1:121" x14ac:dyDescent="0.25">
      <c r="A126" s="126"/>
      <c r="B126" s="126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126"/>
      <c r="DG126" s="126"/>
      <c r="DH126" s="126"/>
      <c r="DI126" s="126"/>
      <c r="DJ126" s="126"/>
      <c r="DK126" s="126"/>
      <c r="DL126" s="126"/>
      <c r="DM126" s="126"/>
      <c r="DN126" s="126"/>
      <c r="DO126" s="126"/>
      <c r="DP126" s="126"/>
      <c r="DQ126" s="126"/>
    </row>
    <row r="127" spans="1:121" x14ac:dyDescent="0.25">
      <c r="A127" s="126"/>
      <c r="B127" s="126"/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126"/>
      <c r="DG127" s="126"/>
      <c r="DH127" s="126"/>
      <c r="DI127" s="126"/>
      <c r="DJ127" s="126"/>
      <c r="DK127" s="126"/>
      <c r="DL127" s="126"/>
      <c r="DM127" s="126"/>
      <c r="DN127" s="126"/>
      <c r="DO127" s="126"/>
      <c r="DP127" s="126"/>
      <c r="DQ127" s="126"/>
    </row>
    <row r="128" spans="1:121" x14ac:dyDescent="0.25">
      <c r="A128" s="126"/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126"/>
      <c r="DG128" s="126"/>
      <c r="DH128" s="126"/>
      <c r="DI128" s="126"/>
      <c r="DJ128" s="126"/>
      <c r="DK128" s="126"/>
      <c r="DL128" s="126"/>
      <c r="DM128" s="126"/>
      <c r="DN128" s="126"/>
      <c r="DO128" s="126"/>
      <c r="DP128" s="126"/>
      <c r="DQ128" s="126"/>
    </row>
    <row r="129" spans="1:121" x14ac:dyDescent="0.25">
      <c r="A129" s="126"/>
      <c r="B129" s="126"/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126"/>
      <c r="DG129" s="126"/>
      <c r="DH129" s="126"/>
      <c r="DI129" s="126"/>
      <c r="DJ129" s="126"/>
      <c r="DK129" s="126"/>
      <c r="DL129" s="126"/>
      <c r="DM129" s="126"/>
      <c r="DN129" s="126"/>
      <c r="DO129" s="126"/>
      <c r="DP129" s="126"/>
      <c r="DQ129" s="126"/>
    </row>
    <row r="130" spans="1:121" x14ac:dyDescent="0.25">
      <c r="A130" s="126"/>
      <c r="B130" s="126"/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DF130" s="126"/>
      <c r="DG130" s="126"/>
      <c r="DH130" s="126"/>
      <c r="DI130" s="126"/>
      <c r="DJ130" s="126"/>
      <c r="DK130" s="126"/>
      <c r="DL130" s="126"/>
      <c r="DM130" s="126"/>
      <c r="DN130" s="126"/>
      <c r="DO130" s="126"/>
      <c r="DP130" s="126"/>
      <c r="DQ130" s="126"/>
    </row>
    <row r="131" spans="1:121" x14ac:dyDescent="0.25">
      <c r="A131" s="126"/>
      <c r="B131" s="126"/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DF131" s="126"/>
      <c r="DG131" s="126"/>
      <c r="DH131" s="126"/>
      <c r="DI131" s="126"/>
      <c r="DJ131" s="126"/>
      <c r="DK131" s="126"/>
      <c r="DL131" s="126"/>
      <c r="DM131" s="126"/>
      <c r="DN131" s="126"/>
      <c r="DO131" s="126"/>
      <c r="DP131" s="126"/>
      <c r="DQ131" s="126"/>
    </row>
    <row r="132" spans="1:121" x14ac:dyDescent="0.25">
      <c r="A132" s="126"/>
      <c r="B132" s="126"/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DF132" s="126"/>
      <c r="DG132" s="126"/>
      <c r="DH132" s="126"/>
      <c r="DI132" s="126"/>
      <c r="DJ132" s="126"/>
      <c r="DK132" s="126"/>
      <c r="DL132" s="126"/>
      <c r="DM132" s="126"/>
      <c r="DN132" s="126"/>
      <c r="DO132" s="126"/>
      <c r="DP132" s="126"/>
      <c r="DQ132" s="126"/>
    </row>
    <row r="133" spans="1:121" x14ac:dyDescent="0.25">
      <c r="A133" s="126"/>
      <c r="B133" s="126"/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DF133" s="126"/>
      <c r="DG133" s="126"/>
      <c r="DH133" s="126"/>
      <c r="DI133" s="126"/>
      <c r="DJ133" s="126"/>
      <c r="DK133" s="126"/>
      <c r="DL133" s="126"/>
      <c r="DM133" s="126"/>
      <c r="DN133" s="126"/>
      <c r="DO133" s="126"/>
      <c r="DP133" s="126"/>
      <c r="DQ133" s="126"/>
    </row>
    <row r="134" spans="1:121" x14ac:dyDescent="0.25">
      <c r="A134" s="126"/>
      <c r="B134" s="126"/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26"/>
      <c r="DH134" s="126"/>
      <c r="DI134" s="126"/>
      <c r="DJ134" s="126"/>
      <c r="DK134" s="126"/>
      <c r="DL134" s="126"/>
      <c r="DM134" s="126"/>
      <c r="DN134" s="126"/>
      <c r="DO134" s="126"/>
      <c r="DP134" s="126"/>
      <c r="DQ134" s="126"/>
    </row>
    <row r="135" spans="1:121" x14ac:dyDescent="0.25">
      <c r="A135" s="126"/>
      <c r="B135" s="126"/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126"/>
      <c r="DG135" s="126"/>
      <c r="DH135" s="126"/>
      <c r="DI135" s="126"/>
      <c r="DJ135" s="126"/>
      <c r="DK135" s="126"/>
      <c r="DL135" s="126"/>
      <c r="DM135" s="126"/>
      <c r="DN135" s="126"/>
      <c r="DO135" s="126"/>
      <c r="DP135" s="126"/>
      <c r="DQ135" s="126"/>
    </row>
    <row r="136" spans="1:121" x14ac:dyDescent="0.25">
      <c r="A136" s="126"/>
      <c r="B136" s="126"/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126"/>
      <c r="DG136" s="126"/>
      <c r="DH136" s="126"/>
      <c r="DI136" s="126"/>
      <c r="DJ136" s="126"/>
      <c r="DK136" s="126"/>
      <c r="DL136" s="126"/>
      <c r="DM136" s="126"/>
      <c r="DN136" s="126"/>
      <c r="DO136" s="126"/>
      <c r="DP136" s="126"/>
      <c r="DQ136" s="126"/>
    </row>
    <row r="137" spans="1:121" x14ac:dyDescent="0.25">
      <c r="A137" s="126"/>
      <c r="B137" s="126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126"/>
      <c r="DG137" s="126"/>
      <c r="DH137" s="126"/>
      <c r="DI137" s="126"/>
      <c r="DJ137" s="126"/>
      <c r="DK137" s="126"/>
      <c r="DL137" s="126"/>
      <c r="DM137" s="126"/>
      <c r="DN137" s="126"/>
      <c r="DO137" s="126"/>
      <c r="DP137" s="126"/>
      <c r="DQ137" s="126"/>
    </row>
    <row r="138" spans="1:121" x14ac:dyDescent="0.25">
      <c r="A138" s="126"/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126"/>
      <c r="DG138" s="126"/>
      <c r="DH138" s="126"/>
      <c r="DI138" s="126"/>
      <c r="DJ138" s="126"/>
      <c r="DK138" s="126"/>
      <c r="DL138" s="126"/>
      <c r="DM138" s="126"/>
      <c r="DN138" s="126"/>
      <c r="DO138" s="126"/>
      <c r="DP138" s="126"/>
      <c r="DQ138" s="126"/>
    </row>
    <row r="139" spans="1:121" x14ac:dyDescent="0.25">
      <c r="A139" s="126"/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126"/>
      <c r="DG139" s="126"/>
      <c r="DH139" s="126"/>
      <c r="DI139" s="126"/>
      <c r="DJ139" s="126"/>
      <c r="DK139" s="126"/>
      <c r="DL139" s="126"/>
      <c r="DM139" s="126"/>
      <c r="DN139" s="126"/>
      <c r="DO139" s="126"/>
      <c r="DP139" s="126"/>
      <c r="DQ139" s="126"/>
    </row>
    <row r="140" spans="1:121" x14ac:dyDescent="0.25">
      <c r="A140" s="126"/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</row>
    <row r="141" spans="1:121" x14ac:dyDescent="0.25">
      <c r="A141" s="126"/>
      <c r="B141" s="126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126"/>
      <c r="DG141" s="126"/>
      <c r="DH141" s="126"/>
      <c r="DI141" s="126"/>
      <c r="DJ141" s="126"/>
      <c r="DK141" s="126"/>
      <c r="DL141" s="126"/>
      <c r="DM141" s="126"/>
      <c r="DN141" s="126"/>
      <c r="DO141" s="126"/>
      <c r="DP141" s="126"/>
      <c r="DQ141" s="126"/>
    </row>
    <row r="142" spans="1:121" x14ac:dyDescent="0.25">
      <c r="A142" s="126"/>
      <c r="B142" s="126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126"/>
      <c r="DG142" s="126"/>
      <c r="DH142" s="126"/>
      <c r="DI142" s="126"/>
      <c r="DJ142" s="126"/>
      <c r="DK142" s="126"/>
      <c r="DL142" s="126"/>
      <c r="DM142" s="126"/>
      <c r="DN142" s="126"/>
      <c r="DO142" s="126"/>
      <c r="DP142" s="126"/>
      <c r="DQ142" s="126"/>
    </row>
    <row r="143" spans="1:121" x14ac:dyDescent="0.25">
      <c r="A143" s="126"/>
      <c r="B143" s="126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126"/>
      <c r="DG143" s="126"/>
      <c r="DH143" s="126"/>
      <c r="DI143" s="126"/>
      <c r="DJ143" s="126"/>
      <c r="DK143" s="126"/>
      <c r="DL143" s="126"/>
      <c r="DM143" s="126"/>
      <c r="DN143" s="126"/>
      <c r="DO143" s="126"/>
      <c r="DP143" s="126"/>
      <c r="DQ143" s="126"/>
    </row>
    <row r="144" spans="1:121" x14ac:dyDescent="0.25">
      <c r="A144" s="126"/>
      <c r="B144" s="126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126"/>
      <c r="DG144" s="126"/>
      <c r="DH144" s="126"/>
      <c r="DI144" s="126"/>
      <c r="DJ144" s="126"/>
      <c r="DK144" s="126"/>
      <c r="DL144" s="126"/>
      <c r="DM144" s="126"/>
      <c r="DN144" s="126"/>
      <c r="DO144" s="126"/>
      <c r="DP144" s="126"/>
      <c r="DQ144" s="126"/>
    </row>
    <row r="145" spans="1:121" x14ac:dyDescent="0.25">
      <c r="A145" s="126"/>
      <c r="B145" s="126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126"/>
      <c r="DG145" s="126"/>
      <c r="DH145" s="126"/>
      <c r="DI145" s="126"/>
      <c r="DJ145" s="126"/>
      <c r="DK145" s="126"/>
      <c r="DL145" s="126"/>
      <c r="DM145" s="126"/>
      <c r="DN145" s="126"/>
      <c r="DO145" s="126"/>
      <c r="DP145" s="126"/>
      <c r="DQ145" s="126"/>
    </row>
    <row r="146" spans="1:121" x14ac:dyDescent="0.25">
      <c r="A146" s="126"/>
      <c r="B146" s="126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126"/>
      <c r="DG146" s="126"/>
      <c r="DH146" s="126"/>
      <c r="DI146" s="126"/>
      <c r="DJ146" s="126"/>
      <c r="DK146" s="126"/>
      <c r="DL146" s="126"/>
      <c r="DM146" s="126"/>
      <c r="DN146" s="126"/>
      <c r="DO146" s="126"/>
      <c r="DP146" s="126"/>
      <c r="DQ146" s="126"/>
    </row>
    <row r="147" spans="1:121" x14ac:dyDescent="0.25">
      <c r="A147" s="126"/>
      <c r="B147" s="126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126"/>
      <c r="DG147" s="126"/>
      <c r="DH147" s="126"/>
      <c r="DI147" s="126"/>
      <c r="DJ147" s="126"/>
      <c r="DK147" s="126"/>
      <c r="DL147" s="126"/>
      <c r="DM147" s="126"/>
      <c r="DN147" s="126"/>
      <c r="DO147" s="126"/>
      <c r="DP147" s="126"/>
      <c r="DQ147" s="126"/>
    </row>
    <row r="148" spans="1:121" x14ac:dyDescent="0.25">
      <c r="A148" s="126"/>
      <c r="B148" s="126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126"/>
      <c r="DG148" s="126"/>
      <c r="DH148" s="126"/>
      <c r="DI148" s="126"/>
      <c r="DJ148" s="126"/>
      <c r="DK148" s="126"/>
      <c r="DL148" s="126"/>
      <c r="DM148" s="126"/>
      <c r="DN148" s="126"/>
      <c r="DO148" s="126"/>
      <c r="DP148" s="126"/>
      <c r="DQ148" s="126"/>
    </row>
    <row r="149" spans="1:121" x14ac:dyDescent="0.25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126"/>
      <c r="DG149" s="126"/>
      <c r="DH149" s="126"/>
      <c r="DI149" s="126"/>
      <c r="DJ149" s="126"/>
      <c r="DK149" s="126"/>
      <c r="DL149" s="126"/>
      <c r="DM149" s="126"/>
      <c r="DN149" s="126"/>
      <c r="DO149" s="126"/>
      <c r="DP149" s="126"/>
      <c r="DQ149" s="126"/>
    </row>
    <row r="150" spans="1:121" x14ac:dyDescent="0.25">
      <c r="A150" s="126"/>
      <c r="B150" s="126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26"/>
      <c r="DH150" s="126"/>
      <c r="DI150" s="126"/>
      <c r="DJ150" s="126"/>
      <c r="DK150" s="126"/>
      <c r="DL150" s="126"/>
      <c r="DM150" s="126"/>
      <c r="DN150" s="126"/>
      <c r="DO150" s="126"/>
      <c r="DP150" s="126"/>
      <c r="DQ150" s="126"/>
    </row>
    <row r="151" spans="1:121" x14ac:dyDescent="0.25">
      <c r="A151" s="126"/>
      <c r="B151" s="126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126"/>
      <c r="DG151" s="126"/>
      <c r="DH151" s="126"/>
      <c r="DI151" s="126"/>
      <c r="DJ151" s="126"/>
      <c r="DK151" s="126"/>
      <c r="DL151" s="126"/>
      <c r="DM151" s="126"/>
      <c r="DN151" s="126"/>
      <c r="DO151" s="126"/>
      <c r="DP151" s="126"/>
      <c r="DQ151" s="126"/>
    </row>
    <row r="152" spans="1:121" x14ac:dyDescent="0.25">
      <c r="A152" s="126"/>
      <c r="B152" s="126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126"/>
      <c r="DG152" s="126"/>
      <c r="DH152" s="126"/>
      <c r="DI152" s="126"/>
      <c r="DJ152" s="126"/>
      <c r="DK152" s="126"/>
      <c r="DL152" s="126"/>
      <c r="DM152" s="126"/>
      <c r="DN152" s="126"/>
      <c r="DO152" s="126"/>
      <c r="DP152" s="126"/>
      <c r="DQ152" s="126"/>
    </row>
    <row r="153" spans="1:121" x14ac:dyDescent="0.25">
      <c r="A153" s="126"/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126"/>
      <c r="DG153" s="126"/>
      <c r="DH153" s="126"/>
      <c r="DI153" s="126"/>
      <c r="DJ153" s="126"/>
      <c r="DK153" s="126"/>
      <c r="DL153" s="126"/>
      <c r="DM153" s="126"/>
      <c r="DN153" s="126"/>
      <c r="DO153" s="126"/>
      <c r="DP153" s="126"/>
      <c r="DQ153" s="126"/>
    </row>
    <row r="154" spans="1:121" x14ac:dyDescent="0.25">
      <c r="A154" s="126"/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DF154" s="126"/>
      <c r="DG154" s="126"/>
      <c r="DH154" s="126"/>
      <c r="DI154" s="126"/>
      <c r="DJ154" s="126"/>
      <c r="DK154" s="126"/>
      <c r="DL154" s="126"/>
      <c r="DM154" s="126"/>
      <c r="DN154" s="126"/>
      <c r="DO154" s="126"/>
      <c r="DP154" s="126"/>
      <c r="DQ154" s="126"/>
    </row>
    <row r="155" spans="1:121" x14ac:dyDescent="0.25">
      <c r="A155" s="126"/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126"/>
      <c r="DG155" s="126"/>
      <c r="DH155" s="126"/>
      <c r="DI155" s="126"/>
      <c r="DJ155" s="126"/>
      <c r="DK155" s="126"/>
      <c r="DL155" s="126"/>
      <c r="DM155" s="126"/>
      <c r="DN155" s="126"/>
      <c r="DO155" s="126"/>
      <c r="DP155" s="126"/>
      <c r="DQ155" s="126"/>
    </row>
    <row r="156" spans="1:121" x14ac:dyDescent="0.25">
      <c r="A156" s="126"/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126"/>
      <c r="DG156" s="126"/>
      <c r="DH156" s="126"/>
      <c r="DI156" s="126"/>
      <c r="DJ156" s="126"/>
      <c r="DK156" s="126"/>
      <c r="DL156" s="126"/>
      <c r="DM156" s="126"/>
      <c r="DN156" s="126"/>
      <c r="DO156" s="126"/>
      <c r="DP156" s="126"/>
      <c r="DQ156" s="126"/>
    </row>
    <row r="157" spans="1:121" x14ac:dyDescent="0.25">
      <c r="A157" s="126"/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126"/>
      <c r="DG157" s="126"/>
      <c r="DH157" s="126"/>
      <c r="DI157" s="126"/>
      <c r="DJ157" s="126"/>
      <c r="DK157" s="126"/>
      <c r="DL157" s="126"/>
      <c r="DM157" s="126"/>
      <c r="DN157" s="126"/>
      <c r="DO157" s="126"/>
      <c r="DP157" s="126"/>
      <c r="DQ157" s="126"/>
    </row>
    <row r="158" spans="1:121" x14ac:dyDescent="0.25">
      <c r="A158" s="126"/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126"/>
      <c r="DG158" s="126"/>
      <c r="DH158" s="126"/>
      <c r="DI158" s="126"/>
      <c r="DJ158" s="126"/>
      <c r="DK158" s="126"/>
      <c r="DL158" s="126"/>
      <c r="DM158" s="126"/>
      <c r="DN158" s="126"/>
      <c r="DO158" s="126"/>
      <c r="DP158" s="126"/>
      <c r="DQ158" s="126"/>
    </row>
    <row r="159" spans="1:121" x14ac:dyDescent="0.25">
      <c r="A159" s="126"/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DF159" s="126"/>
      <c r="DG159" s="126"/>
      <c r="DH159" s="126"/>
      <c r="DI159" s="126"/>
      <c r="DJ159" s="126"/>
      <c r="DK159" s="126"/>
      <c r="DL159" s="126"/>
      <c r="DM159" s="126"/>
      <c r="DN159" s="126"/>
      <c r="DO159" s="126"/>
      <c r="DP159" s="126"/>
      <c r="DQ159" s="126"/>
    </row>
    <row r="160" spans="1:121" x14ac:dyDescent="0.25">
      <c r="A160" s="126"/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126"/>
      <c r="DG160" s="126"/>
      <c r="DH160" s="126"/>
      <c r="DI160" s="126"/>
      <c r="DJ160" s="126"/>
      <c r="DK160" s="126"/>
      <c r="DL160" s="126"/>
      <c r="DM160" s="126"/>
      <c r="DN160" s="126"/>
      <c r="DO160" s="126"/>
      <c r="DP160" s="126"/>
      <c r="DQ160" s="126"/>
    </row>
    <row r="161" spans="1:121" x14ac:dyDescent="0.25">
      <c r="A161" s="126"/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DF161" s="126"/>
      <c r="DG161" s="126"/>
      <c r="DH161" s="126"/>
      <c r="DI161" s="126"/>
      <c r="DJ161" s="126"/>
      <c r="DK161" s="126"/>
      <c r="DL161" s="126"/>
      <c r="DM161" s="126"/>
      <c r="DN161" s="126"/>
      <c r="DO161" s="126"/>
      <c r="DP161" s="126"/>
      <c r="DQ161" s="126"/>
    </row>
    <row r="162" spans="1:121" x14ac:dyDescent="0.25">
      <c r="A162" s="126"/>
      <c r="B162" s="151"/>
      <c r="C162" s="151"/>
      <c r="D162" s="151"/>
      <c r="E162" s="151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DF162" s="126"/>
      <c r="DG162" s="126"/>
      <c r="DH162" s="126"/>
      <c r="DI162" s="126"/>
      <c r="DJ162" s="126"/>
      <c r="DK162" s="126"/>
      <c r="DL162" s="126"/>
      <c r="DM162" s="126"/>
      <c r="DN162" s="126"/>
      <c r="DO162" s="126"/>
      <c r="DP162" s="126"/>
      <c r="DQ162" s="126"/>
    </row>
    <row r="163" spans="1:121" x14ac:dyDescent="0.25">
      <c r="A163" s="126"/>
      <c r="B163" s="151"/>
      <c r="C163" s="151"/>
      <c r="D163" s="151"/>
      <c r="E163" s="151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DF163" s="126"/>
      <c r="DG163" s="126"/>
      <c r="DH163" s="126"/>
      <c r="DI163" s="126"/>
      <c r="DJ163" s="126"/>
      <c r="DK163" s="126"/>
      <c r="DL163" s="126"/>
      <c r="DM163" s="126"/>
      <c r="DN163" s="126"/>
      <c r="DO163" s="126"/>
      <c r="DP163" s="126"/>
      <c r="DQ163" s="126"/>
    </row>
    <row r="164" spans="1:121" x14ac:dyDescent="0.25">
      <c r="A164" s="126"/>
      <c r="B164" s="151"/>
      <c r="C164" s="151"/>
      <c r="D164" s="151"/>
      <c r="E164" s="151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DF164" s="126"/>
      <c r="DG164" s="126"/>
      <c r="DH164" s="126"/>
      <c r="DI164" s="126"/>
      <c r="DJ164" s="126"/>
      <c r="DK164" s="126"/>
      <c r="DL164" s="126"/>
      <c r="DM164" s="126"/>
      <c r="DN164" s="126"/>
      <c r="DO164" s="126"/>
      <c r="DP164" s="126"/>
      <c r="DQ164" s="126"/>
    </row>
    <row r="165" spans="1:121" x14ac:dyDescent="0.25">
      <c r="A165" s="126"/>
      <c r="B165" s="151"/>
      <c r="C165" s="151"/>
      <c r="D165" s="151"/>
      <c r="E165" s="151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DF165" s="126"/>
      <c r="DG165" s="126"/>
      <c r="DH165" s="126"/>
      <c r="DI165" s="126"/>
      <c r="DJ165" s="126"/>
      <c r="DK165" s="126"/>
      <c r="DL165" s="126"/>
      <c r="DM165" s="126"/>
      <c r="DN165" s="126"/>
      <c r="DO165" s="126"/>
      <c r="DP165" s="126"/>
      <c r="DQ165" s="126"/>
    </row>
    <row r="166" spans="1:121" x14ac:dyDescent="0.25">
      <c r="A166" s="126"/>
      <c r="B166" s="151"/>
      <c r="C166" s="151"/>
      <c r="D166" s="151"/>
      <c r="E166" s="151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DF166" s="126"/>
      <c r="DG166" s="126"/>
      <c r="DH166" s="126"/>
      <c r="DI166" s="126"/>
      <c r="DJ166" s="126"/>
      <c r="DK166" s="126"/>
      <c r="DL166" s="126"/>
      <c r="DM166" s="126"/>
      <c r="DN166" s="126"/>
      <c r="DO166" s="126"/>
      <c r="DP166" s="126"/>
      <c r="DQ166" s="126"/>
    </row>
    <row r="167" spans="1:121" x14ac:dyDescent="0.25">
      <c r="A167" s="126"/>
      <c r="B167" s="151"/>
      <c r="C167" s="151"/>
      <c r="D167" s="151"/>
      <c r="E167" s="151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DF167" s="126"/>
      <c r="DG167" s="126"/>
      <c r="DH167" s="126"/>
      <c r="DI167" s="126"/>
      <c r="DJ167" s="126"/>
      <c r="DK167" s="126"/>
      <c r="DL167" s="126"/>
      <c r="DM167" s="126"/>
      <c r="DN167" s="126"/>
      <c r="DO167" s="126"/>
      <c r="DP167" s="126"/>
      <c r="DQ167" s="126"/>
    </row>
    <row r="168" spans="1:121" x14ac:dyDescent="0.25">
      <c r="A168" s="126"/>
      <c r="B168" s="151"/>
      <c r="C168" s="151"/>
      <c r="D168" s="151"/>
      <c r="E168" s="151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DF168" s="126"/>
      <c r="DG168" s="126"/>
      <c r="DH168" s="126"/>
      <c r="DI168" s="126"/>
      <c r="DJ168" s="126"/>
      <c r="DK168" s="126"/>
      <c r="DL168" s="126"/>
      <c r="DM168" s="126"/>
      <c r="DN168" s="126"/>
      <c r="DO168" s="126"/>
      <c r="DP168" s="126"/>
      <c r="DQ168" s="126"/>
    </row>
    <row r="169" spans="1:121" x14ac:dyDescent="0.25">
      <c r="A169" s="126"/>
      <c r="B169" s="151"/>
      <c r="C169" s="151"/>
      <c r="D169" s="151"/>
      <c r="E169" s="151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DF169" s="126"/>
      <c r="DG169" s="126"/>
      <c r="DH169" s="126"/>
      <c r="DI169" s="126"/>
      <c r="DJ169" s="126"/>
      <c r="DK169" s="126"/>
      <c r="DL169" s="126"/>
      <c r="DM169" s="126"/>
      <c r="DN169" s="126"/>
      <c r="DO169" s="126"/>
      <c r="DP169" s="126"/>
      <c r="DQ169" s="126"/>
    </row>
    <row r="170" spans="1:121" x14ac:dyDescent="0.25">
      <c r="A170" s="126"/>
      <c r="B170" s="151"/>
      <c r="C170" s="151"/>
      <c r="D170" s="151"/>
      <c r="E170" s="151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DF170" s="126"/>
      <c r="DG170" s="126"/>
      <c r="DH170" s="126"/>
      <c r="DI170" s="126"/>
      <c r="DJ170" s="126"/>
      <c r="DK170" s="126"/>
      <c r="DL170" s="126"/>
      <c r="DM170" s="126"/>
      <c r="DN170" s="126"/>
      <c r="DO170" s="126"/>
      <c r="DP170" s="126"/>
      <c r="DQ170" s="126"/>
    </row>
    <row r="171" spans="1:121" x14ac:dyDescent="0.25">
      <c r="A171" s="126"/>
      <c r="B171" s="151"/>
      <c r="C171" s="151"/>
      <c r="D171" s="151"/>
      <c r="E171" s="151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DF171" s="126"/>
      <c r="DG171" s="126"/>
      <c r="DH171" s="126"/>
      <c r="DI171" s="126"/>
      <c r="DJ171" s="126"/>
      <c r="DK171" s="126"/>
      <c r="DL171" s="126"/>
      <c r="DM171" s="126"/>
      <c r="DN171" s="126"/>
      <c r="DO171" s="126"/>
      <c r="DP171" s="126"/>
      <c r="DQ171" s="126"/>
    </row>
    <row r="172" spans="1:121" x14ac:dyDescent="0.25">
      <c r="A172" s="126"/>
      <c r="B172" s="151"/>
      <c r="C172" s="151"/>
      <c r="D172" s="151"/>
      <c r="E172" s="151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DF172" s="126"/>
      <c r="DG172" s="126"/>
      <c r="DH172" s="126"/>
      <c r="DI172" s="126"/>
      <c r="DJ172" s="126"/>
      <c r="DK172" s="126"/>
      <c r="DL172" s="126"/>
      <c r="DM172" s="126"/>
      <c r="DN172" s="126"/>
      <c r="DO172" s="126"/>
      <c r="DP172" s="126"/>
      <c r="DQ172" s="126"/>
    </row>
    <row r="173" spans="1:121" x14ac:dyDescent="0.25">
      <c r="A173" s="126"/>
      <c r="B173" s="151"/>
      <c r="C173" s="151"/>
      <c r="D173" s="151"/>
      <c r="E173" s="151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DF173" s="126"/>
      <c r="DG173" s="126"/>
      <c r="DH173" s="126"/>
      <c r="DI173" s="126"/>
      <c r="DJ173" s="126"/>
      <c r="DK173" s="126"/>
      <c r="DL173" s="126"/>
      <c r="DM173" s="126"/>
      <c r="DN173" s="126"/>
      <c r="DO173" s="126"/>
      <c r="DP173" s="126"/>
      <c r="DQ173" s="126"/>
    </row>
    <row r="174" spans="1:121" x14ac:dyDescent="0.25">
      <c r="A174" s="126"/>
      <c r="B174" s="151"/>
      <c r="C174" s="151"/>
      <c r="D174" s="151"/>
      <c r="E174" s="151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DF174" s="126"/>
      <c r="DG174" s="126"/>
      <c r="DH174" s="126"/>
      <c r="DI174" s="126"/>
      <c r="DJ174" s="126"/>
      <c r="DK174" s="126"/>
      <c r="DL174" s="126"/>
      <c r="DM174" s="126"/>
      <c r="DN174" s="126"/>
      <c r="DO174" s="126"/>
      <c r="DP174" s="126"/>
      <c r="DQ174" s="126"/>
    </row>
    <row r="175" spans="1:121" x14ac:dyDescent="0.25">
      <c r="A175" s="126"/>
      <c r="B175" s="151"/>
      <c r="C175" s="151"/>
      <c r="D175" s="151"/>
      <c r="E175" s="151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DF175" s="126"/>
      <c r="DG175" s="126"/>
      <c r="DH175" s="126"/>
      <c r="DI175" s="126"/>
      <c r="DJ175" s="126"/>
      <c r="DK175" s="126"/>
      <c r="DL175" s="126"/>
      <c r="DM175" s="126"/>
      <c r="DN175" s="126"/>
      <c r="DO175" s="126"/>
      <c r="DP175" s="126"/>
      <c r="DQ175" s="126"/>
    </row>
    <row r="176" spans="1:121" x14ac:dyDescent="0.25">
      <c r="A176" s="126"/>
      <c r="B176" s="151"/>
      <c r="C176" s="151"/>
      <c r="D176" s="151"/>
      <c r="E176" s="151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DF176" s="126"/>
      <c r="DG176" s="126"/>
      <c r="DH176" s="126"/>
      <c r="DI176" s="126"/>
      <c r="DJ176" s="126"/>
      <c r="DK176" s="126"/>
      <c r="DL176" s="126"/>
      <c r="DM176" s="126"/>
      <c r="DN176" s="126"/>
      <c r="DO176" s="126"/>
      <c r="DP176" s="126"/>
      <c r="DQ176" s="126"/>
    </row>
    <row r="177" spans="1:121" x14ac:dyDescent="0.25">
      <c r="A177" s="126"/>
      <c r="B177" s="151"/>
      <c r="C177" s="151"/>
      <c r="D177" s="151"/>
      <c r="E177" s="151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DF177" s="126"/>
      <c r="DG177" s="126"/>
      <c r="DH177" s="126"/>
      <c r="DI177" s="126"/>
      <c r="DJ177" s="126"/>
      <c r="DK177" s="126"/>
      <c r="DL177" s="126"/>
      <c r="DM177" s="126"/>
      <c r="DN177" s="126"/>
      <c r="DO177" s="126"/>
      <c r="DP177" s="126"/>
      <c r="DQ177" s="126"/>
    </row>
    <row r="178" spans="1:121" x14ac:dyDescent="0.25">
      <c r="A178" s="126"/>
      <c r="B178" s="151"/>
      <c r="C178" s="151"/>
      <c r="D178" s="151"/>
      <c r="E178" s="151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DF178" s="126"/>
      <c r="DG178" s="126"/>
      <c r="DH178" s="126"/>
      <c r="DI178" s="126"/>
      <c r="DJ178" s="126"/>
      <c r="DK178" s="126"/>
      <c r="DL178" s="126"/>
      <c r="DM178" s="126"/>
      <c r="DN178" s="126"/>
      <c r="DO178" s="126"/>
      <c r="DP178" s="126"/>
      <c r="DQ178" s="126"/>
    </row>
    <row r="179" spans="1:121" x14ac:dyDescent="0.25">
      <c r="A179" s="126"/>
      <c r="B179" s="151"/>
      <c r="C179" s="151"/>
      <c r="D179" s="151"/>
      <c r="E179" s="151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DF179" s="126"/>
      <c r="DG179" s="126"/>
      <c r="DH179" s="126"/>
      <c r="DI179" s="126"/>
      <c r="DJ179" s="126"/>
      <c r="DK179" s="126"/>
      <c r="DL179" s="126"/>
      <c r="DM179" s="126"/>
      <c r="DN179" s="126"/>
      <c r="DO179" s="126"/>
      <c r="DP179" s="126"/>
      <c r="DQ179" s="126"/>
    </row>
    <row r="180" spans="1:121" x14ac:dyDescent="0.25">
      <c r="A180" s="126"/>
      <c r="B180" s="151"/>
      <c r="C180" s="151"/>
      <c r="D180" s="151"/>
      <c r="E180" s="151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DF180" s="126"/>
      <c r="DG180" s="126"/>
      <c r="DH180" s="126"/>
      <c r="DI180" s="126"/>
      <c r="DJ180" s="126"/>
      <c r="DK180" s="126"/>
      <c r="DL180" s="126"/>
      <c r="DM180" s="126"/>
      <c r="DN180" s="126"/>
      <c r="DO180" s="126"/>
      <c r="DP180" s="126"/>
      <c r="DQ180" s="126"/>
    </row>
    <row r="181" spans="1:121" x14ac:dyDescent="0.25">
      <c r="A181" s="126"/>
      <c r="B181" s="151"/>
      <c r="C181" s="151"/>
      <c r="D181" s="151"/>
      <c r="E181" s="151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DF181" s="126"/>
      <c r="DG181" s="126"/>
      <c r="DH181" s="126"/>
      <c r="DI181" s="126"/>
      <c r="DJ181" s="126"/>
      <c r="DK181" s="126"/>
      <c r="DL181" s="126"/>
      <c r="DM181" s="126"/>
      <c r="DN181" s="126"/>
      <c r="DO181" s="126"/>
      <c r="DP181" s="126"/>
      <c r="DQ181" s="126"/>
    </row>
    <row r="182" spans="1:121" x14ac:dyDescent="0.25">
      <c r="A182" s="126"/>
      <c r="B182" s="151"/>
      <c r="C182" s="151"/>
      <c r="D182" s="151"/>
      <c r="E182" s="151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DF182" s="126"/>
      <c r="DG182" s="126"/>
      <c r="DH182" s="126"/>
      <c r="DI182" s="126"/>
      <c r="DJ182" s="126"/>
      <c r="DK182" s="126"/>
      <c r="DL182" s="126"/>
      <c r="DM182" s="126"/>
      <c r="DN182" s="126"/>
      <c r="DO182" s="126"/>
      <c r="DP182" s="126"/>
      <c r="DQ182" s="126"/>
    </row>
    <row r="183" spans="1:121" x14ac:dyDescent="0.25">
      <c r="A183" s="126"/>
      <c r="B183" s="151"/>
      <c r="C183" s="151"/>
      <c r="D183" s="151"/>
      <c r="E183" s="151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DF183" s="126"/>
      <c r="DG183" s="126"/>
      <c r="DH183" s="126"/>
      <c r="DI183" s="126"/>
      <c r="DJ183" s="126"/>
      <c r="DK183" s="126"/>
      <c r="DL183" s="126"/>
      <c r="DM183" s="126"/>
      <c r="DN183" s="126"/>
      <c r="DO183" s="126"/>
      <c r="DP183" s="126"/>
      <c r="DQ183" s="126"/>
    </row>
    <row r="184" spans="1:121" x14ac:dyDescent="0.25">
      <c r="A184" s="126"/>
      <c r="B184" s="151"/>
      <c r="C184" s="151"/>
      <c r="D184" s="151"/>
      <c r="E184" s="151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DF184" s="126"/>
      <c r="DG184" s="126"/>
      <c r="DH184" s="126"/>
      <c r="DI184" s="126"/>
      <c r="DJ184" s="126"/>
      <c r="DK184" s="126"/>
      <c r="DL184" s="126"/>
      <c r="DM184" s="126"/>
      <c r="DN184" s="126"/>
      <c r="DO184" s="126"/>
      <c r="DP184" s="126"/>
      <c r="DQ184" s="126"/>
    </row>
    <row r="185" spans="1:121" x14ac:dyDescent="0.25">
      <c r="A185" s="126"/>
      <c r="B185" s="151"/>
      <c r="C185" s="151"/>
      <c r="D185" s="151"/>
      <c r="E185" s="151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DF185" s="126"/>
      <c r="DG185" s="126"/>
      <c r="DH185" s="126"/>
      <c r="DI185" s="126"/>
      <c r="DJ185" s="126"/>
      <c r="DK185" s="126"/>
      <c r="DL185" s="126"/>
      <c r="DM185" s="126"/>
      <c r="DN185" s="126"/>
      <c r="DO185" s="126"/>
      <c r="DP185" s="126"/>
      <c r="DQ185" s="126"/>
    </row>
    <row r="186" spans="1:121" x14ac:dyDescent="0.25">
      <c r="A186" s="126"/>
      <c r="B186" s="151"/>
      <c r="C186" s="151"/>
      <c r="D186" s="151"/>
      <c r="E186" s="151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DF186" s="126"/>
      <c r="DG186" s="126"/>
      <c r="DH186" s="126"/>
      <c r="DI186" s="126"/>
      <c r="DJ186" s="126"/>
      <c r="DK186" s="126"/>
      <c r="DL186" s="126"/>
      <c r="DM186" s="126"/>
      <c r="DN186" s="126"/>
      <c r="DO186" s="126"/>
      <c r="DP186" s="126"/>
      <c r="DQ186" s="126"/>
    </row>
    <row r="187" spans="1:121" x14ac:dyDescent="0.25">
      <c r="A187" s="126"/>
      <c r="B187" s="151"/>
      <c r="C187" s="151"/>
      <c r="D187" s="151"/>
      <c r="E187" s="151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DF187" s="126"/>
      <c r="DG187" s="126"/>
      <c r="DH187" s="126"/>
      <c r="DI187" s="126"/>
      <c r="DJ187" s="126"/>
      <c r="DK187" s="126"/>
      <c r="DL187" s="126"/>
      <c r="DM187" s="126"/>
      <c r="DN187" s="126"/>
      <c r="DO187" s="126"/>
      <c r="DP187" s="126"/>
      <c r="DQ187" s="126"/>
    </row>
    <row r="188" spans="1:121" x14ac:dyDescent="0.25">
      <c r="A188" s="126"/>
      <c r="B188" s="151"/>
      <c r="C188" s="151"/>
      <c r="D188" s="151"/>
      <c r="E188" s="151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</row>
    <row r="189" spans="1:121" x14ac:dyDescent="0.25">
      <c r="A189" s="126"/>
      <c r="B189" s="151"/>
      <c r="C189" s="151"/>
      <c r="D189" s="151"/>
      <c r="E189" s="151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DF189" s="126"/>
      <c r="DG189" s="126"/>
      <c r="DH189" s="126"/>
      <c r="DI189" s="126"/>
      <c r="DJ189" s="126"/>
      <c r="DK189" s="126"/>
      <c r="DL189" s="126"/>
      <c r="DM189" s="126"/>
      <c r="DN189" s="126"/>
      <c r="DO189" s="126"/>
      <c r="DP189" s="126"/>
      <c r="DQ189" s="126"/>
    </row>
    <row r="190" spans="1:121" x14ac:dyDescent="0.25">
      <c r="A190" s="126"/>
      <c r="B190" s="151"/>
      <c r="C190" s="151"/>
      <c r="D190" s="151"/>
      <c r="E190" s="151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DF190" s="126"/>
      <c r="DG190" s="126"/>
      <c r="DH190" s="126"/>
      <c r="DI190" s="126"/>
      <c r="DJ190" s="126"/>
      <c r="DK190" s="126"/>
      <c r="DL190" s="126"/>
      <c r="DM190" s="126"/>
      <c r="DN190" s="126"/>
      <c r="DO190" s="126"/>
      <c r="DP190" s="126"/>
      <c r="DQ190" s="126"/>
    </row>
    <row r="191" spans="1:121" x14ac:dyDescent="0.25">
      <c r="A191" s="126"/>
      <c r="B191" s="151"/>
      <c r="C191" s="151"/>
      <c r="D191" s="151"/>
      <c r="E191" s="151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126"/>
      <c r="Y191" s="126"/>
      <c r="Z191" s="126"/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DF191" s="126"/>
      <c r="DG191" s="126"/>
      <c r="DH191" s="126"/>
      <c r="DI191" s="126"/>
      <c r="DJ191" s="126"/>
      <c r="DK191" s="126"/>
      <c r="DL191" s="126"/>
      <c r="DM191" s="126"/>
      <c r="DN191" s="126"/>
      <c r="DO191" s="126"/>
      <c r="DP191" s="126"/>
      <c r="DQ191" s="126"/>
    </row>
    <row r="192" spans="1:121" x14ac:dyDescent="0.25">
      <c r="A192" s="126"/>
      <c r="B192" s="151"/>
      <c r="C192" s="151"/>
      <c r="D192" s="151"/>
      <c r="E192" s="151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DF192" s="126"/>
      <c r="DG192" s="126"/>
      <c r="DH192" s="126"/>
      <c r="DI192" s="126"/>
      <c r="DJ192" s="126"/>
      <c r="DK192" s="126"/>
      <c r="DL192" s="126"/>
      <c r="DM192" s="126"/>
      <c r="DN192" s="126"/>
      <c r="DO192" s="126"/>
      <c r="DP192" s="126"/>
      <c r="DQ192" s="126"/>
    </row>
    <row r="193" spans="1:121" x14ac:dyDescent="0.25">
      <c r="A193" s="126"/>
      <c r="B193" s="151"/>
      <c r="C193" s="151"/>
      <c r="D193" s="151"/>
      <c r="E193" s="151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DF193" s="126"/>
      <c r="DG193" s="126"/>
      <c r="DH193" s="126"/>
      <c r="DI193" s="126"/>
      <c r="DJ193" s="126"/>
      <c r="DK193" s="126"/>
      <c r="DL193" s="126"/>
      <c r="DM193" s="126"/>
      <c r="DN193" s="126"/>
      <c r="DO193" s="126"/>
      <c r="DP193" s="126"/>
      <c r="DQ193" s="126"/>
    </row>
    <row r="194" spans="1:121" x14ac:dyDescent="0.25">
      <c r="A194" s="126"/>
      <c r="B194" s="151"/>
      <c r="C194" s="151"/>
      <c r="D194" s="151"/>
      <c r="E194" s="151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DF194" s="126"/>
      <c r="DG194" s="126"/>
      <c r="DH194" s="126"/>
      <c r="DI194" s="126"/>
      <c r="DJ194" s="126"/>
      <c r="DK194" s="126"/>
      <c r="DL194" s="126"/>
      <c r="DM194" s="126"/>
      <c r="DN194" s="126"/>
      <c r="DO194" s="126"/>
      <c r="DP194" s="126"/>
      <c r="DQ194" s="126"/>
    </row>
    <row r="195" spans="1:121" x14ac:dyDescent="0.25">
      <c r="A195" s="126"/>
      <c r="B195" s="151"/>
      <c r="C195" s="151"/>
      <c r="D195" s="151"/>
      <c r="E195" s="151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DF195" s="126"/>
      <c r="DG195" s="126"/>
      <c r="DH195" s="126"/>
      <c r="DI195" s="126"/>
      <c r="DJ195" s="126"/>
      <c r="DK195" s="126"/>
      <c r="DL195" s="126"/>
      <c r="DM195" s="126"/>
      <c r="DN195" s="126"/>
      <c r="DO195" s="126"/>
      <c r="DP195" s="126"/>
      <c r="DQ195" s="126"/>
    </row>
    <row r="196" spans="1:121" x14ac:dyDescent="0.25">
      <c r="A196" s="126"/>
      <c r="B196" s="151"/>
      <c r="C196" s="151"/>
      <c r="D196" s="151"/>
      <c r="E196" s="151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DF196" s="126"/>
      <c r="DG196" s="126"/>
      <c r="DH196" s="126"/>
      <c r="DI196" s="126"/>
      <c r="DJ196" s="126"/>
      <c r="DK196" s="126"/>
      <c r="DL196" s="126"/>
      <c r="DM196" s="126"/>
      <c r="DN196" s="126"/>
      <c r="DO196" s="126"/>
      <c r="DP196" s="126"/>
      <c r="DQ196" s="126"/>
    </row>
    <row r="197" spans="1:121" x14ac:dyDescent="0.25">
      <c r="A197" s="126"/>
      <c r="B197" s="151"/>
      <c r="C197" s="151"/>
      <c r="D197" s="151"/>
      <c r="E197" s="151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DF197" s="126"/>
      <c r="DG197" s="126"/>
      <c r="DH197" s="126"/>
      <c r="DI197" s="126"/>
      <c r="DJ197" s="126"/>
      <c r="DK197" s="126"/>
      <c r="DL197" s="126"/>
      <c r="DM197" s="126"/>
      <c r="DN197" s="126"/>
      <c r="DO197" s="126"/>
      <c r="DP197" s="126"/>
      <c r="DQ197" s="126"/>
    </row>
    <row r="198" spans="1:121" x14ac:dyDescent="0.25">
      <c r="A198" s="126"/>
      <c r="B198" s="151"/>
      <c r="C198" s="151"/>
      <c r="D198" s="151"/>
      <c r="E198" s="151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DF198" s="126"/>
      <c r="DG198" s="126"/>
      <c r="DH198" s="126"/>
      <c r="DI198" s="126"/>
      <c r="DJ198" s="126"/>
      <c r="DK198" s="126"/>
      <c r="DL198" s="126"/>
      <c r="DM198" s="126"/>
      <c r="DN198" s="126"/>
      <c r="DO198" s="126"/>
      <c r="DP198" s="126"/>
      <c r="DQ198" s="126"/>
    </row>
    <row r="199" spans="1:121" x14ac:dyDescent="0.25">
      <c r="A199" s="126"/>
      <c r="B199" s="151"/>
      <c r="C199" s="151"/>
      <c r="D199" s="151"/>
      <c r="E199" s="151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DF199" s="126"/>
      <c r="DG199" s="126"/>
      <c r="DH199" s="126"/>
      <c r="DI199" s="126"/>
      <c r="DJ199" s="126"/>
      <c r="DK199" s="126"/>
      <c r="DL199" s="126"/>
      <c r="DM199" s="126"/>
      <c r="DN199" s="126"/>
      <c r="DO199" s="126"/>
      <c r="DP199" s="126"/>
      <c r="DQ199" s="126"/>
    </row>
    <row r="200" spans="1:121" x14ac:dyDescent="0.25">
      <c r="A200" s="126"/>
      <c r="B200" s="126"/>
      <c r="C200" s="126"/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DF200" s="126"/>
      <c r="DG200" s="126"/>
      <c r="DH200" s="126"/>
      <c r="DI200" s="126"/>
      <c r="DJ200" s="126"/>
      <c r="DK200" s="126"/>
      <c r="DL200" s="126"/>
      <c r="DM200" s="126"/>
      <c r="DN200" s="126"/>
      <c r="DO200" s="126"/>
      <c r="DP200" s="126"/>
      <c r="DQ200" s="126"/>
    </row>
    <row r="201" spans="1:121" x14ac:dyDescent="0.25">
      <c r="A201" s="126"/>
      <c r="B201" s="126"/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DF201" s="126"/>
      <c r="DG201" s="126"/>
      <c r="DH201" s="126"/>
      <c r="DI201" s="126"/>
      <c r="DJ201" s="126"/>
      <c r="DK201" s="126"/>
      <c r="DL201" s="126"/>
      <c r="DM201" s="126"/>
      <c r="DN201" s="126"/>
      <c r="DO201" s="126"/>
      <c r="DP201" s="126"/>
      <c r="DQ201" s="126"/>
    </row>
    <row r="202" spans="1:121" x14ac:dyDescent="0.25">
      <c r="A202" s="126"/>
      <c r="B202" s="126"/>
      <c r="C202" s="126"/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DF202" s="126"/>
      <c r="DG202" s="126"/>
      <c r="DH202" s="126"/>
      <c r="DI202" s="126"/>
      <c r="DJ202" s="126"/>
      <c r="DK202" s="126"/>
      <c r="DL202" s="126"/>
      <c r="DM202" s="126"/>
      <c r="DN202" s="126"/>
      <c r="DO202" s="126"/>
      <c r="DP202" s="126"/>
      <c r="DQ202" s="126"/>
    </row>
    <row r="203" spans="1:121" x14ac:dyDescent="0.25">
      <c r="A203" s="126"/>
      <c r="B203" s="126"/>
      <c r="C203" s="126"/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DF203" s="126"/>
      <c r="DG203" s="126"/>
      <c r="DH203" s="126"/>
      <c r="DI203" s="126"/>
      <c r="DJ203" s="126"/>
      <c r="DK203" s="126"/>
      <c r="DL203" s="126"/>
      <c r="DM203" s="126"/>
      <c r="DN203" s="126"/>
      <c r="DO203" s="126"/>
      <c r="DP203" s="126"/>
      <c r="DQ203" s="126"/>
    </row>
    <row r="204" spans="1:121" x14ac:dyDescent="0.25">
      <c r="A204" s="126"/>
      <c r="B204" s="126"/>
      <c r="C204" s="126"/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DF204" s="126"/>
      <c r="DG204" s="126"/>
      <c r="DH204" s="126"/>
      <c r="DI204" s="126"/>
      <c r="DJ204" s="126"/>
      <c r="DK204" s="126"/>
      <c r="DL204" s="126"/>
      <c r="DM204" s="126"/>
      <c r="DN204" s="126"/>
      <c r="DO204" s="126"/>
      <c r="DP204" s="126"/>
      <c r="DQ204" s="126"/>
    </row>
    <row r="205" spans="1:121" x14ac:dyDescent="0.25">
      <c r="A205" s="126"/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</row>
    <row r="206" spans="1:121" x14ac:dyDescent="0.25">
      <c r="B206" s="126"/>
      <c r="C206" s="126"/>
      <c r="D206" s="126"/>
      <c r="E206" s="126"/>
    </row>
    <row r="207" spans="1:121" x14ac:dyDescent="0.25">
      <c r="B207" s="126"/>
    </row>
    <row r="208" spans="1:121" x14ac:dyDescent="0.25">
      <c r="B208" s="126"/>
    </row>
    <row r="209" spans="2:2" x14ac:dyDescent="0.25">
      <c r="B209" s="126"/>
    </row>
    <row r="210" spans="2:2" x14ac:dyDescent="0.25">
      <c r="B210" s="126"/>
    </row>
    <row r="211" spans="2:2" x14ac:dyDescent="0.25">
      <c r="B211" s="126"/>
    </row>
    <row r="212" spans="2:2" x14ac:dyDescent="0.25">
      <c r="B212" s="126"/>
    </row>
    <row r="213" spans="2:2" x14ac:dyDescent="0.25">
      <c r="B213" s="126"/>
    </row>
    <row r="214" spans="2:2" x14ac:dyDescent="0.25">
      <c r="B214" s="126"/>
    </row>
    <row r="215" spans="2:2" x14ac:dyDescent="0.25">
      <c r="B215" s="126"/>
    </row>
    <row r="216" spans="2:2" x14ac:dyDescent="0.25">
      <c r="B216" s="126"/>
    </row>
    <row r="217" spans="2:2" x14ac:dyDescent="0.25">
      <c r="B217" s="126"/>
    </row>
    <row r="218" spans="2:2" x14ac:dyDescent="0.25">
      <c r="B218" s="126"/>
    </row>
    <row r="219" spans="2:2" x14ac:dyDescent="0.25">
      <c r="B219" s="126"/>
    </row>
    <row r="220" spans="2:2" x14ac:dyDescent="0.25">
      <c r="B220" s="126"/>
    </row>
    <row r="221" spans="2:2" x14ac:dyDescent="0.25">
      <c r="B221" s="126"/>
    </row>
    <row r="222" spans="2:2" x14ac:dyDescent="0.25">
      <c r="B222" s="126"/>
    </row>
    <row r="223" spans="2:2" x14ac:dyDescent="0.25">
      <c r="B223" s="126"/>
    </row>
    <row r="224" spans="2:2" x14ac:dyDescent="0.25">
      <c r="B224" s="126"/>
    </row>
    <row r="225" spans="2:2" x14ac:dyDescent="0.25">
      <c r="B225" s="126"/>
    </row>
    <row r="226" spans="2:2" x14ac:dyDescent="0.25">
      <c r="B226" s="126"/>
    </row>
    <row r="227" spans="2:2" x14ac:dyDescent="0.25">
      <c r="B227" s="126"/>
    </row>
    <row r="228" spans="2:2" x14ac:dyDescent="0.25">
      <c r="B228" s="126"/>
    </row>
    <row r="229" spans="2:2" x14ac:dyDescent="0.25">
      <c r="B229" s="126"/>
    </row>
    <row r="230" spans="2:2" x14ac:dyDescent="0.25">
      <c r="B230" s="126"/>
    </row>
    <row r="231" spans="2:2" x14ac:dyDescent="0.25">
      <c r="B231" s="126"/>
    </row>
    <row r="232" spans="2:2" x14ac:dyDescent="0.25">
      <c r="B232" s="126"/>
    </row>
    <row r="233" spans="2:2" x14ac:dyDescent="0.25">
      <c r="B233" s="126"/>
    </row>
    <row r="234" spans="2:2" x14ac:dyDescent="0.25">
      <c r="B234" s="126"/>
    </row>
    <row r="235" spans="2:2" x14ac:dyDescent="0.25">
      <c r="B235" s="126"/>
    </row>
    <row r="236" spans="2:2" x14ac:dyDescent="0.25">
      <c r="B236" s="126"/>
    </row>
    <row r="237" spans="2:2" x14ac:dyDescent="0.25">
      <c r="B237" s="126"/>
    </row>
    <row r="238" spans="2:2" x14ac:dyDescent="0.25">
      <c r="B238" s="126"/>
    </row>
    <row r="239" spans="2:2" x14ac:dyDescent="0.25">
      <c r="B239" s="126"/>
    </row>
    <row r="240" spans="2:2" x14ac:dyDescent="0.25">
      <c r="B240" s="126"/>
    </row>
    <row r="241" spans="2:2" x14ac:dyDescent="0.25">
      <c r="B241" s="126"/>
    </row>
    <row r="242" spans="2:2" x14ac:dyDescent="0.25">
      <c r="B242" s="126"/>
    </row>
    <row r="243" spans="2:2" x14ac:dyDescent="0.25">
      <c r="B243" s="126"/>
    </row>
    <row r="244" spans="2:2" x14ac:dyDescent="0.25">
      <c r="B244" s="126"/>
    </row>
    <row r="245" spans="2:2" x14ac:dyDescent="0.25">
      <c r="B245" s="126"/>
    </row>
    <row r="246" spans="2:2" x14ac:dyDescent="0.25">
      <c r="B246" s="126"/>
    </row>
    <row r="247" spans="2:2" x14ac:dyDescent="0.25">
      <c r="B247" s="126"/>
    </row>
    <row r="248" spans="2:2" x14ac:dyDescent="0.25">
      <c r="B248" s="126"/>
    </row>
    <row r="249" spans="2:2" x14ac:dyDescent="0.25">
      <c r="B249" s="126"/>
    </row>
    <row r="250" spans="2:2" x14ac:dyDescent="0.25">
      <c r="B250" s="126"/>
    </row>
    <row r="251" spans="2:2" x14ac:dyDescent="0.25">
      <c r="B251" s="126"/>
    </row>
    <row r="252" spans="2:2" x14ac:dyDescent="0.25">
      <c r="B252" s="126"/>
    </row>
    <row r="253" spans="2:2" x14ac:dyDescent="0.25">
      <c r="B253" s="126"/>
    </row>
    <row r="254" spans="2:2" x14ac:dyDescent="0.25">
      <c r="B254" s="126"/>
    </row>
    <row r="255" spans="2:2" x14ac:dyDescent="0.25">
      <c r="B255" s="126"/>
    </row>
    <row r="256" spans="2:2" x14ac:dyDescent="0.25">
      <c r="B256" s="126"/>
    </row>
    <row r="257" spans="2:2" x14ac:dyDescent="0.25">
      <c r="B257" s="126"/>
    </row>
    <row r="258" spans="2:2" x14ac:dyDescent="0.25">
      <c r="B258" s="126"/>
    </row>
    <row r="259" spans="2:2" x14ac:dyDescent="0.25">
      <c r="B259" s="126"/>
    </row>
    <row r="260" spans="2:2" x14ac:dyDescent="0.25">
      <c r="B260" s="126"/>
    </row>
    <row r="261" spans="2:2" x14ac:dyDescent="0.25">
      <c r="B261" s="126"/>
    </row>
    <row r="262" spans="2:2" x14ac:dyDescent="0.25">
      <c r="B262" s="126"/>
    </row>
    <row r="263" spans="2:2" x14ac:dyDescent="0.25">
      <c r="B263" s="126"/>
    </row>
    <row r="264" spans="2:2" x14ac:dyDescent="0.25">
      <c r="B264" s="126"/>
    </row>
    <row r="265" spans="2:2" x14ac:dyDescent="0.25">
      <c r="B265" s="126"/>
    </row>
    <row r="266" spans="2:2" x14ac:dyDescent="0.25">
      <c r="B266" s="126"/>
    </row>
    <row r="267" spans="2:2" x14ac:dyDescent="0.25">
      <c r="B267" s="126"/>
    </row>
    <row r="268" spans="2:2" x14ac:dyDescent="0.25">
      <c r="B268" s="126"/>
    </row>
    <row r="269" spans="2:2" x14ac:dyDescent="0.25">
      <c r="B269" s="126"/>
    </row>
    <row r="270" spans="2:2" x14ac:dyDescent="0.25">
      <c r="B270" s="126"/>
    </row>
    <row r="271" spans="2:2" x14ac:dyDescent="0.25">
      <c r="B271" s="126"/>
    </row>
    <row r="272" spans="2:2" x14ac:dyDescent="0.25">
      <c r="B272" s="126"/>
    </row>
    <row r="273" spans="2:2" x14ac:dyDescent="0.25">
      <c r="B273" s="126"/>
    </row>
    <row r="274" spans="2:2" x14ac:dyDescent="0.25">
      <c r="B274" s="126"/>
    </row>
    <row r="275" spans="2:2" x14ac:dyDescent="0.25">
      <c r="B275" s="126"/>
    </row>
    <row r="276" spans="2:2" x14ac:dyDescent="0.25">
      <c r="B276" s="126"/>
    </row>
    <row r="277" spans="2:2" x14ac:dyDescent="0.25">
      <c r="B277" s="126"/>
    </row>
    <row r="278" spans="2:2" x14ac:dyDescent="0.25">
      <c r="B278" s="126"/>
    </row>
    <row r="279" spans="2:2" x14ac:dyDescent="0.25">
      <c r="B279" s="126"/>
    </row>
    <row r="280" spans="2:2" x14ac:dyDescent="0.25">
      <c r="B280" s="126"/>
    </row>
    <row r="281" spans="2:2" x14ac:dyDescent="0.25">
      <c r="B281" s="126"/>
    </row>
    <row r="282" spans="2:2" x14ac:dyDescent="0.25">
      <c r="B282" s="126"/>
    </row>
    <row r="283" spans="2:2" x14ac:dyDescent="0.25">
      <c r="B283" s="126"/>
    </row>
    <row r="284" spans="2:2" x14ac:dyDescent="0.25">
      <c r="B284" s="126"/>
    </row>
    <row r="285" spans="2:2" x14ac:dyDescent="0.25">
      <c r="B285" s="126"/>
    </row>
    <row r="286" spans="2:2" x14ac:dyDescent="0.25">
      <c r="B286" s="126"/>
    </row>
    <row r="287" spans="2:2" x14ac:dyDescent="0.25">
      <c r="B287" s="126"/>
    </row>
    <row r="288" spans="2:2" x14ac:dyDescent="0.25">
      <c r="B288" s="126"/>
    </row>
    <row r="289" spans="2:2" x14ac:dyDescent="0.25">
      <c r="B289" s="126"/>
    </row>
    <row r="290" spans="2:2" x14ac:dyDescent="0.25">
      <c r="B290" s="126"/>
    </row>
    <row r="291" spans="2:2" x14ac:dyDescent="0.25">
      <c r="B291" s="126"/>
    </row>
    <row r="292" spans="2:2" x14ac:dyDescent="0.25">
      <c r="B292" s="126"/>
    </row>
    <row r="293" spans="2:2" x14ac:dyDescent="0.25">
      <c r="B293" s="126"/>
    </row>
    <row r="294" spans="2:2" x14ac:dyDescent="0.25">
      <c r="B294" s="126"/>
    </row>
    <row r="295" spans="2:2" x14ac:dyDescent="0.25">
      <c r="B295" s="126"/>
    </row>
    <row r="296" spans="2:2" x14ac:dyDescent="0.25">
      <c r="B296" s="126"/>
    </row>
    <row r="297" spans="2:2" x14ac:dyDescent="0.25">
      <c r="B297" s="126"/>
    </row>
    <row r="298" spans="2:2" x14ac:dyDescent="0.25">
      <c r="B298" s="126"/>
    </row>
    <row r="299" spans="2:2" x14ac:dyDescent="0.25">
      <c r="B299" s="126"/>
    </row>
    <row r="300" spans="2:2" x14ac:dyDescent="0.25">
      <c r="B300" s="126"/>
    </row>
    <row r="301" spans="2:2" x14ac:dyDescent="0.25">
      <c r="B301" s="126"/>
    </row>
    <row r="302" spans="2:2" x14ac:dyDescent="0.25">
      <c r="B302" s="126"/>
    </row>
    <row r="303" spans="2:2" x14ac:dyDescent="0.25">
      <c r="B303" s="126"/>
    </row>
    <row r="304" spans="2:2" x14ac:dyDescent="0.25">
      <c r="B304" s="126"/>
    </row>
    <row r="305" spans="2:2" x14ac:dyDescent="0.25">
      <c r="B305" s="126"/>
    </row>
    <row r="306" spans="2:2" x14ac:dyDescent="0.25">
      <c r="B306" s="126"/>
    </row>
    <row r="307" spans="2:2" x14ac:dyDescent="0.25">
      <c r="B307" s="126"/>
    </row>
    <row r="308" spans="2:2" x14ac:dyDescent="0.25">
      <c r="B308" s="126"/>
    </row>
    <row r="309" spans="2:2" x14ac:dyDescent="0.25">
      <c r="B309" s="126"/>
    </row>
    <row r="310" spans="2:2" x14ac:dyDescent="0.25">
      <c r="B310" s="126"/>
    </row>
    <row r="311" spans="2:2" x14ac:dyDescent="0.25">
      <c r="B311" s="126"/>
    </row>
    <row r="312" spans="2:2" x14ac:dyDescent="0.25">
      <c r="B312" s="126"/>
    </row>
    <row r="313" spans="2:2" x14ac:dyDescent="0.25">
      <c r="B313" s="126"/>
    </row>
    <row r="314" spans="2:2" x14ac:dyDescent="0.25">
      <c r="B314" s="126"/>
    </row>
    <row r="315" spans="2:2" x14ac:dyDescent="0.25">
      <c r="B315" s="126"/>
    </row>
    <row r="316" spans="2:2" x14ac:dyDescent="0.25">
      <c r="B316" s="126"/>
    </row>
    <row r="317" spans="2:2" x14ac:dyDescent="0.25">
      <c r="B317" s="126"/>
    </row>
    <row r="318" spans="2:2" x14ac:dyDescent="0.25">
      <c r="B318" s="126"/>
    </row>
    <row r="319" spans="2:2" x14ac:dyDescent="0.25">
      <c r="B319" s="126"/>
    </row>
    <row r="320" spans="2:2" x14ac:dyDescent="0.25">
      <c r="B320" s="126"/>
    </row>
    <row r="321" spans="2:2" x14ac:dyDescent="0.25">
      <c r="B321" s="126"/>
    </row>
    <row r="322" spans="2:2" x14ac:dyDescent="0.25">
      <c r="B322" s="126"/>
    </row>
    <row r="323" spans="2:2" x14ac:dyDescent="0.25">
      <c r="B323" s="126"/>
    </row>
    <row r="324" spans="2:2" x14ac:dyDescent="0.25">
      <c r="B324" s="126"/>
    </row>
    <row r="325" spans="2:2" x14ac:dyDescent="0.25">
      <c r="B325" s="126"/>
    </row>
    <row r="326" spans="2:2" x14ac:dyDescent="0.25">
      <c r="B326" s="126"/>
    </row>
    <row r="327" spans="2:2" x14ac:dyDescent="0.25">
      <c r="B327" s="126"/>
    </row>
    <row r="328" spans="2:2" x14ac:dyDescent="0.25">
      <c r="B328" s="126"/>
    </row>
    <row r="329" spans="2:2" x14ac:dyDescent="0.25">
      <c r="B329" s="126"/>
    </row>
    <row r="330" spans="2:2" x14ac:dyDescent="0.25">
      <c r="B330" s="126"/>
    </row>
    <row r="331" spans="2:2" x14ac:dyDescent="0.25">
      <c r="B331" s="126"/>
    </row>
    <row r="332" spans="2:2" x14ac:dyDescent="0.25">
      <c r="B332" s="126"/>
    </row>
    <row r="333" spans="2:2" x14ac:dyDescent="0.25">
      <c r="B333" s="126"/>
    </row>
  </sheetData>
  <sheetProtection selectLockedCells="1"/>
  <protectedRanges>
    <protectedRange sqref="B56:D58 B50:D54 B44:D48 B40:D42 B35:D38 B27:D33 B16:D20 C60 B10:E12 B22:D25" name="Campos_Pedidos"/>
  </protectedRanges>
  <mergeCells count="54">
    <mergeCell ref="T14:AF14"/>
    <mergeCell ref="V15:AF15"/>
    <mergeCell ref="V16:AF16"/>
    <mergeCell ref="V17:AF17"/>
    <mergeCell ref="V18:AF18"/>
    <mergeCell ref="A60:B60"/>
    <mergeCell ref="C60:E60"/>
    <mergeCell ref="C59:E59"/>
    <mergeCell ref="C53:D53"/>
    <mergeCell ref="V10:AF10"/>
    <mergeCell ref="C16:D16"/>
    <mergeCell ref="C17:D17"/>
    <mergeCell ref="C18:D18"/>
    <mergeCell ref="C19:D19"/>
    <mergeCell ref="A14:E14"/>
    <mergeCell ref="B12:C12"/>
    <mergeCell ref="B11:E11"/>
    <mergeCell ref="C30:D30"/>
    <mergeCell ref="C31:D31"/>
    <mergeCell ref="C27:D27"/>
    <mergeCell ref="C15:D15"/>
    <mergeCell ref="C32:D32"/>
    <mergeCell ref="C29:D29"/>
    <mergeCell ref="C44:D44"/>
    <mergeCell ref="C33:D33"/>
    <mergeCell ref="C35:D35"/>
    <mergeCell ref="C37:D37"/>
    <mergeCell ref="C38:D38"/>
    <mergeCell ref="C40:D40"/>
    <mergeCell ref="C41:D41"/>
    <mergeCell ref="C42:D42"/>
    <mergeCell ref="C36:D36"/>
    <mergeCell ref="AO1:AV3"/>
    <mergeCell ref="AO5:AV11"/>
    <mergeCell ref="T2:AC3"/>
    <mergeCell ref="AD2:AF3"/>
    <mergeCell ref="C58:D58"/>
    <mergeCell ref="C51:D51"/>
    <mergeCell ref="C52:D52"/>
    <mergeCell ref="C54:D54"/>
    <mergeCell ref="C56:D56"/>
    <mergeCell ref="C57:D57"/>
    <mergeCell ref="C45:D45"/>
    <mergeCell ref="C46:D46"/>
    <mergeCell ref="C47:D47"/>
    <mergeCell ref="C48:D48"/>
    <mergeCell ref="C50:D50"/>
    <mergeCell ref="B10:E10"/>
    <mergeCell ref="C20:D20"/>
    <mergeCell ref="C28:D28"/>
    <mergeCell ref="C22:D22"/>
    <mergeCell ref="C23:D23"/>
    <mergeCell ref="C24:D24"/>
    <mergeCell ref="C25:D25"/>
  </mergeCells>
  <pageMargins left="0" right="0" top="0" bottom="0" header="0" footer="0"/>
  <pageSetup paperSize="126" scale="2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BAF84F-F9CA-424E-9A99-71F82B7C6DD8}">
          <x14:formula1>
            <xm:f>Clientes!$A$2:$A$951</xm:f>
          </x14:formula1>
          <xm:sqref>B10:E10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C807-B58C-43CB-8E32-BA23F24A1152}">
  <sheetPr codeName="Planilha12">
    <pageSetUpPr fitToPage="1"/>
  </sheetPr>
  <dimension ref="A1:DF450"/>
  <sheetViews>
    <sheetView zoomScale="39" zoomScaleNormal="39" workbookViewId="0">
      <selection activeCell="I63" sqref="I63"/>
    </sheetView>
  </sheetViews>
  <sheetFormatPr defaultRowHeight="15" x14ac:dyDescent="0.25"/>
  <cols>
    <col min="1" max="1" width="66" style="61" bestFit="1" customWidth="1"/>
    <col min="2" max="2" width="20.7109375" style="61" customWidth="1"/>
    <col min="3" max="3" width="23.42578125" style="61" customWidth="1"/>
    <col min="4" max="4" width="13.7109375" style="61" bestFit="1" customWidth="1"/>
    <col min="5" max="5" width="29.42578125" style="61" bestFit="1" customWidth="1"/>
    <col min="6" max="9" width="9.140625" style="61"/>
    <col min="10" max="10" width="9.5703125" style="61" customWidth="1"/>
    <col min="11" max="11" width="9.140625" style="61"/>
    <col min="12" max="12" width="9.140625" style="61" customWidth="1"/>
    <col min="13" max="26" width="9.140625" style="61"/>
    <col min="27" max="27" width="18" style="61" customWidth="1"/>
    <col min="28" max="28" width="12.5703125" style="61" customWidth="1"/>
    <col min="29" max="16384" width="9.140625" style="61"/>
  </cols>
  <sheetData>
    <row r="1" spans="1:110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68"/>
      <c r="DE1" s="68"/>
      <c r="DF1" s="68"/>
    </row>
    <row r="2" spans="1:110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</row>
    <row r="3" spans="1:110" ht="15.75" thickBot="1" x14ac:dyDescent="0.3">
      <c r="A3" s="68"/>
      <c r="B3" s="68">
        <v>0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</row>
    <row r="4" spans="1:110" x14ac:dyDescent="0.25">
      <c r="A4" s="68"/>
      <c r="B4" s="68">
        <v>0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443" t="s">
        <v>455</v>
      </c>
      <c r="T4" s="444"/>
      <c r="U4" s="445"/>
      <c r="V4" s="452"/>
      <c r="W4" s="453"/>
      <c r="X4" s="453"/>
      <c r="Y4" s="453"/>
      <c r="Z4" s="453"/>
      <c r="AA4" s="453"/>
      <c r="AB4" s="454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  <c r="CD4" s="68"/>
      <c r="CE4" s="68"/>
      <c r="CF4" s="68"/>
      <c r="CG4" s="68"/>
      <c r="CH4" s="68"/>
      <c r="CI4" s="68"/>
      <c r="CJ4" s="68"/>
      <c r="CK4" s="68"/>
      <c r="CL4" s="68"/>
      <c r="CM4" s="68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68"/>
      <c r="CY4" s="68"/>
      <c r="CZ4" s="68"/>
      <c r="DA4" s="68"/>
      <c r="DB4" s="68"/>
      <c r="DC4" s="68"/>
      <c r="DD4" s="68"/>
      <c r="DE4" s="68"/>
      <c r="DF4" s="68"/>
    </row>
    <row r="5" spans="1:110" x14ac:dyDescent="0.25">
      <c r="A5" s="68"/>
      <c r="B5" s="68">
        <v>0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446"/>
      <c r="T5" s="447"/>
      <c r="U5" s="448"/>
      <c r="V5" s="455"/>
      <c r="W5" s="456"/>
      <c r="X5" s="456"/>
      <c r="Y5" s="456"/>
      <c r="Z5" s="456"/>
      <c r="AA5" s="456"/>
      <c r="AB5" s="457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</row>
    <row r="6" spans="1:110" x14ac:dyDescent="0.25">
      <c r="A6" s="68"/>
      <c r="B6" s="68">
        <v>0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446"/>
      <c r="T6" s="447"/>
      <c r="U6" s="448"/>
      <c r="V6" s="455"/>
      <c r="W6" s="456"/>
      <c r="X6" s="456"/>
      <c r="Y6" s="456"/>
      <c r="Z6" s="456"/>
      <c r="AA6" s="456"/>
      <c r="AB6" s="457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</row>
    <row r="7" spans="1:110" x14ac:dyDescent="0.25">
      <c r="A7" s="68"/>
      <c r="B7" s="68">
        <v>0</v>
      </c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446"/>
      <c r="T7" s="447"/>
      <c r="U7" s="448"/>
      <c r="V7" s="455"/>
      <c r="W7" s="456"/>
      <c r="X7" s="456"/>
      <c r="Y7" s="456"/>
      <c r="Z7" s="456"/>
      <c r="AA7" s="456"/>
      <c r="AB7" s="457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8"/>
      <c r="CD7" s="68"/>
      <c r="CE7" s="68"/>
      <c r="CF7" s="68"/>
      <c r="CG7" s="68"/>
      <c r="CH7" s="68"/>
      <c r="CI7" s="68"/>
      <c r="CJ7" s="68"/>
      <c r="CK7" s="68"/>
      <c r="CL7" s="68"/>
      <c r="CM7" s="68"/>
      <c r="CN7" s="68"/>
      <c r="CO7" s="68"/>
      <c r="CP7" s="68"/>
      <c r="CQ7" s="68"/>
      <c r="CR7" s="68"/>
      <c r="CS7" s="68"/>
      <c r="CT7" s="68"/>
      <c r="CU7" s="68"/>
      <c r="CV7" s="68"/>
      <c r="CW7" s="68"/>
      <c r="CX7" s="68"/>
      <c r="CY7" s="68"/>
      <c r="CZ7" s="68"/>
      <c r="DA7" s="68"/>
      <c r="DB7" s="68"/>
      <c r="DC7" s="68"/>
      <c r="DD7" s="68"/>
      <c r="DE7" s="68"/>
      <c r="DF7" s="68"/>
    </row>
    <row r="8" spans="1:110" ht="15.75" thickBot="1" x14ac:dyDescent="0.3">
      <c r="A8" s="68"/>
      <c r="B8" s="68">
        <v>0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449"/>
      <c r="T8" s="450"/>
      <c r="U8" s="451"/>
      <c r="V8" s="458"/>
      <c r="W8" s="459"/>
      <c r="X8" s="459"/>
      <c r="Y8" s="459"/>
      <c r="Z8" s="459"/>
      <c r="AA8" s="459"/>
      <c r="AB8" s="460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</row>
    <row r="9" spans="1:110" x14ac:dyDescent="0.25">
      <c r="A9" s="68"/>
      <c r="B9" s="68">
        <v>0</v>
      </c>
      <c r="C9" s="68"/>
      <c r="D9" s="68"/>
      <c r="E9" s="68" t="s">
        <v>260</v>
      </c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443" t="s">
        <v>456</v>
      </c>
      <c r="T9" s="461"/>
      <c r="U9" s="462"/>
      <c r="V9" s="469"/>
      <c r="W9" s="453"/>
      <c r="X9" s="453"/>
      <c r="Y9" s="453"/>
      <c r="Z9" s="453"/>
      <c r="AA9" s="453"/>
      <c r="AB9" s="454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  <c r="DF9" s="68"/>
    </row>
    <row r="10" spans="1:110" x14ac:dyDescent="0.25">
      <c r="A10" s="68"/>
      <c r="B10" s="68">
        <v>0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463"/>
      <c r="T10" s="464"/>
      <c r="U10" s="465"/>
      <c r="V10" s="455"/>
      <c r="W10" s="456"/>
      <c r="X10" s="456"/>
      <c r="Y10" s="456"/>
      <c r="Z10" s="456"/>
      <c r="AA10" s="456"/>
      <c r="AB10" s="457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8"/>
      <c r="BY10" s="68"/>
      <c r="BZ10" s="68"/>
      <c r="CA10" s="68"/>
      <c r="CB10" s="68"/>
      <c r="CC10" s="68"/>
      <c r="CD10" s="68"/>
      <c r="CE10" s="68"/>
      <c r="CF10" s="68"/>
      <c r="CG10" s="68"/>
      <c r="CH10" s="68"/>
      <c r="CI10" s="68"/>
      <c r="CJ10" s="68"/>
      <c r="CK10" s="68"/>
      <c r="CL10" s="68"/>
      <c r="CM10" s="68"/>
      <c r="CN10" s="68"/>
      <c r="CO10" s="68"/>
      <c r="CP10" s="68"/>
      <c r="CQ10" s="68"/>
      <c r="CR10" s="68"/>
      <c r="CS10" s="68"/>
      <c r="CT10" s="68"/>
      <c r="CU10" s="68"/>
      <c r="CV10" s="68"/>
      <c r="CW10" s="68"/>
      <c r="CX10" s="68"/>
      <c r="CY10" s="68"/>
      <c r="CZ10" s="68"/>
      <c r="DA10" s="68"/>
      <c r="DB10" s="68"/>
      <c r="DC10" s="68"/>
      <c r="DD10" s="68"/>
      <c r="DE10" s="68"/>
      <c r="DF10" s="68"/>
    </row>
    <row r="11" spans="1:110" x14ac:dyDescent="0.25">
      <c r="A11" s="68"/>
      <c r="B11" s="68">
        <v>0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463"/>
      <c r="T11" s="464"/>
      <c r="U11" s="465"/>
      <c r="V11" s="455"/>
      <c r="W11" s="456"/>
      <c r="X11" s="456"/>
      <c r="Y11" s="456"/>
      <c r="Z11" s="456"/>
      <c r="AA11" s="456"/>
      <c r="AB11" s="457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8"/>
      <c r="CC11" s="68"/>
      <c r="CD11" s="68"/>
      <c r="CE11" s="68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8"/>
      <c r="CW11" s="68"/>
      <c r="CX11" s="68"/>
      <c r="CY11" s="68"/>
      <c r="CZ11" s="68"/>
      <c r="DA11" s="68"/>
      <c r="DB11" s="68"/>
      <c r="DC11" s="68"/>
      <c r="DD11" s="68"/>
      <c r="DE11" s="68"/>
      <c r="DF11" s="68"/>
    </row>
    <row r="12" spans="1:110" x14ac:dyDescent="0.25">
      <c r="A12" s="68"/>
      <c r="B12" s="68">
        <v>0</v>
      </c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463"/>
      <c r="T12" s="464"/>
      <c r="U12" s="465"/>
      <c r="V12" s="455"/>
      <c r="W12" s="456"/>
      <c r="X12" s="456"/>
      <c r="Y12" s="456"/>
      <c r="Z12" s="456"/>
      <c r="AA12" s="456"/>
      <c r="AB12" s="457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8"/>
      <c r="BY12" s="68"/>
      <c r="BZ12" s="68"/>
      <c r="CA12" s="68"/>
      <c r="CB12" s="68"/>
      <c r="CC12" s="68"/>
      <c r="CD12" s="68"/>
      <c r="CE12" s="68"/>
      <c r="CF12" s="68"/>
      <c r="CG12" s="68"/>
      <c r="CH12" s="68"/>
      <c r="CI12" s="68"/>
      <c r="CJ12" s="68"/>
      <c r="CK12" s="68"/>
      <c r="CL12" s="68"/>
      <c r="CM12" s="68"/>
      <c r="CN12" s="68"/>
      <c r="CO12" s="68"/>
      <c r="CP12" s="68"/>
      <c r="CQ12" s="68"/>
      <c r="CR12" s="68"/>
      <c r="CS12" s="68"/>
      <c r="CT12" s="68"/>
      <c r="CU12" s="68"/>
      <c r="CV12" s="68"/>
      <c r="CW12" s="68"/>
      <c r="CX12" s="68"/>
      <c r="CY12" s="68"/>
      <c r="CZ12" s="68"/>
      <c r="DA12" s="68"/>
      <c r="DB12" s="68"/>
      <c r="DC12" s="68"/>
      <c r="DD12" s="68"/>
      <c r="DE12" s="68"/>
      <c r="DF12" s="68"/>
    </row>
    <row r="13" spans="1:110" ht="15.75" thickBot="1" x14ac:dyDescent="0.3">
      <c r="A13" s="68"/>
      <c r="B13" s="68">
        <v>0</v>
      </c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466"/>
      <c r="T13" s="467"/>
      <c r="U13" s="468"/>
      <c r="V13" s="458"/>
      <c r="W13" s="459"/>
      <c r="X13" s="459"/>
      <c r="Y13" s="459"/>
      <c r="Z13" s="459"/>
      <c r="AA13" s="459"/>
      <c r="AB13" s="460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8"/>
      <c r="CQ13" s="68"/>
      <c r="CR13" s="68"/>
      <c r="CS13" s="68"/>
      <c r="CT13" s="68"/>
      <c r="CU13" s="68"/>
      <c r="CV13" s="68"/>
      <c r="CW13" s="68"/>
      <c r="CX13" s="68"/>
      <c r="CY13" s="68"/>
      <c r="CZ13" s="68"/>
      <c r="DA13" s="68"/>
      <c r="DB13" s="68"/>
      <c r="DC13" s="68"/>
      <c r="DD13" s="68"/>
      <c r="DE13" s="68"/>
      <c r="DF13" s="68"/>
    </row>
    <row r="14" spans="1:110" ht="36.75" thickTop="1" thickBot="1" x14ac:dyDescent="0.55000000000000004">
      <c r="A14" s="195" t="s">
        <v>46</v>
      </c>
      <c r="B14" s="416"/>
      <c r="C14" s="417"/>
      <c r="D14" s="417"/>
      <c r="E14" s="41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8"/>
      <c r="CC14" s="68"/>
      <c r="CD14" s="68"/>
      <c r="CE14" s="68"/>
      <c r="CF14" s="68"/>
      <c r="CG14" s="68"/>
      <c r="CH14" s="68"/>
      <c r="CI14" s="68"/>
      <c r="CJ14" s="68"/>
      <c r="CK14" s="68"/>
      <c r="CL14" s="68"/>
      <c r="CM14" s="68"/>
      <c r="CN14" s="68"/>
      <c r="CO14" s="68"/>
      <c r="CP14" s="68"/>
      <c r="CQ14" s="68"/>
      <c r="CR14" s="68"/>
      <c r="CS14" s="68"/>
      <c r="CT14" s="68"/>
      <c r="CU14" s="68"/>
      <c r="CV14" s="68"/>
      <c r="CW14" s="68"/>
      <c r="CX14" s="68"/>
      <c r="CY14" s="68"/>
      <c r="CZ14" s="68"/>
      <c r="DA14" s="68"/>
      <c r="DB14" s="68"/>
      <c r="DC14" s="68"/>
      <c r="DD14" s="68"/>
      <c r="DE14" s="68"/>
      <c r="DF14" s="68"/>
    </row>
    <row r="15" spans="1:110" ht="36.75" thickTop="1" thickBot="1" x14ac:dyDescent="0.55000000000000004">
      <c r="A15" s="196" t="s">
        <v>95</v>
      </c>
      <c r="B15" s="419"/>
      <c r="C15" s="420"/>
      <c r="D15" s="420"/>
      <c r="E15" s="421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8"/>
      <c r="BY15" s="68"/>
      <c r="BZ15" s="68"/>
      <c r="CA15" s="68"/>
      <c r="CB15" s="68"/>
      <c r="CC15" s="68"/>
      <c r="CD15" s="68"/>
      <c r="CE15" s="68"/>
      <c r="CF15" s="68"/>
      <c r="CG15" s="68"/>
      <c r="CH15" s="68"/>
      <c r="CI15" s="68"/>
      <c r="CJ15" s="68"/>
      <c r="CK15" s="68"/>
      <c r="CL15" s="68"/>
      <c r="CM15" s="68"/>
      <c r="CN15" s="68"/>
      <c r="CO15" s="68"/>
      <c r="CP15" s="68"/>
      <c r="CQ15" s="68"/>
      <c r="CR15" s="68"/>
      <c r="CS15" s="68"/>
      <c r="CT15" s="68"/>
      <c r="CU15" s="68"/>
      <c r="CV15" s="68"/>
      <c r="CW15" s="68"/>
      <c r="CX15" s="68"/>
      <c r="CY15" s="68"/>
      <c r="CZ15" s="68"/>
      <c r="DA15" s="68"/>
      <c r="DB15" s="68"/>
      <c r="DC15" s="68"/>
      <c r="DD15" s="68"/>
      <c r="DE15" s="68"/>
      <c r="DF15" s="68"/>
    </row>
    <row r="16" spans="1:110" ht="36.75" thickTop="1" thickBot="1" x14ac:dyDescent="0.55000000000000004">
      <c r="A16" s="195" t="s">
        <v>96</v>
      </c>
      <c r="B16" s="427"/>
      <c r="C16" s="428"/>
      <c r="D16" s="195" t="s">
        <v>47</v>
      </c>
      <c r="E16" s="197">
        <v>1</v>
      </c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8"/>
      <c r="BY16" s="68"/>
      <c r="BZ16" s="68"/>
      <c r="CA16" s="68"/>
      <c r="CB16" s="68"/>
      <c r="CC16" s="68"/>
      <c r="CD16" s="68"/>
      <c r="CE16" s="68"/>
      <c r="CF16" s="68"/>
      <c r="CG16" s="68"/>
      <c r="CH16" s="68"/>
      <c r="CI16" s="68"/>
      <c r="CJ16" s="68"/>
      <c r="CK16" s="68"/>
      <c r="CL16" s="68"/>
      <c r="CM16" s="68"/>
      <c r="CN16" s="68"/>
      <c r="CO16" s="68"/>
      <c r="CP16" s="68"/>
      <c r="CQ16" s="68"/>
      <c r="CR16" s="68"/>
      <c r="CS16" s="68"/>
      <c r="CT16" s="68"/>
      <c r="CU16" s="68"/>
      <c r="CV16" s="68"/>
      <c r="CW16" s="68"/>
      <c r="CX16" s="68"/>
      <c r="CY16" s="68"/>
      <c r="CZ16" s="68"/>
      <c r="DA16" s="68"/>
      <c r="DB16" s="68"/>
      <c r="DC16" s="68"/>
      <c r="DD16" s="68"/>
      <c r="DE16" s="68"/>
      <c r="DF16" s="68"/>
    </row>
    <row r="17" spans="1:110" ht="35.25" thickTop="1" thickBot="1" x14ac:dyDescent="0.3">
      <c r="A17" s="429" t="s">
        <v>485</v>
      </c>
      <c r="B17" s="430"/>
      <c r="C17" s="430"/>
      <c r="D17" s="430"/>
      <c r="E17" s="430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8"/>
      <c r="BY17" s="68"/>
      <c r="BZ17" s="68"/>
      <c r="CA17" s="68"/>
      <c r="CB17" s="68"/>
      <c r="CC17" s="68"/>
      <c r="CD17" s="68"/>
      <c r="CE17" s="68"/>
      <c r="CF17" s="68"/>
      <c r="CG17" s="68"/>
      <c r="CH17" s="68"/>
      <c r="CI17" s="68"/>
      <c r="CJ17" s="68"/>
      <c r="CK17" s="68"/>
      <c r="CL17" s="68"/>
      <c r="CM17" s="68"/>
      <c r="CN17" s="68"/>
      <c r="CO17" s="68"/>
      <c r="CP17" s="68"/>
      <c r="CQ17" s="68"/>
      <c r="CR17" s="68"/>
      <c r="CS17" s="68"/>
      <c r="CT17" s="68"/>
      <c r="CU17" s="68"/>
      <c r="CV17" s="68"/>
      <c r="CW17" s="68"/>
      <c r="CX17" s="68"/>
      <c r="CY17" s="68"/>
      <c r="CZ17" s="68"/>
      <c r="DA17" s="68"/>
      <c r="DB17" s="68"/>
      <c r="DC17" s="68"/>
      <c r="DD17" s="68"/>
      <c r="DE17" s="68"/>
      <c r="DF17" s="68"/>
    </row>
    <row r="18" spans="1:110" ht="31.5" thickTop="1" thickBot="1" x14ac:dyDescent="0.45">
      <c r="A18" s="424" t="s">
        <v>53</v>
      </c>
      <c r="B18" s="425"/>
      <c r="C18" s="425"/>
      <c r="D18" s="425"/>
      <c r="E18" s="426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</row>
    <row r="19" spans="1:110" ht="31.5" thickTop="1" thickBot="1" x14ac:dyDescent="0.45">
      <c r="A19" s="238" t="s">
        <v>97</v>
      </c>
      <c r="B19" s="239" t="s">
        <v>118</v>
      </c>
      <c r="C19" s="424" t="s">
        <v>98</v>
      </c>
      <c r="D19" s="426"/>
      <c r="E19" s="240" t="s">
        <v>99</v>
      </c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68"/>
      <c r="BX19" s="68"/>
      <c r="BY19" s="68"/>
      <c r="BZ19" s="68"/>
      <c r="CA19" s="68"/>
      <c r="CB19" s="68"/>
      <c r="CC19" s="68"/>
      <c r="CD19" s="68"/>
      <c r="CE19" s="68"/>
      <c r="CF19" s="68"/>
      <c r="CG19" s="68"/>
      <c r="CH19" s="68"/>
      <c r="CI19" s="68"/>
      <c r="CJ19" s="68"/>
      <c r="CK19" s="68"/>
      <c r="CL19" s="68"/>
      <c r="CM19" s="68"/>
      <c r="CN19" s="68"/>
      <c r="CO19" s="68"/>
      <c r="CP19" s="68"/>
      <c r="CQ19" s="68"/>
      <c r="CR19" s="68"/>
      <c r="CS19" s="68"/>
      <c r="CT19" s="68"/>
      <c r="CU19" s="68"/>
      <c r="CV19" s="68"/>
      <c r="CW19" s="68"/>
      <c r="CX19" s="68"/>
      <c r="CY19" s="68"/>
      <c r="CZ19" s="68"/>
      <c r="DA19" s="68"/>
      <c r="DB19" s="68"/>
      <c r="DC19" s="68"/>
      <c r="DD19" s="68"/>
      <c r="DE19" s="68"/>
      <c r="DF19" s="68"/>
    </row>
    <row r="20" spans="1:110" ht="31.5" thickTop="1" thickBot="1" x14ac:dyDescent="0.45">
      <c r="A20" s="241" t="s">
        <v>440</v>
      </c>
      <c r="B20" s="188"/>
      <c r="C20" s="422"/>
      <c r="D20" s="423"/>
      <c r="E20" s="191">
        <f>B20*C67</f>
        <v>0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169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B20" s="68"/>
      <c r="DC20" s="68"/>
      <c r="DD20" s="68"/>
      <c r="DE20" s="68"/>
      <c r="DF20" s="68"/>
    </row>
    <row r="21" spans="1:110" ht="31.5" thickTop="1" thickBot="1" x14ac:dyDescent="0.45">
      <c r="A21" s="242" t="s">
        <v>116</v>
      </c>
      <c r="B21" s="192"/>
      <c r="C21" s="422"/>
      <c r="D21" s="423"/>
      <c r="E21" s="191">
        <f>B21*C67</f>
        <v>0</v>
      </c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8"/>
      <c r="BY21" s="68"/>
      <c r="BZ21" s="68"/>
      <c r="CA21" s="68"/>
      <c r="CB21" s="68"/>
      <c r="CC21" s="68"/>
      <c r="CD21" s="68"/>
      <c r="CE21" s="68"/>
      <c r="CF21" s="68"/>
      <c r="CG21" s="68"/>
      <c r="CH21" s="68"/>
      <c r="CI21" s="68"/>
      <c r="CJ21" s="68"/>
      <c r="CK21" s="68"/>
      <c r="CL21" s="68"/>
      <c r="CM21" s="68"/>
      <c r="CN21" s="68"/>
      <c r="CO21" s="68"/>
      <c r="CP21" s="68"/>
      <c r="CQ21" s="68"/>
      <c r="CR21" s="68"/>
      <c r="CS21" s="68"/>
      <c r="CT21" s="68"/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</row>
    <row r="22" spans="1:110" ht="31.5" thickTop="1" thickBot="1" x14ac:dyDescent="0.45">
      <c r="A22" s="243" t="s">
        <v>441</v>
      </c>
      <c r="B22" s="192"/>
      <c r="C22" s="422"/>
      <c r="D22" s="423"/>
      <c r="E22" s="191">
        <f>B22*C67</f>
        <v>0</v>
      </c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</row>
    <row r="23" spans="1:110" ht="31.5" thickTop="1" thickBot="1" x14ac:dyDescent="0.45">
      <c r="A23" s="243" t="s">
        <v>50</v>
      </c>
      <c r="B23" s="192"/>
      <c r="C23" s="422"/>
      <c r="D23" s="423"/>
      <c r="E23" s="191">
        <f>B23*C67</f>
        <v>0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8"/>
      <c r="BY23" s="68"/>
      <c r="BZ23" s="68"/>
      <c r="CA23" s="68"/>
      <c r="CB23" s="68"/>
      <c r="CC23" s="68"/>
      <c r="CD23" s="68"/>
      <c r="CE23" s="68"/>
      <c r="CF23" s="68"/>
      <c r="CG23" s="68"/>
      <c r="CH23" s="68"/>
      <c r="CI23" s="68"/>
      <c r="CJ23" s="68"/>
      <c r="CK23" s="68"/>
      <c r="CL23" s="68"/>
      <c r="CM23" s="68"/>
      <c r="CN23" s="68"/>
      <c r="CO23" s="68"/>
      <c r="CP23" s="68"/>
      <c r="CQ23" s="68"/>
      <c r="CR23" s="68"/>
      <c r="CS23" s="68"/>
      <c r="CT23" s="68"/>
      <c r="CU23" s="68"/>
      <c r="CV23" s="68"/>
      <c r="CW23" s="68"/>
      <c r="CX23" s="68"/>
      <c r="CY23" s="68"/>
      <c r="CZ23" s="68"/>
      <c r="DA23" s="68"/>
      <c r="DB23" s="68"/>
      <c r="DC23" s="68"/>
      <c r="DD23" s="68"/>
      <c r="DE23" s="68"/>
      <c r="DF23" s="68"/>
    </row>
    <row r="24" spans="1:110" ht="35.25" thickTop="1" thickBot="1" x14ac:dyDescent="0.55000000000000004">
      <c r="A24" s="244" t="s">
        <v>431</v>
      </c>
      <c r="B24" s="192"/>
      <c r="C24" s="422"/>
      <c r="D24" s="423"/>
      <c r="E24" s="191">
        <f>B24*C67</f>
        <v>0</v>
      </c>
      <c r="F24" s="74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8"/>
      <c r="CA24" s="68"/>
      <c r="CB24" s="68"/>
      <c r="CC24" s="68"/>
      <c r="CD24" s="68"/>
      <c r="CE24" s="68"/>
      <c r="CF24" s="68"/>
      <c r="CG24" s="68"/>
      <c r="CH24" s="68"/>
      <c r="CI24" s="68"/>
      <c r="CJ24" s="68"/>
      <c r="CK24" s="68"/>
      <c r="CL24" s="68"/>
      <c r="CM24" s="68"/>
      <c r="CN24" s="68"/>
      <c r="CO24" s="68"/>
      <c r="CP24" s="68"/>
      <c r="CQ24" s="68"/>
      <c r="CR24" s="68"/>
      <c r="CS24" s="68"/>
      <c r="CT24" s="68"/>
      <c r="CU24" s="68"/>
      <c r="CV24" s="68"/>
      <c r="CW24" s="68"/>
      <c r="CX24" s="68"/>
      <c r="CY24" s="68"/>
      <c r="CZ24" s="68"/>
      <c r="DA24" s="68"/>
      <c r="DB24" s="68"/>
      <c r="DC24" s="68"/>
      <c r="DD24" s="68"/>
      <c r="DE24" s="68"/>
      <c r="DF24" s="68"/>
    </row>
    <row r="25" spans="1:110" ht="30" customHeight="1" thickTop="1" thickBot="1" x14ac:dyDescent="0.3">
      <c r="A25" s="249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68"/>
      <c r="BO25" s="68"/>
      <c r="BP25" s="68"/>
      <c r="BQ25" s="68"/>
      <c r="BR25" s="68"/>
      <c r="BS25" s="68"/>
      <c r="BT25" s="68"/>
      <c r="BU25" s="68"/>
      <c r="BV25" s="68"/>
      <c r="BW25" s="68"/>
      <c r="BX25" s="68"/>
      <c r="BY25" s="68"/>
      <c r="BZ25" s="68"/>
      <c r="CA25" s="68"/>
      <c r="CB25" s="68"/>
      <c r="CC25" s="68"/>
      <c r="CD25" s="68"/>
      <c r="CE25" s="68"/>
      <c r="CF25" s="68"/>
      <c r="CG25" s="68"/>
      <c r="CH25" s="68"/>
      <c r="CI25" s="68"/>
      <c r="CJ25" s="68"/>
      <c r="CK25" s="68"/>
      <c r="CL25" s="68"/>
      <c r="CM25" s="68"/>
      <c r="CN25" s="68"/>
      <c r="CO25" s="68"/>
      <c r="CP25" s="68"/>
      <c r="CQ25" s="68"/>
      <c r="CR25" s="68"/>
      <c r="CS25" s="68"/>
      <c r="CT25" s="68"/>
      <c r="CU25" s="68"/>
      <c r="CV25" s="68"/>
      <c r="CW25" s="68"/>
      <c r="CX25" s="68"/>
      <c r="CY25" s="68"/>
      <c r="CZ25" s="68"/>
      <c r="DA25" s="68"/>
      <c r="DB25" s="68"/>
      <c r="DC25" s="68"/>
      <c r="DD25" s="68"/>
      <c r="DE25" s="68"/>
      <c r="DF25" s="68"/>
    </row>
    <row r="26" spans="1:110" ht="31.5" thickTop="1" thickBot="1" x14ac:dyDescent="0.45">
      <c r="A26" s="244" t="s">
        <v>432</v>
      </c>
      <c r="B26" s="193"/>
      <c r="C26" s="422"/>
      <c r="D26" s="423"/>
      <c r="E26" s="191">
        <f>B26*0.5</f>
        <v>0</v>
      </c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68"/>
      <c r="BP26" s="68"/>
      <c r="BQ26" s="68"/>
      <c r="BR26" s="68"/>
      <c r="BS26" s="68"/>
      <c r="BT26" s="68"/>
      <c r="BU26" s="68"/>
      <c r="BV26" s="68"/>
      <c r="BW26" s="68"/>
      <c r="BX26" s="68"/>
      <c r="BY26" s="68"/>
      <c r="BZ26" s="68"/>
      <c r="CA26" s="68"/>
      <c r="CB26" s="68"/>
      <c r="CC26" s="68"/>
      <c r="CD26" s="68"/>
      <c r="CE26" s="68"/>
      <c r="CF26" s="68"/>
      <c r="CG26" s="68"/>
      <c r="CH26" s="68"/>
      <c r="CI26" s="68"/>
      <c r="CJ26" s="68"/>
      <c r="CK26" s="68"/>
      <c r="CL26" s="68"/>
      <c r="CM26" s="68"/>
      <c r="CN26" s="68"/>
      <c r="CO26" s="68"/>
      <c r="CP26" s="68"/>
      <c r="CQ26" s="68"/>
      <c r="CR26" s="68"/>
      <c r="CS26" s="68"/>
      <c r="CT26" s="68"/>
      <c r="CU26" s="68"/>
      <c r="CV26" s="68"/>
      <c r="CW26" s="68"/>
      <c r="CX26" s="68"/>
      <c r="CY26" s="68"/>
      <c r="CZ26" s="68"/>
      <c r="DA26" s="68"/>
      <c r="DB26" s="68"/>
      <c r="DC26" s="68"/>
      <c r="DD26" s="68"/>
      <c r="DE26" s="68"/>
      <c r="DF26" s="68"/>
    </row>
    <row r="27" spans="1:110" ht="31.5" thickTop="1" thickBot="1" x14ac:dyDescent="0.45">
      <c r="A27" s="241" t="s">
        <v>433</v>
      </c>
      <c r="B27" s="192"/>
      <c r="C27" s="422"/>
      <c r="D27" s="423"/>
      <c r="E27" s="191">
        <f>B27*0.5</f>
        <v>0</v>
      </c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  <c r="BO27" s="68"/>
      <c r="BP27" s="68"/>
      <c r="BQ27" s="68"/>
      <c r="BR27" s="68"/>
      <c r="BS27" s="68"/>
      <c r="BT27" s="68"/>
      <c r="BU27" s="68"/>
      <c r="BV27" s="68"/>
      <c r="BW27" s="68"/>
      <c r="BX27" s="68"/>
      <c r="BY27" s="68"/>
      <c r="BZ27" s="68"/>
      <c r="CA27" s="68"/>
      <c r="CB27" s="68"/>
      <c r="CC27" s="68"/>
      <c r="CD27" s="68"/>
      <c r="CE27" s="68"/>
      <c r="CF27" s="68"/>
      <c r="CG27" s="68"/>
      <c r="CH27" s="68"/>
      <c r="CI27" s="68"/>
      <c r="CJ27" s="68"/>
      <c r="CK27" s="68"/>
      <c r="CL27" s="68"/>
      <c r="CM27" s="68"/>
      <c r="CN27" s="68"/>
      <c r="CO27" s="68"/>
      <c r="CP27" s="68"/>
      <c r="CQ27" s="68"/>
      <c r="CR27" s="68"/>
      <c r="CS27" s="68"/>
      <c r="CT27" s="68"/>
      <c r="CU27" s="68"/>
      <c r="CV27" s="68"/>
      <c r="CW27" s="68"/>
      <c r="CX27" s="68"/>
      <c r="CY27" s="68"/>
      <c r="CZ27" s="68"/>
      <c r="DA27" s="68"/>
      <c r="DB27" s="68"/>
      <c r="DC27" s="68"/>
      <c r="DD27" s="68"/>
      <c r="DE27" s="68"/>
      <c r="DF27" s="68"/>
    </row>
    <row r="28" spans="1:110" ht="31.5" thickTop="1" thickBot="1" x14ac:dyDescent="0.45">
      <c r="A28" s="244" t="s">
        <v>434</v>
      </c>
      <c r="B28" s="192"/>
      <c r="C28" s="189"/>
      <c r="D28" s="190"/>
      <c r="E28" s="191">
        <f>B28*0.5</f>
        <v>0</v>
      </c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  <c r="CW28" s="68"/>
      <c r="CX28" s="68"/>
      <c r="CY28" s="68"/>
      <c r="CZ28" s="68"/>
      <c r="DA28" s="68"/>
      <c r="DB28" s="68"/>
      <c r="DC28" s="68"/>
      <c r="DD28" s="68"/>
      <c r="DE28" s="68"/>
      <c r="DF28" s="68"/>
    </row>
    <row r="29" spans="1:110" ht="31.5" thickTop="1" thickBot="1" x14ac:dyDescent="0.45">
      <c r="A29" s="244" t="s">
        <v>435</v>
      </c>
      <c r="B29" s="192"/>
      <c r="C29" s="422"/>
      <c r="D29" s="423"/>
      <c r="E29" s="191">
        <f>B29*0.5</f>
        <v>0</v>
      </c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  <c r="CW29" s="68"/>
      <c r="CX29" s="68"/>
      <c r="CY29" s="68"/>
      <c r="CZ29" s="68"/>
      <c r="DA29" s="68"/>
      <c r="DB29" s="68"/>
      <c r="DC29" s="68"/>
      <c r="DD29" s="68"/>
      <c r="DE29" s="68"/>
      <c r="DF29" s="68"/>
    </row>
    <row r="30" spans="1:110" ht="30" customHeight="1" thickTop="1" thickBot="1" x14ac:dyDescent="0.3">
      <c r="A30" s="249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</row>
    <row r="31" spans="1:110" ht="31.5" thickTop="1" thickBot="1" x14ac:dyDescent="0.45">
      <c r="A31" s="242" t="s">
        <v>12</v>
      </c>
      <c r="B31" s="192"/>
      <c r="C31" s="473"/>
      <c r="D31" s="474"/>
      <c r="E31" s="191">
        <f>B31*C67</f>
        <v>0</v>
      </c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  <c r="CW31" s="68"/>
      <c r="CX31" s="68"/>
      <c r="CY31" s="68"/>
      <c r="CZ31" s="68"/>
      <c r="DA31" s="68"/>
      <c r="DB31" s="68"/>
      <c r="DC31" s="68"/>
      <c r="DD31" s="68"/>
      <c r="DE31" s="68"/>
      <c r="DF31" s="68"/>
    </row>
    <row r="32" spans="1:110" ht="31.5" thickTop="1" thickBot="1" x14ac:dyDescent="0.45">
      <c r="A32" s="242" t="s">
        <v>436</v>
      </c>
      <c r="B32" s="192"/>
      <c r="C32" s="473"/>
      <c r="D32" s="474"/>
      <c r="E32" s="191">
        <f>B32*C67</f>
        <v>0</v>
      </c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8"/>
      <c r="BO32" s="68"/>
      <c r="BP32" s="68"/>
      <c r="BQ32" s="68"/>
      <c r="BR32" s="68"/>
      <c r="BS32" s="68"/>
      <c r="BT32" s="68"/>
      <c r="BU32" s="68"/>
      <c r="BV32" s="68"/>
      <c r="BW32" s="68"/>
      <c r="BX32" s="68"/>
      <c r="BY32" s="68"/>
      <c r="BZ32" s="68"/>
      <c r="CA32" s="68"/>
      <c r="CB32" s="68"/>
      <c r="CC32" s="68"/>
      <c r="CD32" s="68"/>
      <c r="CE32" s="68"/>
      <c r="CF32" s="68"/>
      <c r="CG32" s="68"/>
      <c r="CH32" s="68"/>
      <c r="CI32" s="68"/>
      <c r="CJ32" s="68"/>
      <c r="CK32" s="68"/>
      <c r="CL32" s="68"/>
      <c r="CM32" s="68"/>
      <c r="CN32" s="68"/>
      <c r="CO32" s="68"/>
      <c r="CP32" s="68"/>
      <c r="CQ32" s="68"/>
      <c r="CR32" s="68"/>
      <c r="CS32" s="68"/>
      <c r="CT32" s="68"/>
      <c r="CU32" s="68"/>
      <c r="CV32" s="68"/>
      <c r="CW32" s="68"/>
      <c r="CX32" s="68"/>
      <c r="CY32" s="68"/>
      <c r="CZ32" s="68"/>
      <c r="DA32" s="68"/>
      <c r="DB32" s="68"/>
      <c r="DC32" s="68"/>
      <c r="DD32" s="68"/>
      <c r="DE32" s="68"/>
      <c r="DF32" s="68"/>
    </row>
    <row r="33" spans="1:110" ht="31.5" thickTop="1" thickBot="1" x14ac:dyDescent="0.45">
      <c r="A33" s="242" t="s">
        <v>55</v>
      </c>
      <c r="B33" s="192"/>
      <c r="C33" s="422"/>
      <c r="D33" s="423"/>
      <c r="E33" s="191">
        <f>B33*C67</f>
        <v>0</v>
      </c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8"/>
      <c r="BO33" s="68"/>
      <c r="BP33" s="68"/>
      <c r="BQ33" s="68"/>
      <c r="BR33" s="68"/>
      <c r="BS33" s="68"/>
      <c r="BT33" s="68"/>
      <c r="BU33" s="68"/>
      <c r="BV33" s="68"/>
      <c r="BW33" s="68"/>
      <c r="BX33" s="68"/>
      <c r="BY33" s="68"/>
      <c r="BZ33" s="68"/>
      <c r="CA33" s="68"/>
      <c r="CB33" s="68"/>
      <c r="CC33" s="68"/>
      <c r="CD33" s="68"/>
      <c r="CE33" s="68"/>
      <c r="CF33" s="68"/>
      <c r="CG33" s="68"/>
      <c r="CH33" s="68"/>
      <c r="CI33" s="68"/>
      <c r="CJ33" s="68"/>
      <c r="CK33" s="68"/>
      <c r="CL33" s="68"/>
      <c r="CM33" s="68"/>
      <c r="CN33" s="68"/>
      <c r="CO33" s="68"/>
      <c r="CP33" s="68"/>
      <c r="CQ33" s="68"/>
      <c r="CR33" s="68"/>
      <c r="CS33" s="68"/>
      <c r="CT33" s="68"/>
      <c r="CU33" s="68"/>
      <c r="CV33" s="68"/>
      <c r="CW33" s="68"/>
      <c r="CX33" s="68"/>
      <c r="CY33" s="68"/>
      <c r="CZ33" s="68"/>
      <c r="DA33" s="68"/>
      <c r="DB33" s="68"/>
      <c r="DC33" s="68"/>
      <c r="DD33" s="68"/>
      <c r="DE33" s="68"/>
      <c r="DF33" s="68"/>
    </row>
    <row r="34" spans="1:110" ht="31.5" thickTop="1" thickBot="1" x14ac:dyDescent="0.45">
      <c r="A34" s="242" t="s">
        <v>115</v>
      </c>
      <c r="B34" s="192"/>
      <c r="C34" s="422"/>
      <c r="D34" s="423"/>
      <c r="E34" s="191">
        <f>B34*C67</f>
        <v>0</v>
      </c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8"/>
      <c r="BY34" s="68"/>
      <c r="BZ34" s="68"/>
      <c r="CA34" s="68"/>
      <c r="CB34" s="68"/>
      <c r="CC34" s="68"/>
      <c r="CD34" s="68"/>
      <c r="CE34" s="68"/>
      <c r="CF34" s="68"/>
      <c r="CG34" s="68"/>
      <c r="CH34" s="68"/>
      <c r="CI34" s="68"/>
      <c r="CJ34" s="68"/>
      <c r="CK34" s="68"/>
      <c r="CL34" s="68"/>
      <c r="CM34" s="68"/>
      <c r="CN34" s="68"/>
      <c r="CO34" s="68"/>
      <c r="CP34" s="68"/>
      <c r="CQ34" s="68"/>
      <c r="CR34" s="68"/>
      <c r="CS34" s="68"/>
      <c r="CT34" s="68"/>
      <c r="CU34" s="68"/>
      <c r="CV34" s="68"/>
      <c r="CW34" s="68"/>
      <c r="CX34" s="68"/>
      <c r="CY34" s="68"/>
      <c r="CZ34" s="68"/>
      <c r="DA34" s="68"/>
      <c r="DB34" s="68"/>
      <c r="DC34" s="68"/>
      <c r="DD34" s="68"/>
      <c r="DE34" s="68"/>
      <c r="DF34" s="68"/>
    </row>
    <row r="35" spans="1:110" ht="31.5" thickTop="1" thickBot="1" x14ac:dyDescent="0.45">
      <c r="A35" s="242" t="s">
        <v>13</v>
      </c>
      <c r="B35" s="192"/>
      <c r="C35" s="422"/>
      <c r="D35" s="423"/>
      <c r="E35" s="191">
        <f>B35*C67</f>
        <v>0</v>
      </c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8"/>
      <c r="BY35" s="68"/>
      <c r="BZ35" s="68"/>
      <c r="CA35" s="68"/>
      <c r="CB35" s="68"/>
      <c r="CC35" s="68"/>
      <c r="CD35" s="68"/>
      <c r="CE35" s="68"/>
      <c r="CF35" s="68"/>
      <c r="CG35" s="68"/>
      <c r="CH35" s="68"/>
      <c r="CI35" s="68"/>
      <c r="CJ35" s="68"/>
      <c r="CK35" s="68"/>
      <c r="CL35" s="68"/>
      <c r="CM35" s="68"/>
      <c r="CN35" s="68"/>
      <c r="CO35" s="68"/>
      <c r="CP35" s="68"/>
      <c r="CQ35" s="68"/>
      <c r="CR35" s="68"/>
      <c r="CS35" s="68"/>
      <c r="CT35" s="68"/>
      <c r="CU35" s="68"/>
      <c r="CV35" s="68"/>
      <c r="CW35" s="68"/>
      <c r="CX35" s="68"/>
      <c r="CY35" s="68"/>
      <c r="CZ35" s="68"/>
      <c r="DA35" s="68"/>
      <c r="DB35" s="68"/>
      <c r="DC35" s="68"/>
      <c r="DD35" s="68"/>
      <c r="DE35" s="68"/>
      <c r="DF35" s="68"/>
    </row>
    <row r="36" spans="1:110" ht="31.5" thickTop="1" thickBot="1" x14ac:dyDescent="0.45">
      <c r="A36" s="242" t="s">
        <v>14</v>
      </c>
      <c r="B36" s="192"/>
      <c r="C36" s="422"/>
      <c r="D36" s="423"/>
      <c r="E36" s="191">
        <f>B36*C67</f>
        <v>0</v>
      </c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  <c r="BQ36" s="68"/>
      <c r="BR36" s="68"/>
      <c r="BS36" s="68"/>
      <c r="BT36" s="68"/>
      <c r="BU36" s="68"/>
      <c r="BV36" s="68"/>
      <c r="BW36" s="68"/>
      <c r="BX36" s="68"/>
      <c r="BY36" s="68"/>
      <c r="BZ36" s="68"/>
      <c r="CA36" s="68"/>
      <c r="CB36" s="68"/>
      <c r="CC36" s="68"/>
      <c r="CD36" s="68"/>
      <c r="CE36" s="68"/>
      <c r="CF36" s="68"/>
      <c r="CG36" s="68"/>
      <c r="CH36" s="68"/>
      <c r="CI36" s="68"/>
      <c r="CJ36" s="68"/>
      <c r="CK36" s="68"/>
      <c r="CL36" s="68"/>
      <c r="CM36" s="68"/>
      <c r="CN36" s="68"/>
      <c r="CO36" s="68"/>
      <c r="CP36" s="68"/>
      <c r="CQ36" s="68"/>
      <c r="CR36" s="68"/>
      <c r="CS36" s="68"/>
      <c r="CT36" s="68"/>
      <c r="CU36" s="68"/>
      <c r="CV36" s="68"/>
      <c r="CW36" s="68"/>
      <c r="CX36" s="68"/>
      <c r="CY36" s="68"/>
      <c r="CZ36" s="68"/>
      <c r="DA36" s="68"/>
      <c r="DB36" s="68"/>
      <c r="DC36" s="68"/>
      <c r="DD36" s="68"/>
      <c r="DE36" s="68"/>
      <c r="DF36" s="68"/>
    </row>
    <row r="37" spans="1:110" ht="31.5" thickTop="1" thickBot="1" x14ac:dyDescent="0.45">
      <c r="A37" s="243" t="s">
        <v>51</v>
      </c>
      <c r="B37" s="194"/>
      <c r="C37" s="422"/>
      <c r="D37" s="423"/>
      <c r="E37" s="191">
        <f>B37*C67</f>
        <v>0</v>
      </c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8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8"/>
      <c r="CP37" s="68"/>
      <c r="CQ37" s="68"/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B37" s="68"/>
      <c r="DC37" s="68"/>
      <c r="DD37" s="68"/>
      <c r="DE37" s="68"/>
      <c r="DF37" s="68"/>
    </row>
    <row r="38" spans="1:110" ht="37.5" customHeight="1" thickTop="1" thickBot="1" x14ac:dyDescent="0.3">
      <c r="A38" s="249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8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8"/>
      <c r="CP38" s="68"/>
      <c r="CQ38" s="68"/>
      <c r="CR38" s="68"/>
      <c r="CS38" s="68"/>
      <c r="CT38" s="68"/>
      <c r="CU38" s="68"/>
      <c r="CV38" s="68"/>
      <c r="CW38" s="68"/>
      <c r="CX38" s="68"/>
      <c r="CY38" s="68"/>
      <c r="CZ38" s="68"/>
      <c r="DA38" s="68"/>
      <c r="DB38" s="68"/>
      <c r="DC38" s="68"/>
      <c r="DD38" s="68"/>
      <c r="DE38" s="68"/>
      <c r="DF38" s="68"/>
    </row>
    <row r="39" spans="1:110" ht="31.5" thickTop="1" thickBot="1" x14ac:dyDescent="0.45">
      <c r="A39" s="242" t="s">
        <v>114</v>
      </c>
      <c r="B39" s="192"/>
      <c r="C39" s="422"/>
      <c r="D39" s="423"/>
      <c r="E39" s="191">
        <f>B39*C67</f>
        <v>0</v>
      </c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8"/>
      <c r="BO39" s="68"/>
      <c r="BP39" s="68"/>
      <c r="BQ39" s="68"/>
      <c r="BR39" s="68"/>
      <c r="BS39" s="68"/>
      <c r="BT39" s="68"/>
      <c r="BU39" s="68"/>
      <c r="BV39" s="68"/>
      <c r="BW39" s="68"/>
      <c r="BX39" s="68"/>
      <c r="BY39" s="68"/>
      <c r="BZ39" s="68"/>
      <c r="CA39" s="68"/>
      <c r="CB39" s="68"/>
      <c r="CC39" s="68"/>
      <c r="CD39" s="68"/>
      <c r="CE39" s="68"/>
      <c r="CF39" s="68"/>
      <c r="CG39" s="68"/>
      <c r="CH39" s="68"/>
      <c r="CI39" s="68"/>
      <c r="CJ39" s="68"/>
      <c r="CK39" s="68"/>
      <c r="CL39" s="68"/>
      <c r="CM39" s="68"/>
      <c r="CN39" s="68"/>
      <c r="CO39" s="68"/>
      <c r="CP39" s="68"/>
      <c r="CQ39" s="68"/>
      <c r="CR39" s="68"/>
      <c r="CS39" s="68"/>
      <c r="CT39" s="68"/>
      <c r="CU39" s="68"/>
      <c r="CV39" s="68"/>
      <c r="CW39" s="68"/>
      <c r="CX39" s="68"/>
      <c r="CY39" s="68"/>
      <c r="CZ39" s="68"/>
      <c r="DA39" s="68"/>
      <c r="DB39" s="68"/>
      <c r="DC39" s="68"/>
      <c r="DD39" s="68"/>
      <c r="DE39" s="68"/>
      <c r="DF39" s="68"/>
    </row>
    <row r="40" spans="1:110" ht="31.5" thickTop="1" thickBot="1" x14ac:dyDescent="0.45">
      <c r="A40" s="242" t="s">
        <v>15</v>
      </c>
      <c r="B40" s="192"/>
      <c r="C40" s="422"/>
      <c r="D40" s="423"/>
      <c r="E40" s="191">
        <f>B40*C67</f>
        <v>0</v>
      </c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  <c r="BO40" s="68"/>
      <c r="BP40" s="68"/>
      <c r="BQ40" s="68"/>
      <c r="BR40" s="68"/>
      <c r="BS40" s="68"/>
      <c r="BT40" s="68"/>
      <c r="BU40" s="68"/>
      <c r="BV40" s="68"/>
      <c r="BW40" s="68"/>
      <c r="BX40" s="68"/>
      <c r="BY40" s="68"/>
      <c r="BZ40" s="68"/>
      <c r="CA40" s="68"/>
      <c r="CB40" s="68"/>
      <c r="CC40" s="68"/>
      <c r="CD40" s="68"/>
      <c r="CE40" s="68"/>
      <c r="CF40" s="68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B40" s="68"/>
      <c r="DC40" s="68"/>
      <c r="DD40" s="68"/>
      <c r="DE40" s="68"/>
      <c r="DF40" s="68"/>
    </row>
    <row r="41" spans="1:110" ht="31.5" thickTop="1" thickBot="1" x14ac:dyDescent="0.45">
      <c r="A41" s="242" t="s">
        <v>17</v>
      </c>
      <c r="B41" s="192"/>
      <c r="C41" s="422"/>
      <c r="D41" s="423"/>
      <c r="E41" s="191">
        <f>B41*C67</f>
        <v>0</v>
      </c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  <c r="CW41" s="68"/>
      <c r="CX41" s="68"/>
      <c r="CY41" s="68"/>
      <c r="CZ41" s="68"/>
      <c r="DA41" s="68"/>
      <c r="DB41" s="68"/>
      <c r="DC41" s="68"/>
      <c r="DD41" s="68"/>
      <c r="DE41" s="68"/>
      <c r="DF41" s="68"/>
    </row>
    <row r="42" spans="1:110" ht="31.5" thickTop="1" thickBot="1" x14ac:dyDescent="0.45">
      <c r="A42" s="242" t="s">
        <v>18</v>
      </c>
      <c r="B42" s="192"/>
      <c r="C42" s="422"/>
      <c r="D42" s="423"/>
      <c r="E42" s="191">
        <f>B42*C67</f>
        <v>0</v>
      </c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  <c r="BQ42" s="68"/>
      <c r="BR42" s="68"/>
      <c r="BS42" s="68"/>
      <c r="BT42" s="68"/>
      <c r="BU42" s="68"/>
      <c r="BV42" s="68"/>
      <c r="BW42" s="68"/>
      <c r="BX42" s="68"/>
      <c r="BY42" s="68"/>
      <c r="BZ42" s="68"/>
      <c r="CA42" s="68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68"/>
      <c r="CT42" s="68"/>
      <c r="CU42" s="68"/>
      <c r="CV42" s="68"/>
      <c r="CW42" s="68"/>
      <c r="CX42" s="68"/>
      <c r="CY42" s="68"/>
      <c r="CZ42" s="68"/>
      <c r="DA42" s="68"/>
      <c r="DB42" s="68"/>
      <c r="DC42" s="68"/>
      <c r="DD42" s="68"/>
      <c r="DE42" s="68"/>
      <c r="DF42" s="68"/>
    </row>
    <row r="43" spans="1:110" ht="39" customHeight="1" thickTop="1" thickBot="1" x14ac:dyDescent="0.3">
      <c r="A43" s="249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68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</row>
    <row r="44" spans="1:110" ht="31.5" thickTop="1" thickBot="1" x14ac:dyDescent="0.45">
      <c r="A44" s="242" t="s">
        <v>443</v>
      </c>
      <c r="B44" s="192"/>
      <c r="C44" s="422"/>
      <c r="D44" s="423"/>
      <c r="E44" s="191">
        <f>B44*C67</f>
        <v>0</v>
      </c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8"/>
      <c r="BO44" s="68"/>
      <c r="BP44" s="68"/>
      <c r="BQ44" s="68"/>
      <c r="BR44" s="68"/>
      <c r="BS44" s="68"/>
      <c r="BT44" s="68"/>
      <c r="BU44" s="68"/>
      <c r="BV44" s="68"/>
      <c r="BW44" s="68"/>
      <c r="BX44" s="68"/>
      <c r="BY44" s="68"/>
      <c r="BZ44" s="68"/>
      <c r="CA44" s="68"/>
      <c r="CB44" s="68"/>
      <c r="CC44" s="68"/>
      <c r="CD44" s="68"/>
      <c r="CE44" s="68"/>
      <c r="CF44" s="68"/>
      <c r="CG44" s="68"/>
      <c r="CH44" s="68"/>
      <c r="CI44" s="68"/>
      <c r="CJ44" s="68"/>
      <c r="CK44" s="68"/>
      <c r="CL44" s="68"/>
      <c r="CM44" s="68"/>
      <c r="CN44" s="68"/>
      <c r="CO44" s="68"/>
      <c r="CP44" s="68"/>
      <c r="CQ44" s="68"/>
      <c r="CR44" s="68"/>
      <c r="CS44" s="68"/>
      <c r="CT44" s="68"/>
      <c r="CU44" s="68"/>
      <c r="CV44" s="68"/>
      <c r="CW44" s="68"/>
      <c r="CX44" s="68"/>
      <c r="CY44" s="68"/>
      <c r="CZ44" s="68"/>
      <c r="DA44" s="68"/>
      <c r="DB44" s="68"/>
      <c r="DC44" s="68"/>
      <c r="DD44" s="68"/>
      <c r="DE44" s="68"/>
      <c r="DF44" s="68"/>
    </row>
    <row r="45" spans="1:110" ht="31.5" thickTop="1" thickBot="1" x14ac:dyDescent="0.45">
      <c r="A45" s="242" t="s">
        <v>444</v>
      </c>
      <c r="B45" s="192"/>
      <c r="C45" s="422"/>
      <c r="D45" s="423"/>
      <c r="E45" s="191">
        <f>B45*C67</f>
        <v>0</v>
      </c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68"/>
      <c r="CX45" s="68"/>
      <c r="CY45" s="68"/>
      <c r="CZ45" s="68"/>
      <c r="DA45" s="68"/>
      <c r="DB45" s="68"/>
      <c r="DC45" s="68"/>
      <c r="DD45" s="68"/>
      <c r="DE45" s="68"/>
      <c r="DF45" s="68"/>
    </row>
    <row r="46" spans="1:110" ht="31.5" thickTop="1" thickBot="1" x14ac:dyDescent="0.45">
      <c r="A46" s="242" t="s">
        <v>117</v>
      </c>
      <c r="B46" s="192"/>
      <c r="C46" s="422"/>
      <c r="D46" s="423"/>
      <c r="E46" s="191">
        <f>B46*C67</f>
        <v>0</v>
      </c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  <c r="BQ46" s="68"/>
      <c r="BR46" s="68"/>
      <c r="BS46" s="68"/>
      <c r="BT46" s="68"/>
      <c r="BU46" s="68"/>
      <c r="BV46" s="68"/>
      <c r="BW46" s="68"/>
      <c r="BX46" s="68"/>
      <c r="BY46" s="68"/>
      <c r="BZ46" s="68"/>
      <c r="CA46" s="68"/>
      <c r="CB46" s="68"/>
      <c r="CC46" s="68"/>
      <c r="CD46" s="68"/>
      <c r="CE46" s="68"/>
      <c r="CF46" s="68"/>
      <c r="CG46" s="68"/>
      <c r="CH46" s="68"/>
      <c r="CI46" s="68"/>
      <c r="CJ46" s="68"/>
      <c r="CK46" s="68"/>
      <c r="CL46" s="68"/>
      <c r="CM46" s="68"/>
      <c r="CN46" s="68"/>
      <c r="CO46" s="68"/>
      <c r="CP46" s="68"/>
      <c r="CQ46" s="68"/>
      <c r="CR46" s="68"/>
      <c r="CS46" s="68"/>
      <c r="CT46" s="68"/>
      <c r="CU46" s="68"/>
      <c r="CV46" s="68"/>
      <c r="CW46" s="68"/>
      <c r="CX46" s="68"/>
      <c r="CY46" s="68"/>
      <c r="CZ46" s="68"/>
      <c r="DA46" s="68"/>
      <c r="DB46" s="68"/>
      <c r="DC46" s="68"/>
      <c r="DD46" s="68"/>
      <c r="DE46" s="68"/>
      <c r="DF46" s="68"/>
    </row>
    <row r="47" spans="1:110" ht="32.25" customHeight="1" thickTop="1" thickBot="1" x14ac:dyDescent="0.3">
      <c r="A47" s="249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/>
      <c r="CQ47" s="68"/>
      <c r="CR47" s="68"/>
      <c r="CS47" s="68"/>
      <c r="CT47" s="68"/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</row>
    <row r="48" spans="1:110" ht="31.5" thickTop="1" thickBot="1" x14ac:dyDescent="0.45">
      <c r="A48" s="242" t="s">
        <v>446</v>
      </c>
      <c r="B48" s="192"/>
      <c r="C48" s="422"/>
      <c r="D48" s="423"/>
      <c r="E48" s="191">
        <f>B48*C67</f>
        <v>0</v>
      </c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8"/>
      <c r="BO48" s="68"/>
      <c r="BP48" s="68"/>
      <c r="BQ48" s="68"/>
      <c r="BR48" s="68"/>
      <c r="BS48" s="68"/>
      <c r="BT48" s="68"/>
      <c r="BU48" s="68"/>
      <c r="BV48" s="68"/>
      <c r="BW48" s="68"/>
      <c r="BX48" s="68"/>
      <c r="BY48" s="68"/>
      <c r="BZ48" s="68"/>
      <c r="CA48" s="68"/>
      <c r="CB48" s="68"/>
      <c r="CC48" s="68"/>
      <c r="CD48" s="68"/>
      <c r="CE48" s="68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</row>
    <row r="49" spans="1:110" ht="31.5" thickTop="1" thickBot="1" x14ac:dyDescent="0.45">
      <c r="A49" s="242" t="s">
        <v>447</v>
      </c>
      <c r="B49" s="192"/>
      <c r="C49" s="422"/>
      <c r="D49" s="423"/>
      <c r="E49" s="191">
        <f>B49*C67</f>
        <v>0</v>
      </c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  <c r="CJ49" s="68"/>
      <c r="CK49" s="68"/>
      <c r="CL49" s="68"/>
      <c r="CM49" s="68"/>
      <c r="CN49" s="68"/>
      <c r="CO49" s="68"/>
      <c r="CP49" s="68"/>
      <c r="CQ49" s="68"/>
      <c r="CR49" s="68"/>
      <c r="CS49" s="68"/>
      <c r="CT49" s="68"/>
      <c r="CU49" s="68"/>
      <c r="CV49" s="68"/>
      <c r="CW49" s="68"/>
      <c r="CX49" s="68"/>
      <c r="CY49" s="68"/>
      <c r="CZ49" s="68"/>
      <c r="DA49" s="68"/>
      <c r="DB49" s="68"/>
      <c r="DC49" s="68"/>
      <c r="DD49" s="68"/>
      <c r="DE49" s="68"/>
      <c r="DF49" s="68"/>
    </row>
    <row r="50" spans="1:110" ht="31.5" thickTop="1" thickBot="1" x14ac:dyDescent="0.45">
      <c r="A50" s="242" t="s">
        <v>448</v>
      </c>
      <c r="B50" s="192"/>
      <c r="C50" s="422"/>
      <c r="D50" s="423"/>
      <c r="E50" s="191">
        <f>B50*C67</f>
        <v>0</v>
      </c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8"/>
      <c r="BO50" s="68"/>
      <c r="BP50" s="68"/>
      <c r="BQ50" s="68"/>
      <c r="BR50" s="68"/>
      <c r="BS50" s="68"/>
      <c r="BT50" s="68"/>
      <c r="BU50" s="68"/>
      <c r="BV50" s="68"/>
      <c r="BW50" s="68"/>
      <c r="BX50" s="68"/>
      <c r="BY50" s="68"/>
      <c r="BZ50" s="68"/>
      <c r="CA50" s="68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68"/>
      <c r="CX50" s="68"/>
      <c r="CY50" s="68"/>
      <c r="CZ50" s="68"/>
      <c r="DA50" s="68"/>
      <c r="DB50" s="68"/>
      <c r="DC50" s="68"/>
      <c r="DD50" s="68"/>
      <c r="DE50" s="68"/>
      <c r="DF50" s="68"/>
    </row>
    <row r="51" spans="1:110" ht="31.5" thickTop="1" thickBot="1" x14ac:dyDescent="0.45">
      <c r="A51" s="242" t="s">
        <v>445</v>
      </c>
      <c r="B51" s="192"/>
      <c r="C51" s="422"/>
      <c r="D51" s="423"/>
      <c r="E51" s="191">
        <f>B51*C67</f>
        <v>0</v>
      </c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68"/>
      <c r="CX51" s="68"/>
      <c r="CY51" s="68"/>
      <c r="CZ51" s="68"/>
      <c r="DA51" s="68"/>
      <c r="DB51" s="68"/>
      <c r="DC51" s="68"/>
      <c r="DD51" s="68"/>
      <c r="DE51" s="68"/>
      <c r="DF51" s="68"/>
    </row>
    <row r="52" spans="1:110" ht="35.25" thickTop="1" thickBot="1" x14ac:dyDescent="0.55000000000000004">
      <c r="A52" s="242" t="s">
        <v>23</v>
      </c>
      <c r="B52" s="192"/>
      <c r="C52" s="422"/>
      <c r="D52" s="423"/>
      <c r="E52" s="191">
        <f>B52*C67</f>
        <v>0</v>
      </c>
      <c r="F52" s="69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/>
      <c r="CZ52" s="68"/>
      <c r="DA52" s="68"/>
      <c r="DB52" s="68"/>
      <c r="DC52" s="68"/>
      <c r="DD52" s="68"/>
      <c r="DE52" s="68"/>
      <c r="DF52" s="68"/>
    </row>
    <row r="53" spans="1:110" ht="33.75" customHeight="1" thickTop="1" thickBot="1" x14ac:dyDescent="0.3">
      <c r="A53" s="249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8"/>
      <c r="BO53" s="68"/>
      <c r="BP53" s="68"/>
      <c r="BQ53" s="68"/>
      <c r="BR53" s="68"/>
      <c r="BS53" s="68"/>
      <c r="BT53" s="68"/>
      <c r="BU53" s="68"/>
      <c r="BV53" s="68"/>
      <c r="BW53" s="68"/>
      <c r="BX53" s="68"/>
      <c r="BY53" s="68"/>
      <c r="BZ53" s="68"/>
      <c r="CA53" s="68"/>
      <c r="CB53" s="68"/>
      <c r="CC53" s="68"/>
      <c r="CD53" s="68"/>
      <c r="CE53" s="68"/>
      <c r="CF53" s="68"/>
      <c r="CG53" s="68"/>
      <c r="CH53" s="68"/>
      <c r="CI53" s="68"/>
      <c r="CJ53" s="68"/>
      <c r="CK53" s="68"/>
      <c r="CL53" s="68"/>
      <c r="CM53" s="68"/>
      <c r="CN53" s="68"/>
      <c r="CO53" s="68"/>
      <c r="CP53" s="68"/>
      <c r="CQ53" s="68"/>
      <c r="CR53" s="68"/>
      <c r="CS53" s="68"/>
      <c r="CT53" s="68"/>
      <c r="CU53" s="68"/>
      <c r="CV53" s="68"/>
      <c r="CW53" s="68"/>
      <c r="CX53" s="68"/>
      <c r="CY53" s="68"/>
      <c r="CZ53" s="68"/>
      <c r="DA53" s="68"/>
      <c r="DB53" s="68"/>
      <c r="DC53" s="68"/>
      <c r="DD53" s="68"/>
      <c r="DE53" s="68"/>
      <c r="DF53" s="68"/>
    </row>
    <row r="54" spans="1:110" ht="31.5" thickTop="1" thickBot="1" x14ac:dyDescent="0.45">
      <c r="A54" s="244" t="s">
        <v>449</v>
      </c>
      <c r="B54" s="188"/>
      <c r="C54" s="422"/>
      <c r="D54" s="423"/>
      <c r="E54" s="191">
        <f>B54*C67</f>
        <v>0</v>
      </c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8"/>
      <c r="BO54" s="68"/>
      <c r="BP54" s="68"/>
      <c r="BQ54" s="68"/>
      <c r="BR54" s="68"/>
      <c r="BS54" s="68"/>
      <c r="BT54" s="68"/>
      <c r="BU54" s="68"/>
      <c r="BV54" s="68"/>
      <c r="BW54" s="68"/>
      <c r="BX54" s="68"/>
      <c r="BY54" s="68"/>
      <c r="BZ54" s="68"/>
      <c r="CA54" s="68"/>
      <c r="CB54" s="68"/>
      <c r="CC54" s="68"/>
      <c r="CD54" s="68"/>
      <c r="CE54" s="68"/>
      <c r="CF54" s="68"/>
      <c r="CG54" s="68"/>
      <c r="CH54" s="68"/>
      <c r="CI54" s="68"/>
      <c r="CJ54" s="68"/>
      <c r="CK54" s="68"/>
      <c r="CL54" s="68"/>
      <c r="CM54" s="68"/>
      <c r="CN54" s="68"/>
      <c r="CO54" s="68"/>
      <c r="CP54" s="68"/>
      <c r="CQ54" s="68"/>
      <c r="CR54" s="68"/>
      <c r="CS54" s="68"/>
      <c r="CT54" s="68"/>
      <c r="CU54" s="68"/>
      <c r="CV54" s="68"/>
      <c r="CW54" s="68"/>
      <c r="CX54" s="68"/>
      <c r="CY54" s="68"/>
      <c r="CZ54" s="68"/>
      <c r="DA54" s="68"/>
      <c r="DB54" s="68"/>
      <c r="DC54" s="68"/>
      <c r="DD54" s="68"/>
      <c r="DE54" s="68"/>
      <c r="DF54" s="68"/>
    </row>
    <row r="55" spans="1:110" ht="31.5" thickTop="1" thickBot="1" x14ac:dyDescent="0.45">
      <c r="A55" s="244" t="s">
        <v>25</v>
      </c>
      <c r="B55" s="188"/>
      <c r="C55" s="422"/>
      <c r="D55" s="423"/>
      <c r="E55" s="191">
        <f>B55*C67</f>
        <v>0</v>
      </c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8"/>
      <c r="BO55" s="68"/>
      <c r="BP55" s="68"/>
      <c r="BQ55" s="68"/>
      <c r="BR55" s="68"/>
      <c r="BS55" s="68"/>
      <c r="BT55" s="68"/>
      <c r="BU55" s="68"/>
      <c r="BV55" s="68"/>
      <c r="BW55" s="68"/>
      <c r="BX55" s="68"/>
      <c r="BY55" s="68"/>
      <c r="BZ55" s="68"/>
      <c r="CA55" s="68"/>
      <c r="CB55" s="68"/>
      <c r="CC55" s="68"/>
      <c r="CD55" s="68"/>
      <c r="CE55" s="68"/>
      <c r="CF55" s="68"/>
      <c r="CG55" s="68"/>
      <c r="CH55" s="68"/>
      <c r="CI55" s="68"/>
      <c r="CJ55" s="68"/>
      <c r="CK55" s="68"/>
      <c r="CL55" s="68"/>
      <c r="CM55" s="68"/>
      <c r="CN55" s="68"/>
      <c r="CO55" s="68"/>
      <c r="CP55" s="68"/>
      <c r="CQ55" s="68"/>
      <c r="CR55" s="68"/>
      <c r="CS55" s="68"/>
      <c r="CT55" s="68"/>
      <c r="CU55" s="68"/>
      <c r="CV55" s="68"/>
      <c r="CW55" s="68"/>
      <c r="CX55" s="68"/>
      <c r="CY55" s="68"/>
      <c r="CZ55" s="68"/>
      <c r="DA55" s="68"/>
      <c r="DB55" s="68"/>
      <c r="DC55" s="68"/>
      <c r="DD55" s="68"/>
      <c r="DE55" s="68"/>
      <c r="DF55" s="68"/>
    </row>
    <row r="56" spans="1:110" ht="31.5" thickTop="1" thickBot="1" x14ac:dyDescent="0.45">
      <c r="A56" s="244" t="s">
        <v>26</v>
      </c>
      <c r="B56" s="188"/>
      <c r="C56" s="422"/>
      <c r="D56" s="423"/>
      <c r="E56" s="191">
        <f>B56*C67</f>
        <v>0</v>
      </c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8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8"/>
      <c r="CP56" s="68"/>
      <c r="CQ56" s="68"/>
      <c r="CR56" s="68"/>
      <c r="CS56" s="68"/>
      <c r="CT56" s="68"/>
      <c r="CU56" s="68"/>
      <c r="CV56" s="68"/>
      <c r="CW56" s="68"/>
      <c r="CX56" s="68"/>
      <c r="CY56" s="68"/>
      <c r="CZ56" s="68"/>
      <c r="DA56" s="68"/>
      <c r="DB56" s="68"/>
      <c r="DC56" s="68"/>
      <c r="DD56" s="68"/>
      <c r="DE56" s="68"/>
      <c r="DF56" s="68"/>
    </row>
    <row r="57" spans="1:110" ht="31.5" thickTop="1" thickBot="1" x14ac:dyDescent="0.45">
      <c r="A57" s="244" t="s">
        <v>27</v>
      </c>
      <c r="B57" s="188"/>
      <c r="C57" s="422"/>
      <c r="D57" s="423"/>
      <c r="E57" s="191">
        <f>B57*(C67)</f>
        <v>0</v>
      </c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8"/>
      <c r="CP57" s="68"/>
      <c r="CQ57" s="68"/>
      <c r="CR57" s="68"/>
      <c r="CS57" s="68"/>
      <c r="CT57" s="68"/>
      <c r="CU57" s="68"/>
      <c r="CV57" s="68"/>
      <c r="CW57" s="68"/>
      <c r="CX57" s="68"/>
      <c r="CY57" s="68"/>
      <c r="CZ57" s="68"/>
      <c r="DA57" s="68"/>
      <c r="DB57" s="68"/>
      <c r="DC57" s="68"/>
      <c r="DD57" s="68"/>
      <c r="DE57" s="68"/>
      <c r="DF57" s="68"/>
    </row>
    <row r="58" spans="1:110" ht="31.5" thickTop="1" thickBot="1" x14ac:dyDescent="0.45">
      <c r="A58" s="244" t="s">
        <v>28</v>
      </c>
      <c r="B58" s="188"/>
      <c r="C58" s="422"/>
      <c r="D58" s="423"/>
      <c r="E58" s="191">
        <f>B58*(C67)</f>
        <v>0</v>
      </c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</row>
    <row r="59" spans="1:110" ht="27.75" customHeight="1" thickTop="1" thickBot="1" x14ac:dyDescent="0.3">
      <c r="A59" s="249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8"/>
      <c r="CC59" s="68"/>
      <c r="CD59" s="68"/>
      <c r="CE59" s="68"/>
      <c r="CF59" s="68"/>
      <c r="CG59" s="68"/>
      <c r="CH59" s="68"/>
      <c r="CI59" s="68"/>
      <c r="CJ59" s="68"/>
      <c r="CK59" s="68"/>
      <c r="CL59" s="68"/>
      <c r="CM59" s="68"/>
      <c r="CN59" s="68"/>
      <c r="CO59" s="68"/>
      <c r="CP59" s="68"/>
      <c r="CQ59" s="68"/>
      <c r="CR59" s="68"/>
      <c r="CS59" s="68"/>
      <c r="CT59" s="68"/>
      <c r="CU59" s="68"/>
      <c r="CV59" s="68"/>
      <c r="CW59" s="68"/>
      <c r="CX59" s="68"/>
      <c r="CY59" s="68"/>
      <c r="CZ59" s="68"/>
      <c r="DA59" s="68"/>
      <c r="DB59" s="68"/>
      <c r="DC59" s="68"/>
      <c r="DD59" s="68"/>
      <c r="DE59" s="68"/>
      <c r="DF59" s="68"/>
    </row>
    <row r="60" spans="1:110" ht="31.5" thickTop="1" thickBot="1" x14ac:dyDescent="0.45">
      <c r="A60" s="244" t="s">
        <v>52</v>
      </c>
      <c r="B60" s="192"/>
      <c r="C60" s="422"/>
      <c r="D60" s="423"/>
      <c r="E60" s="191">
        <f>B60*C67</f>
        <v>0</v>
      </c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8"/>
      <c r="CC60" s="68"/>
      <c r="CD60" s="68"/>
      <c r="CE60" s="68"/>
      <c r="CF60" s="68"/>
      <c r="CG60" s="68"/>
      <c r="CH60" s="68"/>
      <c r="CI60" s="68"/>
      <c r="CJ60" s="68"/>
      <c r="CK60" s="68"/>
      <c r="CL60" s="68"/>
      <c r="CM60" s="68"/>
      <c r="CN60" s="68"/>
      <c r="CO60" s="68"/>
      <c r="CP60" s="68"/>
      <c r="CQ60" s="68"/>
      <c r="CR60" s="68"/>
      <c r="CS60" s="68"/>
      <c r="CT60" s="68"/>
      <c r="CU60" s="68"/>
      <c r="CV60" s="68"/>
      <c r="CW60" s="68"/>
      <c r="CX60" s="68"/>
      <c r="CY60" s="68"/>
      <c r="CZ60" s="68"/>
      <c r="DA60" s="68"/>
      <c r="DB60" s="68"/>
      <c r="DC60" s="68"/>
      <c r="DD60" s="68"/>
      <c r="DE60" s="68"/>
      <c r="DF60" s="68"/>
    </row>
    <row r="61" spans="1:110" ht="31.5" thickTop="1" thickBot="1" x14ac:dyDescent="0.45">
      <c r="A61" s="244" t="s">
        <v>262</v>
      </c>
      <c r="B61" s="192"/>
      <c r="C61" s="422"/>
      <c r="D61" s="423"/>
      <c r="E61" s="191">
        <f>B61*(C67)</f>
        <v>0</v>
      </c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</row>
    <row r="62" spans="1:110" ht="31.5" thickTop="1" thickBot="1" x14ac:dyDescent="0.45">
      <c r="A62" s="244" t="s">
        <v>92</v>
      </c>
      <c r="B62" s="192"/>
      <c r="C62" s="422"/>
      <c r="D62" s="423"/>
      <c r="E62" s="191">
        <f>B62*(C67)</f>
        <v>0</v>
      </c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</row>
    <row r="63" spans="1:110" ht="48" thickTop="1" thickBot="1" x14ac:dyDescent="0.75">
      <c r="A63" s="245" t="s">
        <v>45</v>
      </c>
      <c r="B63" s="246">
        <f>SUM(B31:B62)+ SUM(B26:B29)/5 + SUM(B20:B24)</f>
        <v>0</v>
      </c>
      <c r="C63" s="435">
        <f>SUM(E20:E62)</f>
        <v>0</v>
      </c>
      <c r="D63" s="436"/>
      <c r="E63" s="437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/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68"/>
      <c r="CY63" s="68"/>
      <c r="CZ63" s="68"/>
      <c r="DA63" s="68"/>
      <c r="DB63" s="68"/>
      <c r="DC63" s="68"/>
      <c r="DD63" s="68"/>
      <c r="DE63" s="68"/>
      <c r="DF63" s="68"/>
    </row>
    <row r="64" spans="1:110" ht="48" thickTop="1" thickBot="1" x14ac:dyDescent="0.75">
      <c r="A64" s="438" t="s">
        <v>210</v>
      </c>
      <c r="B64" s="439"/>
      <c r="C64" s="440">
        <v>0</v>
      </c>
      <c r="D64" s="441"/>
      <c r="E64" s="442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</row>
    <row r="65" spans="1:110" ht="48" thickTop="1" thickBot="1" x14ac:dyDescent="0.75">
      <c r="A65" s="438" t="s">
        <v>211</v>
      </c>
      <c r="B65" s="439"/>
      <c r="C65" s="470"/>
      <c r="D65" s="471"/>
      <c r="E65" s="472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</row>
    <row r="66" spans="1:110" ht="37.5" hidden="1" thickTop="1" thickBot="1" x14ac:dyDescent="0.6">
      <c r="A66" s="247" t="s">
        <v>212</v>
      </c>
      <c r="B66" s="431"/>
      <c r="C66" s="432"/>
      <c r="D66" s="248"/>
      <c r="E66" s="24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</row>
    <row r="67" spans="1:110" ht="37.5" thickTop="1" thickBot="1" x14ac:dyDescent="0.3">
      <c r="A67" s="433" t="s">
        <v>221</v>
      </c>
      <c r="B67" s="433"/>
      <c r="C67" s="434">
        <v>2.5</v>
      </c>
      <c r="D67" s="434"/>
      <c r="E67" s="434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</row>
    <row r="68" spans="1:110" ht="15.75" thickTop="1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</row>
    <row r="69" spans="1:110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  <c r="CW69" s="68"/>
      <c r="CX69" s="68"/>
      <c r="CY69" s="68"/>
      <c r="CZ69" s="68"/>
      <c r="DA69" s="68"/>
      <c r="DB69" s="68"/>
      <c r="DC69" s="68"/>
      <c r="DD69" s="68"/>
      <c r="DE69" s="68"/>
      <c r="DF69" s="68"/>
    </row>
    <row r="70" spans="1:110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8"/>
      <c r="BO70" s="68"/>
      <c r="BP70" s="68"/>
      <c r="BQ70" s="68"/>
      <c r="BR70" s="68"/>
      <c r="BS70" s="68"/>
      <c r="BT70" s="68"/>
      <c r="BU70" s="68"/>
      <c r="BV70" s="68"/>
      <c r="BW70" s="68"/>
      <c r="BX70" s="68"/>
      <c r="BY70" s="68"/>
      <c r="BZ70" s="68"/>
      <c r="CA70" s="68"/>
      <c r="CB70" s="68"/>
      <c r="CC70" s="68"/>
      <c r="CD70" s="68"/>
      <c r="CE70" s="68"/>
      <c r="CF70" s="68"/>
      <c r="CG70" s="68"/>
      <c r="CH70" s="68"/>
      <c r="CI70" s="68"/>
      <c r="CJ70" s="68"/>
      <c r="CK70" s="68"/>
      <c r="CL70" s="68"/>
      <c r="CM70" s="68"/>
      <c r="CN70" s="68"/>
      <c r="CO70" s="68"/>
      <c r="CP70" s="68"/>
      <c r="CQ70" s="68"/>
      <c r="CR70" s="68"/>
      <c r="CS70" s="68"/>
      <c r="CT70" s="68"/>
      <c r="CU70" s="68"/>
      <c r="CV70" s="68"/>
      <c r="CW70" s="68"/>
      <c r="CX70" s="68"/>
      <c r="CY70" s="68"/>
      <c r="CZ70" s="68"/>
      <c r="DA70" s="68"/>
      <c r="DB70" s="68"/>
      <c r="DC70" s="68"/>
      <c r="DD70" s="68"/>
      <c r="DE70" s="68"/>
      <c r="DF70" s="68"/>
    </row>
    <row r="71" spans="1:110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8"/>
      <c r="CG71" s="68"/>
      <c r="CH71" s="68"/>
      <c r="CI71" s="68"/>
      <c r="CJ71" s="68"/>
      <c r="CK71" s="68"/>
      <c r="CL71" s="68"/>
      <c r="CM71" s="68"/>
      <c r="CN71" s="68"/>
      <c r="CO71" s="68"/>
      <c r="CP71" s="68"/>
      <c r="CQ71" s="68"/>
      <c r="CR71" s="68"/>
      <c r="CS71" s="68"/>
      <c r="CT71" s="68"/>
      <c r="CU71" s="68"/>
      <c r="CV71" s="68"/>
      <c r="CW71" s="68"/>
      <c r="CX71" s="68"/>
      <c r="CY71" s="68"/>
      <c r="CZ71" s="68"/>
      <c r="DA71" s="68"/>
      <c r="DB71" s="68"/>
      <c r="DC71" s="68"/>
      <c r="DD71" s="68"/>
      <c r="DE71" s="68"/>
      <c r="DF71" s="68"/>
    </row>
    <row r="72" spans="1:110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8"/>
      <c r="BO72" s="68"/>
      <c r="BP72" s="68"/>
      <c r="BQ72" s="68"/>
      <c r="BR72" s="68"/>
      <c r="BS72" s="68"/>
      <c r="BT72" s="68"/>
      <c r="BU72" s="68"/>
      <c r="BV72" s="68"/>
      <c r="BW72" s="68"/>
      <c r="BX72" s="68"/>
      <c r="BY72" s="68"/>
      <c r="BZ72" s="68"/>
      <c r="CA72" s="68"/>
      <c r="CB72" s="68"/>
      <c r="CC72" s="68"/>
      <c r="CD72" s="68"/>
      <c r="CE72" s="68"/>
      <c r="CF72" s="68"/>
      <c r="CG72" s="68"/>
      <c r="CH72" s="68"/>
      <c r="CI72" s="68"/>
      <c r="CJ72" s="68"/>
      <c r="CK72" s="68"/>
      <c r="CL72" s="68"/>
      <c r="CM72" s="68"/>
      <c r="CN72" s="68"/>
      <c r="CO72" s="68"/>
      <c r="CP72" s="68"/>
      <c r="CQ72" s="68"/>
      <c r="CR72" s="68"/>
      <c r="CS72" s="68"/>
      <c r="CT72" s="68"/>
      <c r="CU72" s="68"/>
      <c r="CV72" s="68"/>
      <c r="CW72" s="68"/>
      <c r="CX72" s="68"/>
      <c r="CY72" s="68"/>
      <c r="CZ72" s="68"/>
      <c r="DA72" s="68"/>
      <c r="DB72" s="68"/>
      <c r="DC72" s="68"/>
      <c r="DD72" s="68"/>
      <c r="DE72" s="68"/>
      <c r="DF72" s="68"/>
    </row>
    <row r="73" spans="1:110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</row>
    <row r="74" spans="1:110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  <c r="BM74" s="68"/>
      <c r="BN74" s="68"/>
      <c r="BO74" s="68"/>
      <c r="BP74" s="68"/>
      <c r="BQ74" s="68"/>
      <c r="BR74" s="68"/>
      <c r="BS74" s="68"/>
      <c r="BT74" s="68"/>
      <c r="BU74" s="68"/>
      <c r="BV74" s="68"/>
      <c r="BW74" s="68"/>
      <c r="BX74" s="68"/>
      <c r="BY74" s="68"/>
      <c r="BZ74" s="68"/>
      <c r="CA74" s="68"/>
      <c r="CB74" s="68"/>
      <c r="CC74" s="68"/>
      <c r="CD74" s="68"/>
      <c r="CE74" s="68"/>
      <c r="CF74" s="68"/>
      <c r="CG74" s="68"/>
      <c r="CH74" s="68"/>
      <c r="CI74" s="68"/>
      <c r="CJ74" s="68"/>
      <c r="CK74" s="68"/>
      <c r="CL74" s="68"/>
      <c r="CM74" s="68"/>
      <c r="CN74" s="68"/>
      <c r="CO74" s="68"/>
      <c r="CP74" s="68"/>
      <c r="CQ74" s="68"/>
      <c r="CR74" s="68"/>
      <c r="CS74" s="68"/>
      <c r="CT74" s="68"/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</row>
    <row r="75" spans="1:110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  <c r="BO75" s="68"/>
      <c r="BP75" s="68"/>
      <c r="BQ75" s="68"/>
      <c r="BR75" s="68"/>
      <c r="BS75" s="68"/>
      <c r="BT75" s="68"/>
      <c r="BU75" s="68"/>
      <c r="BV75" s="68"/>
      <c r="BW75" s="68"/>
      <c r="BX75" s="6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/>
      <c r="CL75" s="68"/>
      <c r="CM75" s="68"/>
      <c r="CN75" s="68"/>
      <c r="CO75" s="68"/>
      <c r="CP75" s="68"/>
      <c r="CQ75" s="6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</row>
    <row r="76" spans="1:110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</row>
    <row r="77" spans="1:110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8"/>
      <c r="BX77" s="68"/>
      <c r="BY77" s="68"/>
      <c r="BZ77" s="68"/>
      <c r="CA77" s="68"/>
      <c r="CB77" s="68"/>
      <c r="CC77" s="68"/>
      <c r="CD77" s="68"/>
      <c r="CE77" s="68"/>
      <c r="CF77" s="68"/>
      <c r="CG77" s="68"/>
      <c r="CH77" s="68"/>
      <c r="CI77" s="68"/>
      <c r="CJ77" s="68"/>
      <c r="CK77" s="68"/>
      <c r="CL77" s="68"/>
      <c r="CM77" s="68"/>
      <c r="CN77" s="68"/>
      <c r="CO77" s="68"/>
      <c r="CP77" s="68"/>
      <c r="CQ77" s="68"/>
      <c r="CR77" s="68"/>
      <c r="CS77" s="68"/>
      <c r="CT77" s="68"/>
      <c r="CU77" s="68"/>
      <c r="CV77" s="68"/>
      <c r="CW77" s="68"/>
      <c r="CX77" s="68"/>
      <c r="CY77" s="68"/>
      <c r="CZ77" s="68"/>
      <c r="DA77" s="68"/>
      <c r="DB77" s="68"/>
      <c r="DC77" s="68"/>
      <c r="DD77" s="68"/>
      <c r="DE77" s="68"/>
      <c r="DF77" s="68"/>
    </row>
    <row r="78" spans="1:110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B78" s="68"/>
      <c r="DC78" s="68"/>
      <c r="DD78" s="68"/>
      <c r="DE78" s="68"/>
      <c r="DF78" s="68"/>
    </row>
    <row r="79" spans="1:110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B79" s="68"/>
      <c r="DC79" s="68"/>
      <c r="DD79" s="68"/>
      <c r="DE79" s="68"/>
      <c r="DF79" s="68"/>
    </row>
    <row r="80" spans="1:110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</row>
    <row r="81" spans="1:110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  <c r="CE81" s="68"/>
      <c r="CF81" s="68"/>
      <c r="CG81" s="68"/>
      <c r="CH81" s="68"/>
      <c r="CI81" s="68"/>
      <c r="CJ81" s="68"/>
      <c r="CK81" s="68"/>
      <c r="CL81" s="68"/>
      <c r="CM81" s="68"/>
      <c r="CN81" s="68"/>
      <c r="CO81" s="68"/>
      <c r="CP81" s="68"/>
      <c r="CQ81" s="68"/>
      <c r="CR81" s="68"/>
      <c r="CS81" s="68"/>
      <c r="CT81" s="68"/>
      <c r="CU81" s="68"/>
      <c r="CV81" s="68"/>
      <c r="CW81" s="68"/>
      <c r="CX81" s="68"/>
      <c r="CY81" s="68"/>
      <c r="CZ81" s="68"/>
      <c r="DA81" s="68"/>
      <c r="DB81" s="68"/>
      <c r="DC81" s="68"/>
      <c r="DD81" s="68"/>
      <c r="DE81" s="68"/>
      <c r="DF81" s="68"/>
    </row>
    <row r="82" spans="1:110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  <c r="CE82" s="68"/>
      <c r="CF82" s="68"/>
      <c r="CG82" s="68"/>
      <c r="CH82" s="68"/>
      <c r="CI82" s="68"/>
      <c r="CJ82" s="68"/>
      <c r="CK82" s="68"/>
      <c r="CL82" s="68"/>
      <c r="CM82" s="68"/>
      <c r="CN82" s="68"/>
      <c r="CO82" s="68"/>
      <c r="CP82" s="68"/>
      <c r="CQ82" s="68"/>
      <c r="CR82" s="68"/>
      <c r="CS82" s="68"/>
      <c r="CT82" s="68"/>
      <c r="CU82" s="68"/>
      <c r="CV82" s="68"/>
      <c r="CW82" s="68"/>
      <c r="CX82" s="68"/>
      <c r="CY82" s="68"/>
      <c r="CZ82" s="68"/>
      <c r="DA82" s="68"/>
      <c r="DB82" s="68"/>
      <c r="DC82" s="68"/>
      <c r="DD82" s="68"/>
      <c r="DE82" s="68"/>
      <c r="DF82" s="68"/>
    </row>
    <row r="83" spans="1:110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8"/>
      <c r="BX83" s="68"/>
      <c r="BY83" s="68"/>
      <c r="BZ83" s="68"/>
      <c r="CA83" s="68"/>
      <c r="CB83" s="68"/>
      <c r="CC83" s="68"/>
      <c r="CD83" s="68"/>
      <c r="CE83" s="68"/>
      <c r="CF83" s="68"/>
      <c r="CG83" s="68"/>
      <c r="CH83" s="68"/>
      <c r="CI83" s="68"/>
      <c r="CJ83" s="68"/>
      <c r="CK83" s="68"/>
      <c r="CL83" s="68"/>
      <c r="CM83" s="68"/>
      <c r="CN83" s="68"/>
      <c r="CO83" s="68"/>
      <c r="CP83" s="68"/>
      <c r="CQ83" s="68"/>
      <c r="CR83" s="68"/>
      <c r="CS83" s="68"/>
      <c r="CT83" s="68"/>
      <c r="CU83" s="68"/>
      <c r="CV83" s="68"/>
      <c r="CW83" s="68"/>
      <c r="CX83" s="68"/>
      <c r="CY83" s="68"/>
      <c r="CZ83" s="68"/>
      <c r="DA83" s="68"/>
      <c r="DB83" s="68"/>
      <c r="DC83" s="68"/>
      <c r="DD83" s="68"/>
      <c r="DE83" s="68"/>
      <c r="DF83" s="68"/>
    </row>
    <row r="84" spans="1:110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  <c r="BJ84" s="68"/>
      <c r="BK84" s="68"/>
      <c r="BL84" s="68"/>
      <c r="BM84" s="68"/>
      <c r="BN84" s="68"/>
      <c r="BO84" s="68"/>
      <c r="BP84" s="68"/>
      <c r="BQ84" s="68"/>
      <c r="BR84" s="68"/>
      <c r="BS84" s="68"/>
      <c r="BT84" s="68"/>
      <c r="BU84" s="68"/>
      <c r="BV84" s="68"/>
      <c r="BW84" s="68"/>
      <c r="BX84" s="68"/>
      <c r="BY84" s="68"/>
      <c r="BZ84" s="68"/>
      <c r="CA84" s="68"/>
      <c r="CB84" s="68"/>
      <c r="CC84" s="68"/>
      <c r="CD84" s="68"/>
      <c r="CE84" s="68"/>
      <c r="CF84" s="68"/>
      <c r="CG84" s="68"/>
      <c r="CH84" s="68"/>
      <c r="CI84" s="68"/>
      <c r="CJ84" s="68"/>
      <c r="CK84" s="68"/>
      <c r="CL84" s="68"/>
      <c r="CM84" s="68"/>
      <c r="CN84" s="68"/>
      <c r="CO84" s="68"/>
      <c r="CP84" s="68"/>
      <c r="CQ84" s="68"/>
      <c r="CR84" s="68"/>
      <c r="CS84" s="68"/>
      <c r="CT84" s="68"/>
      <c r="CU84" s="68"/>
      <c r="CV84" s="68"/>
      <c r="CW84" s="68"/>
      <c r="CX84" s="68"/>
      <c r="CY84" s="68"/>
      <c r="CZ84" s="68"/>
      <c r="DA84" s="68"/>
      <c r="DB84" s="68"/>
      <c r="DC84" s="68"/>
      <c r="DD84" s="68"/>
      <c r="DE84" s="68"/>
      <c r="DF84" s="68"/>
    </row>
    <row r="85" spans="1:110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  <c r="BJ85" s="68"/>
      <c r="BK85" s="68"/>
      <c r="BL85" s="68"/>
      <c r="BM85" s="68"/>
      <c r="BN85" s="68"/>
      <c r="BO85" s="68"/>
      <c r="BP85" s="68"/>
      <c r="BQ85" s="68"/>
      <c r="BR85" s="68"/>
      <c r="BS85" s="68"/>
      <c r="BT85" s="68"/>
      <c r="BU85" s="68"/>
      <c r="BV85" s="68"/>
      <c r="BW85" s="68"/>
      <c r="BX85" s="68"/>
      <c r="BY85" s="68"/>
      <c r="BZ85" s="68"/>
      <c r="CA85" s="68"/>
      <c r="CB85" s="68"/>
      <c r="CC85" s="68"/>
      <c r="CD85" s="68"/>
      <c r="CE85" s="68"/>
      <c r="CF85" s="68"/>
      <c r="CG85" s="68"/>
      <c r="CH85" s="68"/>
      <c r="CI85" s="68"/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  <c r="CV85" s="68"/>
      <c r="CW85" s="68"/>
      <c r="CX85" s="68"/>
      <c r="CY85" s="68"/>
      <c r="CZ85" s="68"/>
      <c r="DA85" s="68"/>
      <c r="DB85" s="68"/>
      <c r="DC85" s="68"/>
      <c r="DD85" s="68"/>
      <c r="DE85" s="68"/>
      <c r="DF85" s="68"/>
    </row>
    <row r="86" spans="1:110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  <c r="CV86" s="68"/>
      <c r="CW86" s="68"/>
      <c r="CX86" s="68"/>
      <c r="CY86" s="68"/>
      <c r="CZ86" s="68"/>
      <c r="DA86" s="68"/>
      <c r="DB86" s="68"/>
      <c r="DC86" s="68"/>
      <c r="DD86" s="68"/>
      <c r="DE86" s="68"/>
      <c r="DF86" s="68"/>
    </row>
    <row r="87" spans="1:110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  <c r="BM87" s="68"/>
      <c r="BN87" s="68"/>
      <c r="BO87" s="68"/>
      <c r="BP87" s="68"/>
      <c r="BQ87" s="68"/>
      <c r="BR87" s="68"/>
      <c r="BS87" s="68"/>
      <c r="BT87" s="68"/>
      <c r="BU87" s="68"/>
      <c r="BV87" s="68"/>
      <c r="BW87" s="68"/>
      <c r="BX87" s="68"/>
      <c r="BY87" s="68"/>
      <c r="BZ87" s="68"/>
      <c r="CA87" s="68"/>
      <c r="CB87" s="68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  <c r="CV87" s="68"/>
      <c r="CW87" s="68"/>
      <c r="CX87" s="68"/>
      <c r="CY87" s="68"/>
      <c r="CZ87" s="68"/>
      <c r="DA87" s="68"/>
      <c r="DB87" s="68"/>
      <c r="DC87" s="68"/>
      <c r="DD87" s="68"/>
      <c r="DE87" s="68"/>
      <c r="DF87" s="68"/>
    </row>
    <row r="88" spans="1:110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BP88" s="68"/>
      <c r="BQ88" s="68"/>
      <c r="BR88" s="68"/>
      <c r="BS88" s="68"/>
      <c r="BT88" s="68"/>
      <c r="BU88" s="68"/>
      <c r="BV88" s="68"/>
      <c r="BW88" s="68"/>
      <c r="BX88" s="68"/>
      <c r="BY88" s="68"/>
      <c r="BZ88" s="68"/>
      <c r="CA88" s="68"/>
      <c r="CB88" s="68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  <c r="CV88" s="68"/>
      <c r="CW88" s="68"/>
      <c r="CX88" s="68"/>
      <c r="CY88" s="68"/>
      <c r="CZ88" s="68"/>
      <c r="DA88" s="68"/>
      <c r="DB88" s="68"/>
      <c r="DC88" s="68"/>
      <c r="DD88" s="68"/>
      <c r="DE88" s="68"/>
      <c r="DF88" s="68"/>
    </row>
    <row r="89" spans="1:110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  <c r="CW89" s="68"/>
      <c r="CX89" s="68"/>
      <c r="CY89" s="68"/>
      <c r="CZ89" s="68"/>
      <c r="DA89" s="68"/>
      <c r="DB89" s="68"/>
      <c r="DC89" s="68"/>
      <c r="DD89" s="68"/>
      <c r="DE89" s="68"/>
      <c r="DF89" s="68"/>
    </row>
    <row r="90" spans="1:110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8"/>
      <c r="BX90" s="68"/>
      <c r="BY90" s="68"/>
      <c r="BZ90" s="68"/>
      <c r="CA90" s="68"/>
      <c r="CB90" s="68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  <c r="CV90" s="68"/>
      <c r="CW90" s="68"/>
      <c r="CX90" s="68"/>
      <c r="CY90" s="68"/>
      <c r="CZ90" s="68"/>
      <c r="DA90" s="68"/>
      <c r="DB90" s="68"/>
      <c r="DC90" s="68"/>
      <c r="DD90" s="68"/>
      <c r="DE90" s="68"/>
      <c r="DF90" s="68"/>
    </row>
    <row r="91" spans="1:110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8"/>
      <c r="BX91" s="68"/>
      <c r="BY91" s="68"/>
      <c r="BZ91" s="68"/>
      <c r="CA91" s="68"/>
      <c r="CB91" s="68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  <c r="CV91" s="68"/>
      <c r="CW91" s="68"/>
      <c r="CX91" s="68"/>
      <c r="CY91" s="68"/>
      <c r="CZ91" s="68"/>
      <c r="DA91" s="68"/>
      <c r="DB91" s="68"/>
      <c r="DC91" s="68"/>
      <c r="DD91" s="68"/>
      <c r="DE91" s="68"/>
      <c r="DF91" s="68"/>
    </row>
    <row r="92" spans="1:110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  <c r="CW92" s="68"/>
      <c r="CX92" s="68"/>
      <c r="CY92" s="68"/>
      <c r="CZ92" s="68"/>
      <c r="DA92" s="68"/>
      <c r="DB92" s="68"/>
      <c r="DC92" s="68"/>
      <c r="DD92" s="68"/>
      <c r="DE92" s="68"/>
      <c r="DF92" s="68"/>
    </row>
    <row r="93" spans="1:110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  <c r="BP93" s="68"/>
      <c r="BQ93" s="68"/>
      <c r="BR93" s="68"/>
      <c r="BS93" s="68"/>
      <c r="BT93" s="68"/>
      <c r="BU93" s="68"/>
      <c r="BV93" s="68"/>
      <c r="BW93" s="68"/>
      <c r="BX93" s="68"/>
      <c r="BY93" s="68"/>
      <c r="BZ93" s="68"/>
      <c r="CA93" s="68"/>
      <c r="CB93" s="68"/>
      <c r="CC93" s="68"/>
      <c r="CD93" s="68"/>
      <c r="CE93" s="68"/>
      <c r="CF93" s="68"/>
      <c r="CG93" s="68"/>
      <c r="CH93" s="68"/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  <c r="CV93" s="68"/>
      <c r="CW93" s="68"/>
      <c r="CX93" s="68"/>
      <c r="CY93" s="68"/>
      <c r="CZ93" s="68"/>
      <c r="DA93" s="68"/>
      <c r="DB93" s="68"/>
      <c r="DC93" s="68"/>
      <c r="DD93" s="68"/>
      <c r="DE93" s="68"/>
      <c r="DF93" s="68"/>
    </row>
    <row r="94" spans="1:110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  <c r="BM94" s="68"/>
      <c r="BN94" s="68"/>
      <c r="BO94" s="68"/>
      <c r="BP94" s="68"/>
      <c r="BQ94" s="68"/>
      <c r="BR94" s="68"/>
      <c r="BS94" s="68"/>
      <c r="BT94" s="68"/>
      <c r="BU94" s="68"/>
      <c r="BV94" s="68"/>
      <c r="BW94" s="68"/>
      <c r="BX94" s="68"/>
      <c r="BY94" s="68"/>
      <c r="BZ94" s="68"/>
      <c r="CA94" s="68"/>
      <c r="CB94" s="68"/>
      <c r="CC94" s="68"/>
      <c r="CD94" s="68"/>
      <c r="CE94" s="68"/>
      <c r="CF94" s="68"/>
      <c r="CG94" s="68"/>
      <c r="CH94" s="68"/>
      <c r="CI94" s="68"/>
      <c r="CJ94" s="68"/>
      <c r="CK94" s="68"/>
      <c r="CL94" s="68"/>
      <c r="CM94" s="68"/>
      <c r="CN94" s="68"/>
      <c r="CO94" s="68"/>
      <c r="CP94" s="68"/>
      <c r="CQ94" s="68"/>
      <c r="CR94" s="68"/>
      <c r="CS94" s="68"/>
      <c r="CT94" s="68"/>
      <c r="CU94" s="68"/>
      <c r="CV94" s="68"/>
      <c r="CW94" s="68"/>
      <c r="CX94" s="68"/>
      <c r="CY94" s="68"/>
      <c r="CZ94" s="68"/>
      <c r="DA94" s="68"/>
      <c r="DB94" s="68"/>
      <c r="DC94" s="68"/>
      <c r="DD94" s="68"/>
      <c r="DE94" s="68"/>
      <c r="DF94" s="68"/>
    </row>
    <row r="95" spans="1:110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B95" s="68"/>
      <c r="DC95" s="68"/>
      <c r="DD95" s="68"/>
      <c r="DE95" s="68"/>
      <c r="DF95" s="68"/>
    </row>
    <row r="96" spans="1:110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  <c r="BP96" s="68"/>
      <c r="BQ96" s="68"/>
      <c r="BR96" s="68"/>
      <c r="BS96" s="68"/>
      <c r="BT96" s="68"/>
      <c r="BU96" s="68"/>
      <c r="BV96" s="68"/>
      <c r="BW96" s="68"/>
      <c r="BX96" s="68"/>
      <c r="BY96" s="68"/>
      <c r="BZ96" s="68"/>
      <c r="CA96" s="68"/>
      <c r="CB96" s="68"/>
      <c r="CC96" s="68"/>
      <c r="CD96" s="68"/>
      <c r="CE96" s="68"/>
      <c r="CF96" s="68"/>
      <c r="CG96" s="68"/>
      <c r="CH96" s="68"/>
      <c r="CI96" s="68"/>
      <c r="CJ96" s="68"/>
      <c r="CK96" s="68"/>
      <c r="CL96" s="68"/>
      <c r="CM96" s="68"/>
      <c r="CN96" s="68"/>
      <c r="CO96" s="68"/>
      <c r="CP96" s="68"/>
      <c r="CQ96" s="68"/>
      <c r="CR96" s="68"/>
      <c r="CS96" s="68"/>
      <c r="CT96" s="68"/>
      <c r="CU96" s="68"/>
      <c r="CV96" s="68"/>
      <c r="CW96" s="68"/>
      <c r="CX96" s="68"/>
      <c r="CY96" s="68"/>
      <c r="CZ96" s="68"/>
      <c r="DA96" s="68"/>
      <c r="DB96" s="68"/>
      <c r="DC96" s="68"/>
      <c r="DD96" s="68"/>
      <c r="DE96" s="68"/>
      <c r="DF96" s="68"/>
    </row>
    <row r="97" spans="1:110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  <c r="BP97" s="68"/>
      <c r="BQ97" s="68"/>
      <c r="BR97" s="68"/>
      <c r="BS97" s="68"/>
      <c r="BT97" s="68"/>
      <c r="BU97" s="68"/>
      <c r="BV97" s="68"/>
      <c r="BW97" s="68"/>
      <c r="BX97" s="68"/>
      <c r="BY97" s="68"/>
      <c r="BZ97" s="68"/>
      <c r="CA97" s="68"/>
      <c r="CB97" s="68"/>
      <c r="CC97" s="68"/>
      <c r="CD97" s="68"/>
      <c r="CE97" s="68"/>
      <c r="CF97" s="68"/>
      <c r="CG97" s="68"/>
      <c r="CH97" s="68"/>
      <c r="CI97" s="68"/>
      <c r="CJ97" s="68"/>
      <c r="CK97" s="68"/>
      <c r="CL97" s="68"/>
      <c r="CM97" s="68"/>
      <c r="CN97" s="68"/>
      <c r="CO97" s="68"/>
      <c r="CP97" s="68"/>
      <c r="CQ97" s="68"/>
      <c r="CR97" s="68"/>
      <c r="CS97" s="68"/>
      <c r="CT97" s="68"/>
      <c r="CU97" s="68"/>
      <c r="CV97" s="68"/>
      <c r="CW97" s="68"/>
      <c r="CX97" s="68"/>
      <c r="CY97" s="68"/>
      <c r="CZ97" s="68"/>
      <c r="DA97" s="68"/>
      <c r="DB97" s="68"/>
      <c r="DC97" s="68"/>
      <c r="DD97" s="68"/>
      <c r="DE97" s="68"/>
      <c r="DF97" s="68"/>
    </row>
    <row r="98" spans="1:110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  <c r="BK98" s="68"/>
      <c r="BL98" s="68"/>
      <c r="BM98" s="68"/>
      <c r="BN98" s="68"/>
      <c r="BO98" s="68"/>
      <c r="BP98" s="68"/>
      <c r="BQ98" s="68"/>
      <c r="BR98" s="68"/>
      <c r="BS98" s="68"/>
      <c r="BT98" s="68"/>
      <c r="BU98" s="68"/>
      <c r="BV98" s="68"/>
      <c r="BW98" s="68"/>
      <c r="BX98" s="68"/>
      <c r="BY98" s="68"/>
      <c r="BZ98" s="68"/>
      <c r="CA98" s="68"/>
      <c r="CB98" s="68"/>
      <c r="CC98" s="68"/>
      <c r="CD98" s="68"/>
      <c r="CE98" s="68"/>
      <c r="CF98" s="68"/>
      <c r="CG98" s="68"/>
      <c r="CH98" s="68"/>
      <c r="CI98" s="68"/>
      <c r="CJ98" s="68"/>
      <c r="CK98" s="68"/>
      <c r="CL98" s="68"/>
      <c r="CM98" s="68"/>
      <c r="CN98" s="68"/>
      <c r="CO98" s="68"/>
      <c r="CP98" s="68"/>
      <c r="CQ98" s="68"/>
      <c r="CR98" s="68"/>
      <c r="CS98" s="68"/>
      <c r="CT98" s="68"/>
      <c r="CU98" s="68"/>
      <c r="CV98" s="68"/>
      <c r="CW98" s="68"/>
      <c r="CX98" s="68"/>
      <c r="CY98" s="68"/>
      <c r="CZ98" s="68"/>
      <c r="DA98" s="68"/>
      <c r="DB98" s="68"/>
      <c r="DC98" s="68"/>
      <c r="DD98" s="68"/>
      <c r="DE98" s="68"/>
      <c r="DF98" s="68"/>
    </row>
    <row r="99" spans="1:110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</row>
    <row r="100" spans="1:110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</row>
    <row r="101" spans="1:110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</row>
    <row r="102" spans="1:110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  <c r="CW102" s="68"/>
      <c r="CX102" s="68"/>
      <c r="CY102" s="68"/>
      <c r="CZ102" s="68"/>
      <c r="DA102" s="68"/>
      <c r="DB102" s="68"/>
      <c r="DC102" s="68"/>
      <c r="DD102" s="68"/>
      <c r="DE102" s="68"/>
      <c r="DF102" s="68"/>
    </row>
    <row r="103" spans="1:110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  <c r="CW103" s="68"/>
      <c r="CX103" s="68"/>
      <c r="CY103" s="68"/>
      <c r="CZ103" s="68"/>
      <c r="DA103" s="68"/>
      <c r="DB103" s="68"/>
      <c r="DC103" s="68"/>
      <c r="DD103" s="68"/>
      <c r="DE103" s="68"/>
      <c r="DF103" s="68"/>
    </row>
    <row r="104" spans="1:110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  <c r="CW104" s="68"/>
      <c r="CX104" s="68"/>
      <c r="CY104" s="68"/>
      <c r="CZ104" s="68"/>
      <c r="DA104" s="68"/>
      <c r="DB104" s="68"/>
      <c r="DC104" s="68"/>
      <c r="DD104" s="68"/>
      <c r="DE104" s="68"/>
      <c r="DF104" s="68"/>
    </row>
    <row r="105" spans="1:110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  <c r="CW105" s="68"/>
      <c r="CX105" s="68"/>
      <c r="CY105" s="68"/>
      <c r="CZ105" s="68"/>
      <c r="DA105" s="68"/>
      <c r="DB105" s="68"/>
      <c r="DC105" s="68"/>
      <c r="DD105" s="68"/>
      <c r="DE105" s="68"/>
      <c r="DF105" s="68"/>
    </row>
    <row r="106" spans="1:110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  <c r="CW106" s="68"/>
      <c r="CX106" s="68"/>
      <c r="CY106" s="68"/>
      <c r="CZ106" s="68"/>
      <c r="DA106" s="68"/>
      <c r="DB106" s="68"/>
      <c r="DC106" s="68"/>
      <c r="DD106" s="68"/>
      <c r="DE106" s="68"/>
      <c r="DF106" s="68"/>
    </row>
    <row r="107" spans="1:110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  <c r="CW107" s="68"/>
      <c r="CX107" s="68"/>
      <c r="CY107" s="68"/>
      <c r="CZ107" s="68"/>
      <c r="DA107" s="68"/>
      <c r="DB107" s="68"/>
      <c r="DC107" s="68"/>
      <c r="DD107" s="68"/>
      <c r="DE107" s="68"/>
      <c r="DF107" s="68"/>
    </row>
    <row r="108" spans="1:110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  <c r="CW108" s="68"/>
      <c r="CX108" s="68"/>
      <c r="CY108" s="68"/>
      <c r="CZ108" s="68"/>
      <c r="DA108" s="68"/>
      <c r="DB108" s="68"/>
      <c r="DC108" s="68"/>
      <c r="DD108" s="68"/>
      <c r="DE108" s="68"/>
      <c r="DF108" s="68"/>
    </row>
    <row r="109" spans="1:110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  <c r="BM109" s="68"/>
      <c r="BN109" s="68"/>
      <c r="BO109" s="68"/>
      <c r="BP109" s="68"/>
      <c r="BQ109" s="68"/>
      <c r="BR109" s="68"/>
      <c r="BS109" s="68"/>
      <c r="BT109" s="68"/>
      <c r="BU109" s="68"/>
      <c r="BV109" s="68"/>
      <c r="BW109" s="68"/>
      <c r="BX109" s="68"/>
      <c r="BY109" s="68"/>
      <c r="BZ109" s="68"/>
      <c r="CA109" s="68"/>
      <c r="CB109" s="68"/>
      <c r="CC109" s="68"/>
      <c r="CD109" s="68"/>
      <c r="CE109" s="68"/>
      <c r="CF109" s="68"/>
      <c r="CG109" s="68"/>
      <c r="CH109" s="68"/>
      <c r="CI109" s="68"/>
      <c r="CJ109" s="68"/>
      <c r="CK109" s="68"/>
      <c r="CL109" s="68"/>
      <c r="CM109" s="68"/>
      <c r="CN109" s="68"/>
      <c r="CO109" s="68"/>
      <c r="CP109" s="68"/>
      <c r="CQ109" s="68"/>
      <c r="CR109" s="68"/>
      <c r="CS109" s="68"/>
      <c r="CT109" s="68"/>
      <c r="CU109" s="68"/>
      <c r="CV109" s="68"/>
      <c r="CW109" s="68"/>
      <c r="CX109" s="68"/>
      <c r="CY109" s="68"/>
      <c r="CZ109" s="68"/>
      <c r="DA109" s="68"/>
      <c r="DB109" s="68"/>
      <c r="DC109" s="68"/>
      <c r="DD109" s="68"/>
      <c r="DE109" s="68"/>
      <c r="DF109" s="68"/>
    </row>
    <row r="110" spans="1:110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  <c r="BK110" s="68"/>
      <c r="BL110" s="68"/>
      <c r="BM110" s="68"/>
      <c r="BN110" s="68"/>
      <c r="BO110" s="68"/>
      <c r="BP110" s="68"/>
      <c r="BQ110" s="68"/>
      <c r="BR110" s="68"/>
      <c r="BS110" s="68"/>
      <c r="BT110" s="68"/>
      <c r="BU110" s="68"/>
      <c r="BV110" s="68"/>
      <c r="BW110" s="68"/>
      <c r="BX110" s="68"/>
      <c r="BY110" s="68"/>
      <c r="BZ110" s="68"/>
      <c r="CA110" s="68"/>
      <c r="CB110" s="68"/>
      <c r="CC110" s="68"/>
      <c r="CD110" s="68"/>
      <c r="CE110" s="68"/>
      <c r="CF110" s="68"/>
      <c r="CG110" s="68"/>
      <c r="CH110" s="68"/>
      <c r="CI110" s="68"/>
      <c r="CJ110" s="68"/>
      <c r="CK110" s="68"/>
      <c r="CL110" s="68"/>
      <c r="CM110" s="68"/>
      <c r="CN110" s="68"/>
      <c r="CO110" s="68"/>
      <c r="CP110" s="68"/>
      <c r="CQ110" s="68"/>
      <c r="CR110" s="68"/>
      <c r="CS110" s="68"/>
      <c r="CT110" s="68"/>
      <c r="CU110" s="68"/>
      <c r="CV110" s="68"/>
      <c r="CW110" s="68"/>
      <c r="CX110" s="68"/>
      <c r="CY110" s="68"/>
      <c r="CZ110" s="68"/>
      <c r="DA110" s="68"/>
      <c r="DB110" s="68"/>
      <c r="DC110" s="68"/>
      <c r="DD110" s="68"/>
      <c r="DE110" s="68"/>
      <c r="DF110" s="68"/>
    </row>
    <row r="111" spans="1:110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  <c r="BP111" s="68"/>
      <c r="BQ111" s="68"/>
      <c r="BR111" s="68"/>
      <c r="BS111" s="68"/>
      <c r="BT111" s="68"/>
      <c r="BU111" s="68"/>
      <c r="BV111" s="68"/>
      <c r="BW111" s="68"/>
      <c r="BX111" s="68"/>
      <c r="BY111" s="68"/>
      <c r="BZ111" s="68"/>
      <c r="CA111" s="68"/>
      <c r="CB111" s="68"/>
      <c r="CC111" s="68"/>
      <c r="CD111" s="68"/>
      <c r="CE111" s="68"/>
      <c r="CF111" s="68"/>
      <c r="CG111" s="68"/>
      <c r="CH111" s="68"/>
      <c r="CI111" s="68"/>
      <c r="CJ111" s="68"/>
      <c r="CK111" s="68"/>
      <c r="CL111" s="68"/>
      <c r="CM111" s="68"/>
      <c r="CN111" s="68"/>
      <c r="CO111" s="68"/>
      <c r="CP111" s="68"/>
      <c r="CQ111" s="68"/>
      <c r="CR111" s="68"/>
      <c r="CS111" s="68"/>
      <c r="CT111" s="68"/>
      <c r="CU111" s="68"/>
      <c r="CV111" s="68"/>
      <c r="CW111" s="68"/>
      <c r="CX111" s="68"/>
      <c r="CY111" s="68"/>
      <c r="CZ111" s="68"/>
      <c r="DA111" s="68"/>
      <c r="DB111" s="68"/>
      <c r="DC111" s="68"/>
      <c r="DD111" s="68"/>
      <c r="DE111" s="68"/>
      <c r="DF111" s="68"/>
    </row>
    <row r="112" spans="1:110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/>
      <c r="DA112" s="68"/>
      <c r="DB112" s="68"/>
      <c r="DC112" s="68"/>
      <c r="DD112" s="68"/>
      <c r="DE112" s="68"/>
      <c r="DF112" s="68"/>
    </row>
    <row r="113" spans="1:110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</row>
    <row r="114" spans="1:110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/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/>
      <c r="CO114" s="68"/>
      <c r="CP114" s="68"/>
      <c r="CQ114" s="68"/>
      <c r="CR114" s="68"/>
      <c r="CS114" s="68"/>
      <c r="CT114" s="68"/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</row>
    <row r="115" spans="1:110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  <c r="CW115" s="68"/>
      <c r="CX115" s="68"/>
      <c r="CY115" s="68"/>
      <c r="CZ115" s="68"/>
      <c r="DA115" s="68"/>
      <c r="DB115" s="68"/>
      <c r="DC115" s="68"/>
      <c r="DD115" s="68"/>
      <c r="DE115" s="68"/>
      <c r="DF115" s="68"/>
    </row>
    <row r="116" spans="1:110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/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/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  <c r="CW116" s="68"/>
      <c r="CX116" s="68"/>
      <c r="CY116" s="68"/>
      <c r="CZ116" s="68"/>
      <c r="DA116" s="68"/>
      <c r="DB116" s="68"/>
      <c r="DC116" s="68"/>
      <c r="DD116" s="68"/>
      <c r="DE116" s="68"/>
      <c r="DF116" s="68"/>
    </row>
    <row r="117" spans="1:110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/>
      <c r="DD117" s="68"/>
      <c r="DE117" s="68"/>
      <c r="DF117" s="68"/>
    </row>
    <row r="118" spans="1:110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  <c r="BM118" s="68"/>
      <c r="BN118" s="68"/>
      <c r="BO118" s="68"/>
      <c r="BP118" s="68"/>
      <c r="BQ118" s="68"/>
      <c r="BR118" s="68"/>
      <c r="BS118" s="68"/>
      <c r="BT118" s="68"/>
      <c r="BU118" s="68"/>
      <c r="BV118" s="68"/>
      <c r="BW118" s="68"/>
      <c r="BX118" s="68"/>
      <c r="BY118" s="68"/>
      <c r="BZ118" s="68"/>
      <c r="CA118" s="68"/>
      <c r="CB118" s="68"/>
      <c r="CC118" s="68"/>
      <c r="CD118" s="68"/>
      <c r="CE118" s="68"/>
      <c r="CF118" s="68"/>
      <c r="CG118" s="68"/>
      <c r="CH118" s="68"/>
      <c r="CI118" s="68"/>
      <c r="CJ118" s="68"/>
      <c r="CK118" s="68"/>
      <c r="CL118" s="68"/>
      <c r="CM118" s="68"/>
      <c r="CN118" s="68"/>
      <c r="CO118" s="68"/>
      <c r="CP118" s="68"/>
      <c r="CQ118" s="68"/>
      <c r="CR118" s="68"/>
      <c r="CS118" s="68"/>
      <c r="CT118" s="68"/>
      <c r="CU118" s="68"/>
      <c r="CV118" s="68"/>
      <c r="CW118" s="68"/>
      <c r="CX118" s="68"/>
      <c r="CY118" s="68"/>
      <c r="CZ118" s="68"/>
      <c r="DA118" s="68"/>
      <c r="DB118" s="68"/>
      <c r="DC118" s="68"/>
      <c r="DD118" s="68"/>
      <c r="DE118" s="68"/>
      <c r="DF118" s="68"/>
    </row>
    <row r="119" spans="1:110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  <c r="BM119" s="68"/>
      <c r="BN119" s="68"/>
      <c r="BO119" s="68"/>
      <c r="BP119" s="68"/>
      <c r="BQ119" s="68"/>
      <c r="BR119" s="68"/>
      <c r="BS119" s="68"/>
      <c r="BT119" s="68"/>
      <c r="BU119" s="68"/>
      <c r="BV119" s="68"/>
      <c r="BW119" s="68"/>
      <c r="BX119" s="68"/>
      <c r="BY119" s="68"/>
      <c r="BZ119" s="68"/>
      <c r="CA119" s="68"/>
      <c r="CB119" s="68"/>
      <c r="CC119" s="68"/>
      <c r="CD119" s="68"/>
      <c r="CE119" s="68"/>
      <c r="CF119" s="68"/>
      <c r="CG119" s="68"/>
      <c r="CH119" s="68"/>
      <c r="CI119" s="68"/>
      <c r="CJ119" s="68"/>
      <c r="CK119" s="68"/>
      <c r="CL119" s="68"/>
      <c r="CM119" s="68"/>
      <c r="CN119" s="68"/>
      <c r="CO119" s="68"/>
      <c r="CP119" s="68"/>
      <c r="CQ119" s="68"/>
      <c r="CR119" s="68"/>
      <c r="CS119" s="68"/>
      <c r="CT119" s="68"/>
      <c r="CU119" s="68"/>
      <c r="CV119" s="68"/>
      <c r="CW119" s="68"/>
      <c r="CX119" s="68"/>
      <c r="CY119" s="68"/>
      <c r="CZ119" s="68"/>
      <c r="DA119" s="68"/>
      <c r="DB119" s="68"/>
      <c r="DC119" s="68"/>
      <c r="DD119" s="68"/>
      <c r="DE119" s="68"/>
      <c r="DF119" s="68"/>
    </row>
    <row r="120" spans="1:110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68"/>
      <c r="BT120" s="68"/>
      <c r="BU120" s="68"/>
      <c r="BV120" s="68"/>
      <c r="BW120" s="68"/>
      <c r="BX120" s="68"/>
      <c r="BY120" s="68"/>
      <c r="BZ120" s="68"/>
      <c r="CA120" s="68"/>
      <c r="CB120" s="68"/>
      <c r="CC120" s="68"/>
      <c r="CD120" s="68"/>
      <c r="CE120" s="68"/>
      <c r="CF120" s="68"/>
      <c r="CG120" s="68"/>
      <c r="CH120" s="68"/>
      <c r="CI120" s="68"/>
      <c r="CJ120" s="68"/>
      <c r="CK120" s="68"/>
      <c r="CL120" s="68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68"/>
      <c r="CY120" s="68"/>
      <c r="CZ120" s="68"/>
      <c r="DA120" s="68"/>
      <c r="DB120" s="68"/>
      <c r="DC120" s="68"/>
      <c r="DD120" s="68"/>
      <c r="DE120" s="68"/>
      <c r="DF120" s="68"/>
    </row>
    <row r="121" spans="1:110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  <c r="BP121" s="68"/>
      <c r="BQ121" s="68"/>
      <c r="BR121" s="68"/>
      <c r="BS121" s="68"/>
      <c r="BT121" s="68"/>
      <c r="BU121" s="68"/>
      <c r="BV121" s="68"/>
      <c r="BW121" s="68"/>
      <c r="BX121" s="68"/>
      <c r="BY121" s="68"/>
      <c r="BZ121" s="68"/>
      <c r="CA121" s="68"/>
      <c r="CB121" s="68"/>
      <c r="CC121" s="68"/>
      <c r="CD121" s="68"/>
      <c r="CE121" s="68"/>
      <c r="CF121" s="68"/>
      <c r="CG121" s="68"/>
      <c r="CH121" s="68"/>
      <c r="CI121" s="68"/>
      <c r="CJ121" s="68"/>
      <c r="CK121" s="68"/>
      <c r="CL121" s="68"/>
      <c r="CM121" s="68"/>
      <c r="CN121" s="68"/>
      <c r="CO121" s="68"/>
      <c r="CP121" s="68"/>
      <c r="CQ121" s="68"/>
      <c r="CR121" s="68"/>
      <c r="CS121" s="68"/>
      <c r="CT121" s="68"/>
      <c r="CU121" s="68"/>
      <c r="CV121" s="68"/>
      <c r="CW121" s="68"/>
      <c r="CX121" s="68"/>
      <c r="CY121" s="68"/>
      <c r="CZ121" s="68"/>
      <c r="DA121" s="68"/>
      <c r="DB121" s="68"/>
      <c r="DC121" s="68"/>
      <c r="DD121" s="68"/>
      <c r="DE121" s="68"/>
      <c r="DF121" s="68"/>
    </row>
    <row r="122" spans="1:110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  <c r="CW122" s="68"/>
      <c r="CX122" s="68"/>
      <c r="CY122" s="68"/>
      <c r="CZ122" s="68"/>
      <c r="DA122" s="68"/>
      <c r="DB122" s="68"/>
      <c r="DC122" s="68"/>
      <c r="DD122" s="68"/>
      <c r="DE122" s="68"/>
      <c r="DF122" s="68"/>
    </row>
    <row r="123" spans="1:110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8"/>
      <c r="BX123" s="68"/>
      <c r="BY123" s="68"/>
      <c r="BZ123" s="68"/>
      <c r="CA123" s="68"/>
      <c r="CB123" s="68"/>
      <c r="CC123" s="68"/>
      <c r="CD123" s="68"/>
      <c r="CE123" s="68"/>
      <c r="CF123" s="68"/>
      <c r="CG123" s="68"/>
      <c r="CH123" s="68"/>
      <c r="CI123" s="68"/>
      <c r="CJ123" s="68"/>
      <c r="CK123" s="68"/>
      <c r="CL123" s="68"/>
      <c r="CM123" s="68"/>
      <c r="CN123" s="68"/>
      <c r="CO123" s="68"/>
      <c r="CP123" s="68"/>
      <c r="CQ123" s="68"/>
      <c r="CR123" s="68"/>
      <c r="CS123" s="68"/>
      <c r="CT123" s="68"/>
      <c r="CU123" s="68"/>
      <c r="CV123" s="68"/>
      <c r="CW123" s="68"/>
      <c r="CX123" s="68"/>
      <c r="CY123" s="68"/>
      <c r="CZ123" s="68"/>
      <c r="DA123" s="68"/>
      <c r="DB123" s="68"/>
      <c r="DC123" s="68"/>
      <c r="DD123" s="68"/>
      <c r="DE123" s="68"/>
      <c r="DF123" s="68"/>
    </row>
    <row r="124" spans="1:110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  <c r="BM124" s="68"/>
      <c r="BN124" s="68"/>
      <c r="BO124" s="68"/>
      <c r="BP124" s="68"/>
      <c r="BQ124" s="68"/>
      <c r="BR124" s="68"/>
      <c r="BS124" s="68"/>
      <c r="BT124" s="68"/>
      <c r="BU124" s="68"/>
      <c r="BV124" s="68"/>
      <c r="BW124" s="68"/>
      <c r="BX124" s="68"/>
      <c r="BY124" s="68"/>
      <c r="BZ124" s="68"/>
      <c r="CA124" s="68"/>
      <c r="CB124" s="68"/>
      <c r="CC124" s="68"/>
      <c r="CD124" s="68"/>
      <c r="CE124" s="68"/>
      <c r="CF124" s="68"/>
      <c r="CG124" s="68"/>
      <c r="CH124" s="68"/>
      <c r="CI124" s="68"/>
      <c r="CJ124" s="68"/>
      <c r="CK124" s="68"/>
      <c r="CL124" s="68"/>
      <c r="CM124" s="68"/>
      <c r="CN124" s="68"/>
      <c r="CO124" s="68"/>
      <c r="CP124" s="68"/>
      <c r="CQ124" s="68"/>
      <c r="CR124" s="68"/>
      <c r="CS124" s="68"/>
      <c r="CT124" s="68"/>
      <c r="CU124" s="68"/>
      <c r="CV124" s="68"/>
      <c r="CW124" s="68"/>
      <c r="CX124" s="68"/>
      <c r="CY124" s="68"/>
      <c r="CZ124" s="68"/>
      <c r="DA124" s="68"/>
      <c r="DB124" s="68"/>
      <c r="DC124" s="68"/>
      <c r="DD124" s="68"/>
      <c r="DE124" s="68"/>
      <c r="DF124" s="68"/>
    </row>
    <row r="125" spans="1:110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68"/>
      <c r="BP125" s="68"/>
      <c r="BQ125" s="68"/>
      <c r="BR125" s="68"/>
      <c r="BS125" s="68"/>
      <c r="BT125" s="68"/>
      <c r="BU125" s="68"/>
      <c r="BV125" s="68"/>
      <c r="BW125" s="68"/>
      <c r="BX125" s="68"/>
      <c r="BY125" s="68"/>
      <c r="BZ125" s="68"/>
      <c r="CA125" s="68"/>
      <c r="CB125" s="68"/>
      <c r="CC125" s="68"/>
      <c r="CD125" s="68"/>
      <c r="CE125" s="68"/>
      <c r="CF125" s="68"/>
      <c r="CG125" s="68"/>
      <c r="CH125" s="68"/>
      <c r="CI125" s="68"/>
      <c r="CJ125" s="68"/>
      <c r="CK125" s="68"/>
      <c r="CL125" s="68"/>
      <c r="CM125" s="68"/>
      <c r="CN125" s="68"/>
      <c r="CO125" s="68"/>
      <c r="CP125" s="68"/>
      <c r="CQ125" s="68"/>
      <c r="CR125" s="68"/>
      <c r="CS125" s="68"/>
      <c r="CT125" s="68"/>
      <c r="CU125" s="68"/>
      <c r="CV125" s="68"/>
      <c r="CW125" s="68"/>
      <c r="CX125" s="68"/>
      <c r="CY125" s="68"/>
      <c r="CZ125" s="68"/>
      <c r="DA125" s="68"/>
      <c r="DB125" s="68"/>
      <c r="DC125" s="68"/>
      <c r="DD125" s="68"/>
      <c r="DE125" s="68"/>
      <c r="DF125" s="68"/>
    </row>
    <row r="126" spans="1:110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  <c r="BK126" s="68"/>
      <c r="BL126" s="68"/>
      <c r="BM126" s="68"/>
      <c r="BN126" s="68"/>
      <c r="BO126" s="68"/>
      <c r="BP126" s="68"/>
      <c r="BQ126" s="68"/>
      <c r="BR126" s="68"/>
      <c r="BS126" s="68"/>
      <c r="BT126" s="68"/>
      <c r="BU126" s="68"/>
      <c r="BV126" s="68"/>
      <c r="BW126" s="68"/>
      <c r="BX126" s="68"/>
      <c r="BY126" s="68"/>
      <c r="BZ126" s="68"/>
      <c r="CA126" s="68"/>
      <c r="CB126" s="68"/>
      <c r="CC126" s="68"/>
      <c r="CD126" s="68"/>
      <c r="CE126" s="68"/>
      <c r="CF126" s="68"/>
      <c r="CG126" s="68"/>
      <c r="CH126" s="68"/>
      <c r="CI126" s="68"/>
      <c r="CJ126" s="68"/>
      <c r="CK126" s="68"/>
      <c r="CL126" s="68"/>
      <c r="CM126" s="68"/>
      <c r="CN126" s="68"/>
      <c r="CO126" s="68"/>
      <c r="CP126" s="68"/>
      <c r="CQ126" s="68"/>
      <c r="CR126" s="68"/>
      <c r="CS126" s="68"/>
      <c r="CT126" s="68"/>
      <c r="CU126" s="68"/>
      <c r="CV126" s="68"/>
      <c r="CW126" s="68"/>
      <c r="CX126" s="68"/>
      <c r="CY126" s="68"/>
      <c r="CZ126" s="68"/>
      <c r="DA126" s="68"/>
      <c r="DB126" s="68"/>
      <c r="DC126" s="68"/>
      <c r="DD126" s="68"/>
      <c r="DE126" s="68"/>
      <c r="DF126" s="68"/>
    </row>
    <row r="127" spans="1:110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  <c r="BJ127" s="68"/>
      <c r="BK127" s="68"/>
      <c r="BL127" s="68"/>
      <c r="BM127" s="68"/>
      <c r="BN127" s="68"/>
      <c r="BO127" s="68"/>
      <c r="BP127" s="68"/>
      <c r="BQ127" s="68"/>
      <c r="BR127" s="68"/>
      <c r="BS127" s="68"/>
      <c r="BT127" s="68"/>
      <c r="BU127" s="68"/>
      <c r="BV127" s="68"/>
      <c r="BW127" s="68"/>
      <c r="BX127" s="68"/>
      <c r="BY127" s="68"/>
      <c r="BZ127" s="68"/>
      <c r="CA127" s="68"/>
      <c r="CB127" s="68"/>
      <c r="CC127" s="68"/>
      <c r="CD127" s="68"/>
      <c r="CE127" s="68"/>
      <c r="CF127" s="68"/>
      <c r="CG127" s="68"/>
      <c r="CH127" s="68"/>
      <c r="CI127" s="68"/>
      <c r="CJ127" s="68"/>
      <c r="CK127" s="68"/>
      <c r="CL127" s="68"/>
      <c r="CM127" s="68"/>
      <c r="CN127" s="68"/>
      <c r="CO127" s="68"/>
      <c r="CP127" s="68"/>
      <c r="CQ127" s="68"/>
      <c r="CR127" s="68"/>
      <c r="CS127" s="68"/>
      <c r="CT127" s="68"/>
      <c r="CU127" s="68"/>
      <c r="CV127" s="68"/>
      <c r="CW127" s="68"/>
      <c r="CX127" s="68"/>
      <c r="CY127" s="68"/>
      <c r="CZ127" s="68"/>
      <c r="DA127" s="68"/>
      <c r="DB127" s="68"/>
      <c r="DC127" s="68"/>
      <c r="DD127" s="68"/>
      <c r="DE127" s="68"/>
      <c r="DF127" s="68"/>
    </row>
    <row r="128" spans="1:110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  <c r="BK128" s="68"/>
      <c r="BL128" s="68"/>
      <c r="BM128" s="68"/>
      <c r="BN128" s="68"/>
      <c r="BO128" s="68"/>
      <c r="BP128" s="68"/>
      <c r="BQ128" s="68"/>
      <c r="BR128" s="68"/>
      <c r="BS128" s="68"/>
      <c r="BT128" s="68"/>
      <c r="BU128" s="68"/>
      <c r="BV128" s="68"/>
      <c r="BW128" s="68"/>
      <c r="BX128" s="68"/>
      <c r="BY128" s="68"/>
      <c r="BZ128" s="68"/>
      <c r="CA128" s="68"/>
      <c r="CB128" s="68"/>
      <c r="CC128" s="68"/>
      <c r="CD128" s="68"/>
      <c r="CE128" s="68"/>
      <c r="CF128" s="68"/>
      <c r="CG128" s="68"/>
      <c r="CH128" s="68"/>
      <c r="CI128" s="68"/>
      <c r="CJ128" s="68"/>
      <c r="CK128" s="68"/>
      <c r="CL128" s="68"/>
      <c r="CM128" s="68"/>
      <c r="CN128" s="68"/>
      <c r="CO128" s="68"/>
      <c r="CP128" s="68"/>
      <c r="CQ128" s="68"/>
      <c r="CR128" s="68"/>
      <c r="CS128" s="68"/>
      <c r="CT128" s="68"/>
      <c r="CU128" s="68"/>
      <c r="CV128" s="68"/>
      <c r="CW128" s="68"/>
      <c r="CX128" s="68"/>
      <c r="CY128" s="68"/>
      <c r="CZ128" s="68"/>
      <c r="DA128" s="68"/>
      <c r="DB128" s="68"/>
      <c r="DC128" s="68"/>
      <c r="DD128" s="68"/>
      <c r="DE128" s="68"/>
      <c r="DF128" s="68"/>
    </row>
    <row r="129" spans="1:110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  <c r="BK129" s="68"/>
      <c r="BL129" s="68"/>
      <c r="BM129" s="68"/>
      <c r="BN129" s="68"/>
      <c r="BO129" s="68"/>
      <c r="BP129" s="68"/>
      <c r="BQ129" s="68"/>
      <c r="BR129" s="68"/>
      <c r="BS129" s="68"/>
      <c r="BT129" s="68"/>
      <c r="BU129" s="68"/>
      <c r="BV129" s="68"/>
      <c r="BW129" s="68"/>
      <c r="BX129" s="68"/>
      <c r="BY129" s="68"/>
      <c r="BZ129" s="68"/>
      <c r="CA129" s="68"/>
      <c r="CB129" s="68"/>
      <c r="CC129" s="68"/>
      <c r="CD129" s="68"/>
      <c r="CE129" s="68"/>
      <c r="CF129" s="68"/>
      <c r="CG129" s="68"/>
      <c r="CH129" s="68"/>
      <c r="CI129" s="68"/>
      <c r="CJ129" s="68"/>
      <c r="CK129" s="68"/>
      <c r="CL129" s="68"/>
      <c r="CM129" s="68"/>
      <c r="CN129" s="68"/>
      <c r="CO129" s="68"/>
      <c r="CP129" s="68"/>
      <c r="CQ129" s="68"/>
      <c r="CR129" s="68"/>
      <c r="CS129" s="68"/>
      <c r="CT129" s="68"/>
      <c r="CU129" s="68"/>
      <c r="CV129" s="68"/>
      <c r="CW129" s="68"/>
      <c r="CX129" s="68"/>
      <c r="CY129" s="68"/>
      <c r="CZ129" s="68"/>
      <c r="DA129" s="68"/>
      <c r="DB129" s="68"/>
      <c r="DC129" s="68"/>
      <c r="DD129" s="68"/>
      <c r="DE129" s="68"/>
      <c r="DF129" s="68"/>
    </row>
    <row r="130" spans="1:110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  <c r="BK130" s="68"/>
      <c r="BL130" s="68"/>
      <c r="BM130" s="68"/>
      <c r="BN130" s="68"/>
      <c r="BO130" s="68"/>
      <c r="BP130" s="68"/>
      <c r="BQ130" s="68"/>
      <c r="BR130" s="68"/>
      <c r="BS130" s="68"/>
      <c r="BT130" s="68"/>
      <c r="BU130" s="68"/>
      <c r="BV130" s="68"/>
      <c r="BW130" s="68"/>
      <c r="BX130" s="68"/>
      <c r="BY130" s="68"/>
      <c r="BZ130" s="68"/>
      <c r="CA130" s="68"/>
      <c r="CB130" s="68"/>
      <c r="CC130" s="68"/>
      <c r="CD130" s="68"/>
      <c r="CE130" s="68"/>
      <c r="CF130" s="68"/>
      <c r="CG130" s="68"/>
      <c r="CH130" s="68"/>
      <c r="CI130" s="68"/>
      <c r="CJ130" s="68"/>
      <c r="CK130" s="68"/>
      <c r="CL130" s="68"/>
      <c r="CM130" s="68"/>
      <c r="CN130" s="68"/>
      <c r="CO130" s="68"/>
      <c r="CP130" s="68"/>
      <c r="CQ130" s="68"/>
      <c r="CR130" s="68"/>
      <c r="CS130" s="68"/>
      <c r="CT130" s="68"/>
      <c r="CU130" s="68"/>
      <c r="CV130" s="68"/>
      <c r="CW130" s="68"/>
      <c r="CX130" s="68"/>
      <c r="CY130" s="68"/>
      <c r="CZ130" s="68"/>
      <c r="DA130" s="68"/>
      <c r="DB130" s="68"/>
      <c r="DC130" s="68"/>
      <c r="DD130" s="68"/>
      <c r="DE130" s="68"/>
      <c r="DF130" s="68"/>
    </row>
    <row r="131" spans="1:110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  <c r="BK131" s="68"/>
      <c r="BL131" s="68"/>
      <c r="BM131" s="68"/>
      <c r="BN131" s="68"/>
      <c r="BO131" s="68"/>
      <c r="BP131" s="68"/>
      <c r="BQ131" s="68"/>
      <c r="BR131" s="68"/>
      <c r="BS131" s="68"/>
      <c r="BT131" s="68"/>
      <c r="BU131" s="68"/>
      <c r="BV131" s="68"/>
      <c r="BW131" s="68"/>
      <c r="BX131" s="68"/>
      <c r="BY131" s="68"/>
      <c r="BZ131" s="68"/>
      <c r="CA131" s="68"/>
      <c r="CB131" s="68"/>
      <c r="CC131" s="68"/>
      <c r="CD131" s="68"/>
      <c r="CE131" s="68"/>
      <c r="CF131" s="68"/>
      <c r="CG131" s="68"/>
      <c r="CH131" s="68"/>
      <c r="CI131" s="68"/>
      <c r="CJ131" s="68"/>
      <c r="CK131" s="68"/>
      <c r="CL131" s="68"/>
      <c r="CM131" s="68"/>
      <c r="CN131" s="68"/>
      <c r="CO131" s="68"/>
      <c r="CP131" s="68"/>
      <c r="CQ131" s="68"/>
      <c r="CR131" s="68"/>
      <c r="CS131" s="68"/>
      <c r="CT131" s="68"/>
      <c r="CU131" s="68"/>
      <c r="CV131" s="68"/>
      <c r="CW131" s="68"/>
      <c r="CX131" s="68"/>
      <c r="CY131" s="68"/>
      <c r="CZ131" s="68"/>
      <c r="DA131" s="68"/>
      <c r="DB131" s="68"/>
      <c r="DC131" s="68"/>
      <c r="DD131" s="68"/>
      <c r="DE131" s="68"/>
      <c r="DF131" s="68"/>
    </row>
    <row r="132" spans="1:110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  <c r="BP132" s="68"/>
      <c r="BQ132" s="68"/>
      <c r="BR132" s="68"/>
      <c r="BS132" s="68"/>
      <c r="BT132" s="68"/>
      <c r="BU132" s="68"/>
      <c r="BV132" s="68"/>
      <c r="BW132" s="68"/>
      <c r="BX132" s="68"/>
      <c r="BY132" s="68"/>
      <c r="BZ132" s="68"/>
      <c r="CA132" s="68"/>
      <c r="CB132" s="68"/>
      <c r="CC132" s="68"/>
      <c r="CD132" s="68"/>
      <c r="CE132" s="68"/>
      <c r="CF132" s="68"/>
      <c r="CG132" s="68"/>
      <c r="CH132" s="68"/>
      <c r="CI132" s="68"/>
      <c r="CJ132" s="68"/>
      <c r="CK132" s="68"/>
      <c r="CL132" s="68"/>
      <c r="CM132" s="68"/>
      <c r="CN132" s="68"/>
      <c r="CO132" s="68"/>
      <c r="CP132" s="68"/>
      <c r="CQ132" s="68"/>
      <c r="CR132" s="68"/>
      <c r="CS132" s="68"/>
      <c r="CT132" s="68"/>
      <c r="CU132" s="68"/>
      <c r="CV132" s="68"/>
      <c r="CW132" s="68"/>
      <c r="CX132" s="68"/>
      <c r="CY132" s="68"/>
      <c r="CZ132" s="68"/>
      <c r="DA132" s="68"/>
      <c r="DB132" s="68"/>
      <c r="DC132" s="68"/>
      <c r="DD132" s="68"/>
      <c r="DE132" s="68"/>
      <c r="DF132" s="68"/>
    </row>
    <row r="133" spans="1:110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  <c r="BK133" s="68"/>
      <c r="BL133" s="68"/>
      <c r="BM133" s="68"/>
      <c r="BN133" s="68"/>
      <c r="BO133" s="68"/>
      <c r="BP133" s="68"/>
      <c r="BQ133" s="68"/>
      <c r="BR133" s="68"/>
      <c r="BS133" s="68"/>
      <c r="BT133" s="68"/>
      <c r="BU133" s="68"/>
      <c r="BV133" s="68"/>
      <c r="BW133" s="68"/>
      <c r="BX133" s="68"/>
      <c r="BY133" s="68"/>
      <c r="BZ133" s="68"/>
      <c r="CA133" s="68"/>
      <c r="CB133" s="68"/>
      <c r="CC133" s="68"/>
      <c r="CD133" s="68"/>
      <c r="CE133" s="68"/>
      <c r="CF133" s="68"/>
      <c r="CG133" s="68"/>
      <c r="CH133" s="68"/>
      <c r="CI133" s="68"/>
      <c r="CJ133" s="68"/>
      <c r="CK133" s="68"/>
      <c r="CL133" s="68"/>
      <c r="CM133" s="68"/>
      <c r="CN133" s="68"/>
      <c r="CO133" s="68"/>
      <c r="CP133" s="68"/>
      <c r="CQ133" s="68"/>
      <c r="CR133" s="68"/>
      <c r="CS133" s="68"/>
      <c r="CT133" s="68"/>
      <c r="CU133" s="68"/>
      <c r="CV133" s="68"/>
      <c r="CW133" s="68"/>
      <c r="CX133" s="68"/>
      <c r="CY133" s="68"/>
      <c r="CZ133" s="68"/>
      <c r="DA133" s="68"/>
      <c r="DB133" s="68"/>
      <c r="DC133" s="68"/>
      <c r="DD133" s="68"/>
      <c r="DE133" s="68"/>
      <c r="DF133" s="68"/>
    </row>
    <row r="134" spans="1:110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  <c r="BM134" s="68"/>
      <c r="BN134" s="68"/>
      <c r="BO134" s="68"/>
      <c r="BP134" s="68"/>
      <c r="BQ134" s="68"/>
      <c r="BR134" s="68"/>
      <c r="BS134" s="68"/>
      <c r="BT134" s="68"/>
      <c r="BU134" s="68"/>
      <c r="BV134" s="68"/>
      <c r="BW134" s="68"/>
      <c r="BX134" s="68"/>
      <c r="BY134" s="68"/>
      <c r="BZ134" s="68"/>
      <c r="CA134" s="68"/>
      <c r="CB134" s="68"/>
      <c r="CC134" s="68"/>
      <c r="CD134" s="68"/>
      <c r="CE134" s="68"/>
      <c r="CF134" s="68"/>
      <c r="CG134" s="68"/>
      <c r="CH134" s="68"/>
      <c r="CI134" s="68"/>
      <c r="CJ134" s="68"/>
      <c r="CK134" s="68"/>
      <c r="CL134" s="68"/>
      <c r="CM134" s="68"/>
      <c r="CN134" s="68"/>
      <c r="CO134" s="68"/>
      <c r="CP134" s="68"/>
      <c r="CQ134" s="68"/>
      <c r="CR134" s="68"/>
      <c r="CS134" s="68"/>
      <c r="CT134" s="68"/>
      <c r="CU134" s="68"/>
      <c r="CV134" s="68"/>
      <c r="CW134" s="68"/>
      <c r="CX134" s="68"/>
      <c r="CY134" s="68"/>
      <c r="CZ134" s="68"/>
      <c r="DA134" s="68"/>
      <c r="DB134" s="68"/>
      <c r="DC134" s="68"/>
      <c r="DD134" s="68"/>
      <c r="DE134" s="68"/>
      <c r="DF134" s="68"/>
    </row>
    <row r="135" spans="1:110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  <c r="BK135" s="68"/>
      <c r="BL135" s="68"/>
      <c r="BM135" s="68"/>
      <c r="BN135" s="68"/>
      <c r="BO135" s="68"/>
      <c r="BP135" s="68"/>
      <c r="BQ135" s="68"/>
      <c r="BR135" s="68"/>
      <c r="BS135" s="68"/>
      <c r="BT135" s="68"/>
      <c r="BU135" s="68"/>
      <c r="BV135" s="68"/>
      <c r="BW135" s="68"/>
      <c r="BX135" s="68"/>
      <c r="BY135" s="68"/>
      <c r="BZ135" s="68"/>
      <c r="CA135" s="68"/>
      <c r="CB135" s="68"/>
      <c r="CC135" s="68"/>
      <c r="CD135" s="68"/>
      <c r="CE135" s="68"/>
      <c r="CF135" s="68"/>
      <c r="CG135" s="68"/>
      <c r="CH135" s="68"/>
      <c r="CI135" s="68"/>
      <c r="CJ135" s="68"/>
      <c r="CK135" s="68"/>
      <c r="CL135" s="68"/>
      <c r="CM135" s="68"/>
      <c r="CN135" s="68"/>
      <c r="CO135" s="68"/>
      <c r="CP135" s="68"/>
      <c r="CQ135" s="68"/>
      <c r="CR135" s="68"/>
      <c r="CS135" s="68"/>
      <c r="CT135" s="68"/>
      <c r="CU135" s="68"/>
      <c r="CV135" s="68"/>
      <c r="CW135" s="68"/>
      <c r="CX135" s="68"/>
      <c r="CY135" s="68"/>
      <c r="CZ135" s="68"/>
      <c r="DA135" s="68"/>
      <c r="DB135" s="68"/>
      <c r="DC135" s="68"/>
      <c r="DD135" s="68"/>
      <c r="DE135" s="68"/>
      <c r="DF135" s="68"/>
    </row>
    <row r="136" spans="1:110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  <c r="BK136" s="68"/>
      <c r="BL136" s="68"/>
      <c r="BM136" s="68"/>
      <c r="BN136" s="68"/>
      <c r="BO136" s="68"/>
      <c r="BP136" s="68"/>
      <c r="BQ136" s="68"/>
      <c r="BR136" s="68"/>
      <c r="BS136" s="68"/>
      <c r="BT136" s="68"/>
      <c r="BU136" s="68"/>
      <c r="BV136" s="68"/>
      <c r="BW136" s="68"/>
      <c r="BX136" s="68"/>
      <c r="BY136" s="68"/>
      <c r="BZ136" s="68"/>
      <c r="CA136" s="68"/>
      <c r="CB136" s="68"/>
      <c r="CC136" s="68"/>
      <c r="CD136" s="68"/>
      <c r="CE136" s="68"/>
      <c r="CF136" s="68"/>
      <c r="CG136" s="68"/>
      <c r="CH136" s="68"/>
      <c r="CI136" s="68"/>
      <c r="CJ136" s="68"/>
      <c r="CK136" s="68"/>
      <c r="CL136" s="68"/>
      <c r="CM136" s="68"/>
      <c r="CN136" s="68"/>
      <c r="CO136" s="68"/>
      <c r="CP136" s="68"/>
      <c r="CQ136" s="68"/>
      <c r="CR136" s="68"/>
      <c r="CS136" s="68"/>
      <c r="CT136" s="68"/>
      <c r="CU136" s="68"/>
      <c r="CV136" s="68"/>
      <c r="CW136" s="68"/>
      <c r="CX136" s="68"/>
      <c r="CY136" s="68"/>
      <c r="CZ136" s="68"/>
      <c r="DA136" s="68"/>
      <c r="DB136" s="68"/>
      <c r="DC136" s="68"/>
      <c r="DD136" s="68"/>
      <c r="DE136" s="68"/>
      <c r="DF136" s="68"/>
    </row>
    <row r="137" spans="1:110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  <c r="BP137" s="68"/>
      <c r="BQ137" s="68"/>
      <c r="BR137" s="68"/>
      <c r="BS137" s="68"/>
      <c r="BT137" s="68"/>
      <c r="BU137" s="68"/>
      <c r="BV137" s="68"/>
      <c r="BW137" s="68"/>
      <c r="BX137" s="68"/>
      <c r="BY137" s="68"/>
      <c r="BZ137" s="68"/>
      <c r="CA137" s="68"/>
      <c r="CB137" s="68"/>
      <c r="CC137" s="68"/>
      <c r="CD137" s="68"/>
      <c r="CE137" s="68"/>
      <c r="CF137" s="68"/>
      <c r="CG137" s="68"/>
      <c r="CH137" s="68"/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  <c r="CW137" s="68"/>
      <c r="CX137" s="68"/>
      <c r="CY137" s="68"/>
      <c r="CZ137" s="68"/>
      <c r="DA137" s="68"/>
      <c r="DB137" s="68"/>
      <c r="DC137" s="68"/>
      <c r="DD137" s="68"/>
      <c r="DE137" s="68"/>
      <c r="DF137" s="68"/>
    </row>
    <row r="138" spans="1:110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  <c r="BK138" s="68"/>
      <c r="BL138" s="68"/>
      <c r="BM138" s="68"/>
      <c r="BN138" s="68"/>
      <c r="BO138" s="68"/>
      <c r="BP138" s="68"/>
      <c r="BQ138" s="68"/>
      <c r="BR138" s="68"/>
      <c r="BS138" s="68"/>
      <c r="BT138" s="68"/>
      <c r="BU138" s="68"/>
      <c r="BV138" s="68"/>
      <c r="BW138" s="68"/>
      <c r="BX138" s="68"/>
      <c r="BY138" s="68"/>
      <c r="BZ138" s="68"/>
      <c r="CA138" s="68"/>
      <c r="CB138" s="68"/>
      <c r="CC138" s="68"/>
      <c r="CD138" s="68"/>
      <c r="CE138" s="68"/>
      <c r="CF138" s="68"/>
      <c r="CG138" s="68"/>
      <c r="CH138" s="68"/>
      <c r="CI138" s="68"/>
      <c r="CJ138" s="68"/>
      <c r="CK138" s="68"/>
      <c r="CL138" s="68"/>
      <c r="CM138" s="68"/>
      <c r="CN138" s="68"/>
      <c r="CO138" s="68"/>
      <c r="CP138" s="68"/>
      <c r="CQ138" s="68"/>
      <c r="CR138" s="68"/>
      <c r="CS138" s="68"/>
      <c r="CT138" s="68"/>
      <c r="CU138" s="68"/>
      <c r="CV138" s="68"/>
      <c r="CW138" s="68"/>
      <c r="CX138" s="68"/>
      <c r="CY138" s="68"/>
      <c r="CZ138" s="68"/>
      <c r="DA138" s="68"/>
      <c r="DB138" s="68"/>
      <c r="DC138" s="68"/>
      <c r="DD138" s="68"/>
      <c r="DE138" s="68"/>
      <c r="DF138" s="68"/>
    </row>
    <row r="139" spans="1:110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  <c r="BK139" s="68"/>
      <c r="BL139" s="68"/>
      <c r="BM139" s="68"/>
      <c r="BN139" s="68"/>
      <c r="BO139" s="68"/>
      <c r="BP139" s="68"/>
      <c r="BQ139" s="68"/>
      <c r="BR139" s="68"/>
      <c r="BS139" s="68"/>
      <c r="BT139" s="68"/>
      <c r="BU139" s="68"/>
      <c r="BV139" s="68"/>
      <c r="BW139" s="68"/>
      <c r="BX139" s="68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68"/>
      <c r="CQ139" s="68"/>
      <c r="CR139" s="68"/>
      <c r="CS139" s="68"/>
      <c r="CT139" s="68"/>
      <c r="CU139" s="68"/>
      <c r="CV139" s="68"/>
      <c r="CW139" s="68"/>
      <c r="CX139" s="68"/>
      <c r="CY139" s="68"/>
      <c r="CZ139" s="68"/>
      <c r="DA139" s="68"/>
      <c r="DB139" s="68"/>
      <c r="DC139" s="68"/>
      <c r="DD139" s="68"/>
      <c r="DE139" s="68"/>
      <c r="DF139" s="68"/>
    </row>
    <row r="140" spans="1:110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  <c r="BK140" s="68"/>
      <c r="BL140" s="68"/>
      <c r="BM140" s="68"/>
      <c r="BN140" s="68"/>
      <c r="BO140" s="68"/>
      <c r="BP140" s="68"/>
      <c r="BQ140" s="68"/>
      <c r="BR140" s="68"/>
      <c r="BS140" s="68"/>
      <c r="BT140" s="68"/>
      <c r="BU140" s="68"/>
      <c r="BV140" s="68"/>
      <c r="BW140" s="68"/>
      <c r="BX140" s="68"/>
      <c r="BY140" s="68"/>
      <c r="BZ140" s="68"/>
      <c r="CA140" s="68"/>
      <c r="CB140" s="68"/>
      <c r="CC140" s="68"/>
      <c r="CD140" s="68"/>
      <c r="CE140" s="68"/>
      <c r="CF140" s="68"/>
      <c r="CG140" s="68"/>
      <c r="CH140" s="68"/>
      <c r="CI140" s="68"/>
      <c r="CJ140" s="68"/>
      <c r="CK140" s="68"/>
      <c r="CL140" s="68"/>
      <c r="CM140" s="68"/>
      <c r="CN140" s="68"/>
      <c r="CO140" s="68"/>
      <c r="CP140" s="68"/>
      <c r="CQ140" s="68"/>
      <c r="CR140" s="68"/>
      <c r="CS140" s="68"/>
      <c r="CT140" s="68"/>
      <c r="CU140" s="68"/>
      <c r="CV140" s="68"/>
      <c r="CW140" s="68"/>
      <c r="CX140" s="68"/>
      <c r="CY140" s="68"/>
      <c r="CZ140" s="68"/>
      <c r="DA140" s="68"/>
      <c r="DB140" s="68"/>
      <c r="DC140" s="68"/>
      <c r="DD140" s="68"/>
      <c r="DE140" s="68"/>
      <c r="DF140" s="68"/>
    </row>
    <row r="141" spans="1:110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  <c r="BK141" s="68"/>
      <c r="BL141" s="68"/>
      <c r="BM141" s="68"/>
      <c r="BN141" s="68"/>
      <c r="BO141" s="68"/>
      <c r="BP141" s="68"/>
      <c r="BQ141" s="68"/>
      <c r="BR141" s="68"/>
      <c r="BS141" s="68"/>
      <c r="BT141" s="68"/>
      <c r="BU141" s="68"/>
      <c r="BV141" s="68"/>
      <c r="BW141" s="68"/>
      <c r="BX141" s="68"/>
      <c r="BY141" s="68"/>
      <c r="BZ141" s="68"/>
      <c r="CA141" s="68"/>
      <c r="CB141" s="68"/>
      <c r="CC141" s="68"/>
      <c r="CD141" s="68"/>
      <c r="CE141" s="68"/>
      <c r="CF141" s="68"/>
      <c r="CG141" s="68"/>
      <c r="CH141" s="68"/>
      <c r="CI141" s="68"/>
      <c r="CJ141" s="68"/>
      <c r="CK141" s="68"/>
      <c r="CL141" s="68"/>
      <c r="CM141" s="68"/>
      <c r="CN141" s="68"/>
      <c r="CO141" s="68"/>
      <c r="CP141" s="68"/>
      <c r="CQ141" s="68"/>
      <c r="CR141" s="68"/>
      <c r="CS141" s="68"/>
      <c r="CT141" s="68"/>
      <c r="CU141" s="68"/>
      <c r="CV141" s="68"/>
      <c r="CW141" s="68"/>
      <c r="CX141" s="68"/>
      <c r="CY141" s="68"/>
      <c r="CZ141" s="68"/>
      <c r="DA141" s="68"/>
      <c r="DB141" s="68"/>
      <c r="DC141" s="68"/>
      <c r="DD141" s="68"/>
      <c r="DE141" s="68"/>
      <c r="DF141" s="68"/>
    </row>
    <row r="142" spans="1:110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  <c r="BK142" s="68"/>
      <c r="BL142" s="68"/>
      <c r="BM142" s="68"/>
      <c r="BN142" s="68"/>
      <c r="BO142" s="68"/>
      <c r="BP142" s="68"/>
      <c r="BQ142" s="68"/>
      <c r="BR142" s="68"/>
      <c r="BS142" s="68"/>
      <c r="BT142" s="68"/>
      <c r="BU142" s="68"/>
      <c r="BV142" s="68"/>
      <c r="BW142" s="68"/>
      <c r="BX142" s="68"/>
      <c r="BY142" s="68"/>
      <c r="BZ142" s="68"/>
      <c r="CA142" s="68"/>
      <c r="CB142" s="68"/>
      <c r="CC142" s="68"/>
      <c r="CD142" s="68"/>
      <c r="CE142" s="68"/>
      <c r="CF142" s="68"/>
      <c r="CG142" s="68"/>
      <c r="CH142" s="68"/>
      <c r="CI142" s="68"/>
      <c r="CJ142" s="68"/>
      <c r="CK142" s="68"/>
      <c r="CL142" s="68"/>
      <c r="CM142" s="68"/>
      <c r="CN142" s="68"/>
      <c r="CO142" s="68"/>
      <c r="CP142" s="68"/>
      <c r="CQ142" s="68"/>
      <c r="CR142" s="68"/>
      <c r="CS142" s="68"/>
      <c r="CT142" s="68"/>
      <c r="CU142" s="68"/>
      <c r="CV142" s="68"/>
      <c r="CW142" s="68"/>
      <c r="CX142" s="68"/>
      <c r="CY142" s="68"/>
      <c r="CZ142" s="68"/>
      <c r="DA142" s="68"/>
      <c r="DB142" s="68"/>
      <c r="DC142" s="68"/>
      <c r="DD142" s="68"/>
      <c r="DE142" s="68"/>
      <c r="DF142" s="68"/>
    </row>
    <row r="143" spans="1:110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  <c r="BP143" s="68"/>
      <c r="BQ143" s="68"/>
      <c r="BR143" s="68"/>
      <c r="BS143" s="68"/>
      <c r="BT143" s="68"/>
      <c r="BU143" s="68"/>
      <c r="BV143" s="68"/>
      <c r="BW143" s="68"/>
      <c r="BX143" s="68"/>
      <c r="BY143" s="68"/>
      <c r="BZ143" s="68"/>
      <c r="CA143" s="68"/>
      <c r="CB143" s="68"/>
      <c r="CC143" s="68"/>
      <c r="CD143" s="68"/>
      <c r="CE143" s="68"/>
      <c r="CF143" s="68"/>
      <c r="CG143" s="68"/>
      <c r="CH143" s="68"/>
      <c r="CI143" s="68"/>
      <c r="CJ143" s="68"/>
      <c r="CK143" s="68"/>
      <c r="CL143" s="68"/>
      <c r="CM143" s="68"/>
      <c r="CN143" s="68"/>
      <c r="CO143" s="68"/>
      <c r="CP143" s="68"/>
      <c r="CQ143" s="68"/>
      <c r="CR143" s="68"/>
      <c r="CS143" s="68"/>
      <c r="CT143" s="68"/>
      <c r="CU143" s="68"/>
      <c r="CV143" s="68"/>
      <c r="CW143" s="68"/>
      <c r="CX143" s="68"/>
      <c r="CY143" s="68"/>
      <c r="CZ143" s="68"/>
      <c r="DA143" s="68"/>
      <c r="DB143" s="68"/>
      <c r="DC143" s="68"/>
      <c r="DD143" s="68"/>
      <c r="DE143" s="68"/>
      <c r="DF143" s="68"/>
    </row>
    <row r="144" spans="1:110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  <c r="BK144" s="68"/>
      <c r="BL144" s="68"/>
      <c r="BM144" s="68"/>
      <c r="BN144" s="68"/>
      <c r="BO144" s="68"/>
      <c r="BP144" s="68"/>
      <c r="BQ144" s="68"/>
      <c r="BR144" s="68"/>
      <c r="BS144" s="68"/>
      <c r="BT144" s="68"/>
      <c r="BU144" s="68"/>
      <c r="BV144" s="68"/>
      <c r="BW144" s="68"/>
      <c r="BX144" s="68"/>
      <c r="BY144" s="68"/>
      <c r="BZ144" s="68"/>
      <c r="CA144" s="68"/>
      <c r="CB144" s="68"/>
      <c r="CC144" s="68"/>
      <c r="CD144" s="68"/>
      <c r="CE144" s="68"/>
      <c r="CF144" s="68"/>
      <c r="CG144" s="68"/>
      <c r="CH144" s="68"/>
      <c r="CI144" s="68"/>
      <c r="CJ144" s="68"/>
      <c r="CK144" s="68"/>
      <c r="CL144" s="68"/>
      <c r="CM144" s="68"/>
      <c r="CN144" s="68"/>
      <c r="CO144" s="68"/>
      <c r="CP144" s="68"/>
      <c r="CQ144" s="68"/>
      <c r="CR144" s="68"/>
      <c r="CS144" s="68"/>
      <c r="CT144" s="68"/>
      <c r="CU144" s="68"/>
      <c r="CV144" s="68"/>
      <c r="CW144" s="68"/>
      <c r="CX144" s="68"/>
      <c r="CY144" s="68"/>
      <c r="CZ144" s="68"/>
      <c r="DA144" s="68"/>
      <c r="DB144" s="68"/>
      <c r="DC144" s="68"/>
      <c r="DD144" s="68"/>
      <c r="DE144" s="68"/>
      <c r="DF144" s="68"/>
    </row>
    <row r="145" spans="1:110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</row>
    <row r="146" spans="1:110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/>
      <c r="CE146" s="68"/>
      <c r="CF146" s="68"/>
      <c r="CG146" s="68"/>
      <c r="CH146" s="68"/>
      <c r="CI146" s="68"/>
      <c r="CJ146" s="68"/>
      <c r="CK146" s="68"/>
      <c r="CL146" s="68"/>
      <c r="CM146" s="68"/>
      <c r="CN146" s="68"/>
      <c r="CO146" s="68"/>
      <c r="CP146" s="68"/>
      <c r="CQ146" s="68"/>
      <c r="CR146" s="68"/>
      <c r="CS146" s="68"/>
      <c r="CT146" s="68"/>
      <c r="CU146" s="68"/>
      <c r="CV146" s="68"/>
      <c r="CW146" s="68"/>
      <c r="CX146" s="68"/>
      <c r="CY146" s="68"/>
      <c r="CZ146" s="68"/>
      <c r="DA146" s="68"/>
      <c r="DB146" s="68"/>
      <c r="DC146" s="68"/>
      <c r="DD146" s="68"/>
      <c r="DE146" s="68"/>
      <c r="DF146" s="68"/>
    </row>
    <row r="147" spans="1:110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  <c r="BM147" s="68"/>
      <c r="BN147" s="68"/>
      <c r="BO147" s="68"/>
      <c r="BP147" s="68"/>
      <c r="BQ147" s="68"/>
      <c r="BR147" s="68"/>
      <c r="BS147" s="68"/>
      <c r="BT147" s="68"/>
      <c r="BU147" s="68"/>
      <c r="BV147" s="68"/>
      <c r="BW147" s="68"/>
      <c r="BX147" s="68"/>
      <c r="BY147" s="68"/>
      <c r="BZ147" s="68"/>
      <c r="CA147" s="68"/>
      <c r="CB147" s="68"/>
      <c r="CC147" s="68"/>
      <c r="CD147" s="68"/>
      <c r="CE147" s="68"/>
      <c r="CF147" s="68"/>
      <c r="CG147" s="68"/>
      <c r="CH147" s="68"/>
      <c r="CI147" s="68"/>
      <c r="CJ147" s="68"/>
      <c r="CK147" s="68"/>
      <c r="CL147" s="68"/>
      <c r="CM147" s="68"/>
      <c r="CN147" s="68"/>
      <c r="CO147" s="68"/>
      <c r="CP147" s="68"/>
      <c r="CQ147" s="68"/>
      <c r="CR147" s="68"/>
      <c r="CS147" s="68"/>
      <c r="CT147" s="68"/>
      <c r="CU147" s="68"/>
      <c r="CV147" s="68"/>
      <c r="CW147" s="68"/>
      <c r="CX147" s="68"/>
      <c r="CY147" s="68"/>
      <c r="CZ147" s="68"/>
      <c r="DA147" s="68"/>
      <c r="DB147" s="68"/>
      <c r="DC147" s="68"/>
      <c r="DD147" s="68"/>
      <c r="DE147" s="68"/>
      <c r="DF147" s="68"/>
    </row>
    <row r="148" spans="1:110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  <c r="BP148" s="68"/>
      <c r="BQ148" s="68"/>
      <c r="BR148" s="68"/>
      <c r="BS148" s="68"/>
      <c r="BT148" s="68"/>
      <c r="BU148" s="68"/>
      <c r="BV148" s="68"/>
      <c r="BW148" s="68"/>
      <c r="BX148" s="68"/>
      <c r="BY148" s="68"/>
      <c r="BZ148" s="68"/>
      <c r="CA148" s="68"/>
      <c r="CB148" s="68"/>
      <c r="CC148" s="68"/>
      <c r="CD148" s="68"/>
      <c r="CE148" s="68"/>
      <c r="CF148" s="68"/>
      <c r="CG148" s="68"/>
      <c r="CH148" s="68"/>
      <c r="CI148" s="68"/>
      <c r="CJ148" s="68"/>
      <c r="CK148" s="68"/>
      <c r="CL148" s="68"/>
      <c r="CM148" s="68"/>
      <c r="CN148" s="68"/>
      <c r="CO148" s="68"/>
      <c r="CP148" s="68"/>
      <c r="CQ148" s="68"/>
      <c r="CR148" s="68"/>
      <c r="CS148" s="68"/>
      <c r="CT148" s="68"/>
      <c r="CU148" s="68"/>
      <c r="CV148" s="68"/>
      <c r="CW148" s="68"/>
      <c r="CX148" s="68"/>
      <c r="CY148" s="68"/>
      <c r="CZ148" s="68"/>
      <c r="DA148" s="68"/>
      <c r="DB148" s="68"/>
      <c r="DC148" s="68"/>
      <c r="DD148" s="68"/>
      <c r="DE148" s="68"/>
      <c r="DF148" s="68"/>
    </row>
    <row r="149" spans="1:110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  <c r="BP149" s="68"/>
      <c r="BQ149" s="68"/>
      <c r="BR149" s="68"/>
      <c r="BS149" s="68"/>
      <c r="BT149" s="68"/>
      <c r="BU149" s="68"/>
      <c r="BV149" s="68"/>
      <c r="BW149" s="68"/>
      <c r="BX149" s="68"/>
      <c r="BY149" s="68"/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68"/>
      <c r="CO149" s="68"/>
      <c r="CP149" s="68"/>
      <c r="CQ149" s="68"/>
      <c r="CR149" s="68"/>
      <c r="CS149" s="68"/>
      <c r="CT149" s="68"/>
      <c r="CU149" s="68"/>
      <c r="CV149" s="68"/>
      <c r="CW149" s="68"/>
      <c r="CX149" s="68"/>
      <c r="CY149" s="68"/>
      <c r="CZ149" s="68"/>
      <c r="DA149" s="68"/>
      <c r="DB149" s="68"/>
      <c r="DC149" s="68"/>
      <c r="DD149" s="68"/>
      <c r="DE149" s="68"/>
      <c r="DF149" s="68"/>
    </row>
    <row r="150" spans="1:110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  <c r="BP150" s="68"/>
      <c r="BQ150" s="68"/>
      <c r="BR150" s="68"/>
      <c r="BS150" s="68"/>
      <c r="BT150" s="68"/>
      <c r="BU150" s="68"/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/>
      <c r="CM150" s="68"/>
      <c r="CN150" s="68"/>
      <c r="CO150" s="68"/>
      <c r="CP150" s="68"/>
      <c r="CQ150" s="68"/>
      <c r="CR150" s="68"/>
      <c r="CS150" s="68"/>
      <c r="CT150" s="68"/>
      <c r="CU150" s="68"/>
      <c r="CV150" s="68"/>
      <c r="CW150" s="68"/>
      <c r="CX150" s="68"/>
      <c r="CY150" s="68"/>
      <c r="CZ150" s="68"/>
      <c r="DA150" s="68"/>
      <c r="DB150" s="68"/>
      <c r="DC150" s="68"/>
      <c r="DD150" s="68"/>
      <c r="DE150" s="68"/>
      <c r="DF150" s="68"/>
    </row>
    <row r="151" spans="1:110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  <c r="BM151" s="68"/>
      <c r="BN151" s="68"/>
      <c r="BO151" s="68"/>
      <c r="BP151" s="68"/>
      <c r="BQ151" s="68"/>
      <c r="BR151" s="68"/>
      <c r="BS151" s="68"/>
      <c r="BT151" s="68"/>
      <c r="BU151" s="68"/>
      <c r="BV151" s="68"/>
      <c r="BW151" s="68"/>
      <c r="BX151" s="68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68"/>
      <c r="CQ151" s="68"/>
      <c r="CR151" s="68"/>
      <c r="CS151" s="68"/>
      <c r="CT151" s="68"/>
      <c r="CU151" s="68"/>
      <c r="CV151" s="68"/>
      <c r="CW151" s="68"/>
      <c r="CX151" s="68"/>
      <c r="CY151" s="68"/>
      <c r="CZ151" s="68"/>
      <c r="DA151" s="68"/>
      <c r="DB151" s="68"/>
      <c r="DC151" s="68"/>
      <c r="DD151" s="68"/>
      <c r="DE151" s="68"/>
      <c r="DF151" s="68"/>
    </row>
    <row r="152" spans="1:110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  <c r="BP152" s="68"/>
      <c r="BQ152" s="68"/>
      <c r="BR152" s="68"/>
      <c r="BS152" s="68"/>
      <c r="BT152" s="68"/>
      <c r="BU152" s="68"/>
      <c r="BV152" s="68"/>
      <c r="BW152" s="68"/>
      <c r="BX152" s="68"/>
      <c r="BY152" s="68"/>
      <c r="BZ152" s="68"/>
      <c r="CA152" s="68"/>
      <c r="CB152" s="68"/>
      <c r="CC152" s="68"/>
      <c r="CD152" s="68"/>
      <c r="CE152" s="68"/>
      <c r="CF152" s="68"/>
      <c r="CG152" s="68"/>
      <c r="CH152" s="68"/>
      <c r="CI152" s="68"/>
      <c r="CJ152" s="68"/>
      <c r="CK152" s="68"/>
      <c r="CL152" s="68"/>
      <c r="CM152" s="68"/>
      <c r="CN152" s="68"/>
      <c r="CO152" s="68"/>
      <c r="CP152" s="68"/>
      <c r="CQ152" s="68"/>
      <c r="CR152" s="68"/>
      <c r="CS152" s="68"/>
      <c r="CT152" s="68"/>
      <c r="CU152" s="68"/>
      <c r="CV152" s="68"/>
      <c r="CW152" s="68"/>
      <c r="CX152" s="68"/>
      <c r="CY152" s="68"/>
      <c r="CZ152" s="68"/>
      <c r="DA152" s="68"/>
      <c r="DB152" s="68"/>
      <c r="DC152" s="68"/>
      <c r="DD152" s="68"/>
      <c r="DE152" s="68"/>
      <c r="DF152" s="68"/>
    </row>
    <row r="153" spans="1:110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  <c r="BP153" s="68"/>
      <c r="BQ153" s="68"/>
      <c r="BR153" s="68"/>
      <c r="BS153" s="68"/>
      <c r="BT153" s="68"/>
      <c r="BU153" s="68"/>
      <c r="BV153" s="68"/>
      <c r="BW153" s="68"/>
      <c r="BX153" s="68"/>
      <c r="BY153" s="68"/>
      <c r="BZ153" s="68"/>
      <c r="CA153" s="68"/>
      <c r="CB153" s="68"/>
      <c r="CC153" s="68"/>
      <c r="CD153" s="68"/>
      <c r="CE153" s="68"/>
      <c r="CF153" s="68"/>
      <c r="CG153" s="68"/>
      <c r="CH153" s="68"/>
      <c r="CI153" s="68"/>
      <c r="CJ153" s="68"/>
      <c r="CK153" s="68"/>
      <c r="CL153" s="68"/>
      <c r="CM153" s="68"/>
      <c r="CN153" s="68"/>
      <c r="CO153" s="68"/>
      <c r="CP153" s="68"/>
      <c r="CQ153" s="68"/>
      <c r="CR153" s="68"/>
      <c r="CS153" s="68"/>
      <c r="CT153" s="68"/>
      <c r="CU153" s="68"/>
      <c r="CV153" s="68"/>
      <c r="CW153" s="68"/>
      <c r="CX153" s="68"/>
      <c r="CY153" s="68"/>
      <c r="CZ153" s="68"/>
      <c r="DA153" s="68"/>
      <c r="DB153" s="68"/>
      <c r="DC153" s="68"/>
      <c r="DD153" s="68"/>
      <c r="DE153" s="68"/>
      <c r="DF153" s="68"/>
    </row>
    <row r="154" spans="1:110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  <c r="DA154" s="68"/>
      <c r="DB154" s="68"/>
      <c r="DC154" s="68"/>
      <c r="DD154" s="68"/>
      <c r="DE154" s="68"/>
      <c r="DF154" s="68"/>
    </row>
    <row r="155" spans="1:110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  <c r="BP155" s="68"/>
      <c r="BQ155" s="68"/>
      <c r="BR155" s="68"/>
      <c r="BS155" s="68"/>
      <c r="BT155" s="68"/>
      <c r="BU155" s="68"/>
      <c r="BV155" s="68"/>
      <c r="BW155" s="68"/>
      <c r="BX155" s="68"/>
      <c r="BY155" s="68"/>
      <c r="BZ155" s="68"/>
      <c r="CA155" s="68"/>
      <c r="CB155" s="68"/>
      <c r="CC155" s="68"/>
      <c r="CD155" s="68"/>
      <c r="CE155" s="68"/>
      <c r="CF155" s="68"/>
      <c r="CG155" s="68"/>
      <c r="CH155" s="68"/>
      <c r="CI155" s="68"/>
      <c r="CJ155" s="68"/>
      <c r="CK155" s="68"/>
      <c r="CL155" s="68"/>
      <c r="CM155" s="68"/>
      <c r="CN155" s="68"/>
      <c r="CO155" s="68"/>
      <c r="CP155" s="68"/>
      <c r="CQ155" s="68"/>
      <c r="CR155" s="68"/>
      <c r="CS155" s="68"/>
      <c r="CT155" s="68"/>
      <c r="CU155" s="68"/>
      <c r="CV155" s="68"/>
      <c r="CW155" s="68"/>
      <c r="CX155" s="68"/>
      <c r="CY155" s="68"/>
      <c r="CZ155" s="68"/>
      <c r="DA155" s="68"/>
      <c r="DB155" s="68"/>
      <c r="DC155" s="68"/>
      <c r="DD155" s="68"/>
      <c r="DE155" s="68"/>
      <c r="DF155" s="68"/>
    </row>
    <row r="156" spans="1:110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  <c r="BK156" s="68"/>
      <c r="BL156" s="68"/>
      <c r="BM156" s="68"/>
      <c r="BN156" s="68"/>
      <c r="BO156" s="68"/>
      <c r="BP156" s="68"/>
      <c r="BQ156" s="68"/>
      <c r="BR156" s="68"/>
      <c r="BS156" s="68"/>
      <c r="BT156" s="68"/>
      <c r="BU156" s="68"/>
      <c r="BV156" s="68"/>
      <c r="BW156" s="68"/>
      <c r="BX156" s="68"/>
      <c r="BY156" s="68"/>
      <c r="BZ156" s="68"/>
      <c r="CA156" s="68"/>
      <c r="CB156" s="68"/>
      <c r="CC156" s="68"/>
      <c r="CD156" s="68"/>
      <c r="CE156" s="68"/>
      <c r="CF156" s="68"/>
      <c r="CG156" s="68"/>
      <c r="CH156" s="68"/>
      <c r="CI156" s="68"/>
      <c r="CJ156" s="68"/>
      <c r="CK156" s="68"/>
      <c r="CL156" s="68"/>
      <c r="CM156" s="68"/>
      <c r="CN156" s="68"/>
      <c r="CO156" s="68"/>
      <c r="CP156" s="68"/>
      <c r="CQ156" s="68"/>
      <c r="CR156" s="68"/>
      <c r="CS156" s="68"/>
      <c r="CT156" s="68"/>
      <c r="CU156" s="68"/>
      <c r="CV156" s="68"/>
      <c r="CW156" s="68"/>
      <c r="CX156" s="68"/>
      <c r="CY156" s="68"/>
      <c r="CZ156" s="68"/>
      <c r="DA156" s="68"/>
      <c r="DB156" s="68"/>
      <c r="DC156" s="68"/>
      <c r="DD156" s="68"/>
      <c r="DE156" s="68"/>
      <c r="DF156" s="68"/>
    </row>
    <row r="157" spans="1:110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  <c r="BP157" s="68"/>
      <c r="BQ157" s="68"/>
      <c r="BR157" s="68"/>
      <c r="BS157" s="68"/>
      <c r="BT157" s="68"/>
      <c r="BU157" s="68"/>
      <c r="BV157" s="68"/>
      <c r="BW157" s="68"/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68"/>
      <c r="CO157" s="68"/>
      <c r="CP157" s="68"/>
      <c r="CQ157" s="68"/>
      <c r="CR157" s="68"/>
      <c r="CS157" s="68"/>
      <c r="CT157" s="68"/>
      <c r="CU157" s="68"/>
      <c r="CV157" s="68"/>
      <c r="CW157" s="68"/>
      <c r="CX157" s="68"/>
      <c r="CY157" s="68"/>
      <c r="CZ157" s="68"/>
      <c r="DA157" s="68"/>
      <c r="DB157" s="68"/>
      <c r="DC157" s="68"/>
      <c r="DD157" s="68"/>
      <c r="DE157" s="68"/>
      <c r="DF157" s="68"/>
    </row>
    <row r="158" spans="1:110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  <c r="BM158" s="68"/>
      <c r="BN158" s="68"/>
      <c r="BO158" s="68"/>
      <c r="BP158" s="68"/>
      <c r="BQ158" s="68"/>
      <c r="BR158" s="68"/>
      <c r="BS158" s="68"/>
      <c r="BT158" s="68"/>
      <c r="BU158" s="68"/>
      <c r="BV158" s="68"/>
      <c r="BW158" s="68"/>
      <c r="BX158" s="68"/>
      <c r="BY158" s="68"/>
      <c r="BZ158" s="68"/>
      <c r="CA158" s="68"/>
      <c r="CB158" s="68"/>
      <c r="CC158" s="68"/>
      <c r="CD158" s="68"/>
      <c r="CE158" s="68"/>
      <c r="CF158" s="68"/>
      <c r="CG158" s="68"/>
      <c r="CH158" s="68"/>
      <c r="CI158" s="68"/>
      <c r="CJ158" s="68"/>
      <c r="CK158" s="68"/>
      <c r="CL158" s="68"/>
      <c r="CM158" s="68"/>
      <c r="CN158" s="68"/>
      <c r="CO158" s="68"/>
      <c r="CP158" s="68"/>
      <c r="CQ158" s="68"/>
      <c r="CR158" s="68"/>
      <c r="CS158" s="68"/>
      <c r="CT158" s="68"/>
      <c r="CU158" s="68"/>
      <c r="CV158" s="68"/>
      <c r="CW158" s="68"/>
      <c r="CX158" s="68"/>
      <c r="CY158" s="68"/>
      <c r="CZ158" s="68"/>
      <c r="DA158" s="68"/>
      <c r="DB158" s="68"/>
      <c r="DC158" s="68"/>
      <c r="DD158" s="68"/>
      <c r="DE158" s="68"/>
      <c r="DF158" s="68"/>
    </row>
    <row r="159" spans="1:110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  <c r="BK159" s="68"/>
      <c r="BL159" s="68"/>
      <c r="BM159" s="68"/>
      <c r="BN159" s="68"/>
      <c r="BO159" s="68"/>
      <c r="BP159" s="68"/>
      <c r="BQ159" s="68"/>
      <c r="BR159" s="68"/>
      <c r="BS159" s="68"/>
      <c r="BT159" s="68"/>
      <c r="BU159" s="68"/>
      <c r="BV159" s="68"/>
      <c r="BW159" s="68"/>
      <c r="BX159" s="68"/>
      <c r="BY159" s="68"/>
      <c r="BZ159" s="68"/>
      <c r="CA159" s="68"/>
      <c r="CB159" s="68"/>
      <c r="CC159" s="68"/>
      <c r="CD159" s="68"/>
      <c r="CE159" s="68"/>
      <c r="CF159" s="68"/>
      <c r="CG159" s="68"/>
      <c r="CH159" s="68"/>
      <c r="CI159" s="68"/>
      <c r="CJ159" s="68"/>
      <c r="CK159" s="68"/>
      <c r="CL159" s="68"/>
      <c r="CM159" s="68"/>
      <c r="CN159" s="68"/>
      <c r="CO159" s="68"/>
      <c r="CP159" s="68"/>
      <c r="CQ159" s="68"/>
      <c r="CR159" s="68"/>
      <c r="CS159" s="68"/>
      <c r="CT159" s="68"/>
      <c r="CU159" s="68"/>
      <c r="CV159" s="68"/>
      <c r="CW159" s="68"/>
      <c r="CX159" s="68"/>
      <c r="CY159" s="68"/>
      <c r="CZ159" s="68"/>
      <c r="DA159" s="68"/>
      <c r="DB159" s="68"/>
      <c r="DC159" s="68"/>
      <c r="DD159" s="68"/>
      <c r="DE159" s="68"/>
      <c r="DF159" s="68"/>
    </row>
    <row r="160" spans="1:110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  <c r="BP160" s="68"/>
      <c r="BQ160" s="68"/>
      <c r="BR160" s="68"/>
      <c r="BS160" s="68"/>
      <c r="BT160" s="68"/>
      <c r="BU160" s="68"/>
      <c r="BV160" s="68"/>
      <c r="BW160" s="68"/>
      <c r="BX160" s="68"/>
      <c r="BY160" s="68"/>
      <c r="BZ160" s="68"/>
      <c r="CA160" s="68"/>
      <c r="CB160" s="68"/>
      <c r="CC160" s="68"/>
      <c r="CD160" s="68"/>
      <c r="CE160" s="68"/>
      <c r="CF160" s="68"/>
      <c r="CG160" s="68"/>
      <c r="CH160" s="68"/>
      <c r="CI160" s="68"/>
      <c r="CJ160" s="68"/>
      <c r="CK160" s="68"/>
      <c r="CL160" s="68"/>
      <c r="CM160" s="68"/>
      <c r="CN160" s="68"/>
      <c r="CO160" s="68"/>
      <c r="CP160" s="68"/>
      <c r="CQ160" s="68"/>
      <c r="CR160" s="68"/>
      <c r="CS160" s="68"/>
      <c r="CT160" s="68"/>
      <c r="CU160" s="68"/>
      <c r="CV160" s="68"/>
      <c r="CW160" s="68"/>
      <c r="CX160" s="68"/>
      <c r="CY160" s="68"/>
      <c r="CZ160" s="68"/>
      <c r="DA160" s="68"/>
      <c r="DB160" s="68"/>
      <c r="DC160" s="68"/>
      <c r="DD160" s="68"/>
      <c r="DE160" s="68"/>
      <c r="DF160" s="68"/>
    </row>
    <row r="161" spans="1:110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  <c r="BM161" s="68"/>
      <c r="BN161" s="68"/>
      <c r="BO161" s="68"/>
      <c r="BP161" s="68"/>
      <c r="BQ161" s="68"/>
      <c r="BR161" s="68"/>
      <c r="BS161" s="68"/>
      <c r="BT161" s="68"/>
      <c r="BU161" s="68"/>
      <c r="BV161" s="68"/>
      <c r="BW161" s="68"/>
      <c r="BX161" s="68"/>
      <c r="BY161" s="68"/>
      <c r="BZ161" s="68"/>
      <c r="CA161" s="68"/>
      <c r="CB161" s="68"/>
      <c r="CC161" s="68"/>
      <c r="CD161" s="68"/>
      <c r="CE161" s="68"/>
      <c r="CF161" s="68"/>
      <c r="CG161" s="68"/>
      <c r="CH161" s="68"/>
      <c r="CI161" s="68"/>
      <c r="CJ161" s="68"/>
      <c r="CK161" s="68"/>
      <c r="CL161" s="68"/>
      <c r="CM161" s="68"/>
      <c r="CN161" s="68"/>
      <c r="CO161" s="68"/>
      <c r="CP161" s="68"/>
      <c r="CQ161" s="68"/>
      <c r="CR161" s="68"/>
      <c r="CS161" s="68"/>
      <c r="CT161" s="68"/>
      <c r="CU161" s="68"/>
      <c r="CV161" s="68"/>
      <c r="CW161" s="68"/>
      <c r="CX161" s="68"/>
      <c r="CY161" s="68"/>
      <c r="CZ161" s="68"/>
      <c r="DA161" s="68"/>
      <c r="DB161" s="68"/>
      <c r="DC161" s="68"/>
      <c r="DD161" s="68"/>
      <c r="DE161" s="68"/>
      <c r="DF161" s="68"/>
    </row>
    <row r="162" spans="1:110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BR162" s="68"/>
      <c r="BS162" s="68"/>
      <c r="BT162" s="68"/>
      <c r="BU162" s="68"/>
      <c r="BV162" s="68"/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68"/>
      <c r="CO162" s="68"/>
      <c r="CP162" s="68"/>
      <c r="CQ162" s="68"/>
      <c r="CR162" s="68"/>
      <c r="CS162" s="68"/>
      <c r="CT162" s="68"/>
      <c r="CU162" s="68"/>
      <c r="CV162" s="68"/>
      <c r="CW162" s="68"/>
      <c r="CX162" s="68"/>
      <c r="CY162" s="68"/>
      <c r="CZ162" s="68"/>
      <c r="DA162" s="68"/>
      <c r="DB162" s="68"/>
      <c r="DC162" s="68"/>
      <c r="DD162" s="68"/>
      <c r="DE162" s="68"/>
      <c r="DF162" s="68"/>
    </row>
    <row r="163" spans="1:110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/>
      <c r="CE163" s="68"/>
      <c r="CF163" s="68"/>
      <c r="CG163" s="68"/>
      <c r="CH163" s="68"/>
      <c r="CI163" s="68"/>
      <c r="CJ163" s="68"/>
      <c r="CK163" s="68"/>
      <c r="CL163" s="68"/>
      <c r="CM163" s="68"/>
      <c r="CN163" s="68"/>
      <c r="CO163" s="68"/>
      <c r="CP163" s="68"/>
      <c r="CQ163" s="68"/>
      <c r="CR163" s="68"/>
      <c r="CS163" s="68"/>
      <c r="CT163" s="68"/>
      <c r="CU163" s="68"/>
      <c r="CV163" s="68"/>
      <c r="CW163" s="68"/>
      <c r="CX163" s="68"/>
      <c r="CY163" s="68"/>
      <c r="CZ163" s="68"/>
      <c r="DA163" s="68"/>
      <c r="DB163" s="68"/>
      <c r="DC163" s="68"/>
      <c r="DD163" s="68"/>
      <c r="DE163" s="68"/>
      <c r="DF163" s="68"/>
    </row>
    <row r="164" spans="1:110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  <c r="BP164" s="68"/>
      <c r="BQ164" s="68"/>
      <c r="BR164" s="68"/>
      <c r="BS164" s="68"/>
      <c r="BT164" s="68"/>
      <c r="BU164" s="68"/>
      <c r="BV164" s="68"/>
      <c r="BW164" s="68"/>
      <c r="BX164" s="68"/>
      <c r="BY164" s="68"/>
      <c r="BZ164" s="68"/>
      <c r="CA164" s="68"/>
      <c r="CB164" s="68"/>
      <c r="CC164" s="68"/>
      <c r="CD164" s="68"/>
      <c r="CE164" s="68"/>
      <c r="CF164" s="68"/>
      <c r="CG164" s="68"/>
      <c r="CH164" s="68"/>
      <c r="CI164" s="68"/>
      <c r="CJ164" s="68"/>
      <c r="CK164" s="68"/>
      <c r="CL164" s="68"/>
      <c r="CM164" s="68"/>
      <c r="CN164" s="68"/>
      <c r="CO164" s="68"/>
      <c r="CP164" s="68"/>
      <c r="CQ164" s="68"/>
      <c r="CR164" s="68"/>
      <c r="CS164" s="68"/>
      <c r="CT164" s="68"/>
      <c r="CU164" s="68"/>
      <c r="CV164" s="68"/>
      <c r="CW164" s="68"/>
      <c r="CX164" s="68"/>
      <c r="CY164" s="68"/>
      <c r="CZ164" s="68"/>
      <c r="DA164" s="68"/>
      <c r="DB164" s="68"/>
      <c r="DC164" s="68"/>
      <c r="DD164" s="68"/>
      <c r="DE164" s="68"/>
      <c r="DF164" s="68"/>
    </row>
    <row r="165" spans="1:110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</row>
    <row r="166" spans="1:110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  <c r="BK166" s="68"/>
      <c r="BL166" s="68"/>
      <c r="BM166" s="68"/>
      <c r="BN166" s="68"/>
      <c r="BO166" s="68"/>
      <c r="BP166" s="68"/>
      <c r="BQ166" s="68"/>
      <c r="BR166" s="68"/>
      <c r="BS166" s="68"/>
      <c r="BT166" s="68"/>
      <c r="BU166" s="68"/>
      <c r="BV166" s="68"/>
      <c r="BW166" s="68"/>
      <c r="BX166" s="68"/>
      <c r="BY166" s="68"/>
      <c r="BZ166" s="68"/>
      <c r="CA166" s="68"/>
      <c r="CB166" s="68"/>
      <c r="CC166" s="68"/>
      <c r="CD166" s="68"/>
      <c r="CE166" s="68"/>
      <c r="CF166" s="68"/>
      <c r="CG166" s="68"/>
      <c r="CH166" s="68"/>
      <c r="CI166" s="68"/>
      <c r="CJ166" s="68"/>
      <c r="CK166" s="68"/>
      <c r="CL166" s="68"/>
      <c r="CM166" s="68"/>
      <c r="CN166" s="68"/>
      <c r="CO166" s="68"/>
      <c r="CP166" s="68"/>
      <c r="CQ166" s="68"/>
      <c r="CR166" s="68"/>
      <c r="CS166" s="68"/>
      <c r="CT166" s="68"/>
      <c r="CU166" s="68"/>
      <c r="CV166" s="68"/>
      <c r="CW166" s="68"/>
      <c r="CX166" s="68"/>
      <c r="CY166" s="68"/>
      <c r="CZ166" s="68"/>
      <c r="DA166" s="68"/>
      <c r="DB166" s="68"/>
      <c r="DC166" s="68"/>
      <c r="DD166" s="68"/>
      <c r="DE166" s="68"/>
      <c r="DF166" s="68"/>
    </row>
    <row r="167" spans="1:110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  <c r="BK167" s="68"/>
      <c r="BL167" s="68"/>
      <c r="BM167" s="68"/>
      <c r="BN167" s="68"/>
      <c r="BO167" s="68"/>
      <c r="BP167" s="68"/>
      <c r="BQ167" s="68"/>
      <c r="BR167" s="68"/>
      <c r="BS167" s="68"/>
      <c r="BT167" s="68"/>
      <c r="BU167" s="68"/>
      <c r="BV167" s="68"/>
      <c r="BW167" s="68"/>
      <c r="BX167" s="68"/>
      <c r="BY167" s="68"/>
      <c r="BZ167" s="68"/>
      <c r="CA167" s="68"/>
      <c r="CB167" s="68"/>
      <c r="CC167" s="68"/>
      <c r="CD167" s="68"/>
      <c r="CE167" s="68"/>
      <c r="CF167" s="68"/>
      <c r="CG167" s="68"/>
      <c r="CH167" s="68"/>
      <c r="CI167" s="68"/>
      <c r="CJ167" s="68"/>
      <c r="CK167" s="68"/>
      <c r="CL167" s="68"/>
      <c r="CM167" s="68"/>
      <c r="CN167" s="68"/>
      <c r="CO167" s="68"/>
      <c r="CP167" s="68"/>
      <c r="CQ167" s="68"/>
      <c r="CR167" s="68"/>
      <c r="CS167" s="68"/>
      <c r="CT167" s="68"/>
      <c r="CU167" s="68"/>
      <c r="CV167" s="68"/>
      <c r="CW167" s="68"/>
      <c r="CX167" s="68"/>
      <c r="CY167" s="68"/>
      <c r="CZ167" s="68"/>
      <c r="DA167" s="68"/>
      <c r="DB167" s="68"/>
      <c r="DC167" s="68"/>
      <c r="DD167" s="68"/>
      <c r="DE167" s="68"/>
      <c r="DF167" s="68"/>
    </row>
    <row r="168" spans="1:110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  <c r="BK168" s="68"/>
      <c r="BL168" s="68"/>
      <c r="BM168" s="68"/>
      <c r="BN168" s="68"/>
      <c r="BO168" s="68"/>
      <c r="BP168" s="68"/>
      <c r="BQ168" s="68"/>
      <c r="BR168" s="68"/>
      <c r="BS168" s="68"/>
      <c r="BT168" s="68"/>
      <c r="BU168" s="68"/>
      <c r="BV168" s="68"/>
      <c r="BW168" s="68"/>
      <c r="BX168" s="68"/>
      <c r="BY168" s="68"/>
      <c r="BZ168" s="68"/>
      <c r="CA168" s="68"/>
      <c r="CB168" s="68"/>
      <c r="CC168" s="68"/>
      <c r="CD168" s="68"/>
      <c r="CE168" s="68"/>
      <c r="CF168" s="68"/>
      <c r="CG168" s="68"/>
      <c r="CH168" s="68"/>
      <c r="CI168" s="68"/>
      <c r="CJ168" s="68"/>
      <c r="CK168" s="68"/>
      <c r="CL168" s="68"/>
      <c r="CM168" s="68"/>
      <c r="CN168" s="68"/>
      <c r="CO168" s="68"/>
      <c r="CP168" s="68"/>
      <c r="CQ168" s="68"/>
      <c r="CR168" s="68"/>
      <c r="CS168" s="68"/>
      <c r="CT168" s="68"/>
      <c r="CU168" s="68"/>
      <c r="CV168" s="68"/>
      <c r="CW168" s="68"/>
      <c r="CX168" s="68"/>
      <c r="CY168" s="68"/>
      <c r="CZ168" s="68"/>
      <c r="DA168" s="68"/>
      <c r="DB168" s="68"/>
      <c r="DC168" s="68"/>
      <c r="DD168" s="68"/>
      <c r="DE168" s="68"/>
      <c r="DF168" s="68"/>
    </row>
    <row r="169" spans="1:110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  <c r="BK169" s="68"/>
      <c r="BL169" s="68"/>
      <c r="BM169" s="68"/>
      <c r="BN169" s="68"/>
      <c r="BO169" s="68"/>
      <c r="BP169" s="68"/>
      <c r="BQ169" s="68"/>
      <c r="BR169" s="68"/>
      <c r="BS169" s="68"/>
      <c r="BT169" s="68"/>
      <c r="BU169" s="68"/>
      <c r="BV169" s="68"/>
      <c r="BW169" s="68"/>
      <c r="BX169" s="68"/>
      <c r="BY169" s="68"/>
      <c r="BZ169" s="68"/>
      <c r="CA169" s="68"/>
      <c r="CB169" s="68"/>
      <c r="CC169" s="68"/>
      <c r="CD169" s="68"/>
      <c r="CE169" s="68"/>
      <c r="CF169" s="68"/>
      <c r="CG169" s="68"/>
      <c r="CH169" s="68"/>
      <c r="CI169" s="68"/>
      <c r="CJ169" s="68"/>
      <c r="CK169" s="68"/>
      <c r="CL169" s="68"/>
      <c r="CM169" s="68"/>
      <c r="CN169" s="68"/>
      <c r="CO169" s="68"/>
      <c r="CP169" s="68"/>
      <c r="CQ169" s="68"/>
      <c r="CR169" s="68"/>
      <c r="CS169" s="68"/>
      <c r="CT169" s="68"/>
      <c r="CU169" s="68"/>
      <c r="CV169" s="68"/>
      <c r="CW169" s="68"/>
      <c r="CX169" s="68"/>
      <c r="CY169" s="68"/>
      <c r="CZ169" s="68"/>
      <c r="DA169" s="68"/>
      <c r="DB169" s="68"/>
      <c r="DC169" s="68"/>
      <c r="DD169" s="68"/>
      <c r="DE169" s="68"/>
      <c r="DF169" s="68"/>
    </row>
    <row r="170" spans="1:110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  <c r="BM170" s="68"/>
      <c r="BN170" s="68"/>
      <c r="BO170" s="68"/>
      <c r="BP170" s="68"/>
      <c r="BQ170" s="68"/>
      <c r="BR170" s="68"/>
      <c r="BS170" s="68"/>
      <c r="BT170" s="68"/>
      <c r="BU170" s="68"/>
      <c r="BV170" s="68"/>
      <c r="BW170" s="68"/>
      <c r="BX170" s="68"/>
      <c r="BY170" s="68"/>
      <c r="BZ170" s="68"/>
      <c r="CA170" s="68"/>
      <c r="CB170" s="68"/>
      <c r="CC170" s="68"/>
      <c r="CD170" s="68"/>
      <c r="CE170" s="68"/>
      <c r="CF170" s="68"/>
      <c r="CG170" s="68"/>
      <c r="CH170" s="68"/>
      <c r="CI170" s="68"/>
      <c r="CJ170" s="68"/>
      <c r="CK170" s="68"/>
      <c r="CL170" s="68"/>
      <c r="CM170" s="68"/>
      <c r="CN170" s="68"/>
      <c r="CO170" s="68"/>
      <c r="CP170" s="68"/>
      <c r="CQ170" s="68"/>
      <c r="CR170" s="68"/>
      <c r="CS170" s="68"/>
      <c r="CT170" s="68"/>
      <c r="CU170" s="68"/>
      <c r="CV170" s="68"/>
      <c r="CW170" s="68"/>
      <c r="CX170" s="68"/>
      <c r="CY170" s="68"/>
      <c r="CZ170" s="68"/>
      <c r="DA170" s="68"/>
      <c r="DB170" s="68"/>
      <c r="DC170" s="68"/>
      <c r="DD170" s="68"/>
      <c r="DE170" s="68"/>
      <c r="DF170" s="68"/>
    </row>
    <row r="171" spans="1:110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8"/>
      <c r="BT171" s="68"/>
      <c r="BU171" s="68"/>
      <c r="BV171" s="68"/>
      <c r="BW171" s="68"/>
      <c r="BX171" s="68"/>
      <c r="BY171" s="68"/>
      <c r="BZ171" s="68"/>
      <c r="CA171" s="68"/>
      <c r="CB171" s="68"/>
      <c r="CC171" s="68"/>
      <c r="CD171" s="68"/>
      <c r="CE171" s="68"/>
      <c r="CF171" s="68"/>
      <c r="CG171" s="68"/>
      <c r="CH171" s="68"/>
      <c r="CI171" s="68"/>
      <c r="CJ171" s="68"/>
      <c r="CK171" s="68"/>
      <c r="CL171" s="68"/>
      <c r="CM171" s="68"/>
      <c r="CN171" s="68"/>
      <c r="CO171" s="68"/>
      <c r="CP171" s="68"/>
      <c r="CQ171" s="68"/>
      <c r="CR171" s="68"/>
      <c r="CS171" s="68"/>
      <c r="CT171" s="68"/>
      <c r="CU171" s="68"/>
      <c r="CV171" s="68"/>
      <c r="CW171" s="68"/>
      <c r="CX171" s="68"/>
      <c r="CY171" s="68"/>
      <c r="CZ171" s="68"/>
      <c r="DA171" s="68"/>
      <c r="DB171" s="68"/>
      <c r="DC171" s="68"/>
      <c r="DD171" s="68"/>
      <c r="DE171" s="68"/>
      <c r="DF171" s="68"/>
    </row>
    <row r="172" spans="1:110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  <c r="BK172" s="68"/>
      <c r="BL172" s="68"/>
      <c r="BM172" s="68"/>
      <c r="BN172" s="68"/>
      <c r="BO172" s="68"/>
      <c r="BP172" s="68"/>
      <c r="BQ172" s="68"/>
      <c r="BR172" s="68"/>
      <c r="BS172" s="68"/>
      <c r="BT172" s="68"/>
      <c r="BU172" s="68"/>
      <c r="BV172" s="68"/>
      <c r="BW172" s="68"/>
      <c r="BX172" s="68"/>
      <c r="BY172" s="68"/>
      <c r="BZ172" s="68"/>
      <c r="CA172" s="68"/>
      <c r="CB172" s="68"/>
      <c r="CC172" s="68"/>
      <c r="CD172" s="68"/>
      <c r="CE172" s="68"/>
      <c r="CF172" s="68"/>
      <c r="CG172" s="68"/>
      <c r="CH172" s="68"/>
      <c r="CI172" s="68"/>
      <c r="CJ172" s="68"/>
      <c r="CK172" s="68"/>
      <c r="CL172" s="68"/>
      <c r="CM172" s="68"/>
      <c r="CN172" s="68"/>
      <c r="CO172" s="68"/>
      <c r="CP172" s="68"/>
      <c r="CQ172" s="68"/>
      <c r="CR172" s="68"/>
      <c r="CS172" s="68"/>
      <c r="CT172" s="68"/>
      <c r="CU172" s="68"/>
      <c r="CV172" s="68"/>
      <c r="CW172" s="68"/>
      <c r="CX172" s="68"/>
      <c r="CY172" s="68"/>
      <c r="CZ172" s="68"/>
      <c r="DA172" s="68"/>
      <c r="DB172" s="68"/>
      <c r="DC172" s="68"/>
      <c r="DD172" s="68"/>
      <c r="DE172" s="68"/>
      <c r="DF172" s="68"/>
    </row>
    <row r="173" spans="1:110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  <c r="BK173" s="68"/>
      <c r="BL173" s="68"/>
      <c r="BM173" s="68"/>
      <c r="BN173" s="68"/>
      <c r="BO173" s="68"/>
      <c r="BP173" s="68"/>
      <c r="BQ173" s="68"/>
      <c r="BR173" s="68"/>
      <c r="BS173" s="68"/>
      <c r="BT173" s="68"/>
      <c r="BU173" s="68"/>
      <c r="BV173" s="68"/>
      <c r="BW173" s="68"/>
      <c r="BX173" s="68"/>
      <c r="BY173" s="68"/>
      <c r="BZ173" s="68"/>
      <c r="CA173" s="68"/>
      <c r="CB173" s="68"/>
      <c r="CC173" s="68"/>
      <c r="CD173" s="68"/>
      <c r="CE173" s="68"/>
      <c r="CF173" s="68"/>
      <c r="CG173" s="68"/>
      <c r="CH173" s="68"/>
      <c r="CI173" s="68"/>
      <c r="CJ173" s="68"/>
      <c r="CK173" s="68"/>
      <c r="CL173" s="68"/>
      <c r="CM173" s="68"/>
      <c r="CN173" s="68"/>
      <c r="CO173" s="68"/>
      <c r="CP173" s="68"/>
      <c r="CQ173" s="68"/>
      <c r="CR173" s="68"/>
      <c r="CS173" s="68"/>
      <c r="CT173" s="68"/>
      <c r="CU173" s="68"/>
      <c r="CV173" s="68"/>
      <c r="CW173" s="68"/>
      <c r="CX173" s="68"/>
      <c r="CY173" s="68"/>
      <c r="CZ173" s="68"/>
      <c r="DA173" s="68"/>
      <c r="DB173" s="68"/>
      <c r="DC173" s="68"/>
      <c r="DD173" s="68"/>
      <c r="DE173" s="68"/>
      <c r="DF173" s="68"/>
    </row>
    <row r="174" spans="1:110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  <c r="BK174" s="68"/>
      <c r="BL174" s="68"/>
      <c r="BM174" s="68"/>
      <c r="BN174" s="68"/>
      <c r="BO174" s="68"/>
      <c r="BP174" s="68"/>
      <c r="BQ174" s="68"/>
      <c r="BR174" s="68"/>
      <c r="BS174" s="68"/>
      <c r="BT174" s="68"/>
      <c r="BU174" s="68"/>
      <c r="BV174" s="68"/>
      <c r="BW174" s="68"/>
      <c r="BX174" s="68"/>
      <c r="BY174" s="68"/>
      <c r="BZ174" s="68"/>
      <c r="CA174" s="68"/>
      <c r="CB174" s="68"/>
      <c r="CC174" s="68"/>
      <c r="CD174" s="68"/>
      <c r="CE174" s="68"/>
      <c r="CF174" s="68"/>
      <c r="CG174" s="68"/>
      <c r="CH174" s="68"/>
      <c r="CI174" s="68"/>
      <c r="CJ174" s="68"/>
      <c r="CK174" s="68"/>
      <c r="CL174" s="68"/>
      <c r="CM174" s="68"/>
      <c r="CN174" s="68"/>
      <c r="CO174" s="68"/>
      <c r="CP174" s="68"/>
      <c r="CQ174" s="68"/>
      <c r="CR174" s="68"/>
      <c r="CS174" s="68"/>
      <c r="CT174" s="68"/>
      <c r="CU174" s="68"/>
      <c r="CV174" s="68"/>
      <c r="CW174" s="68"/>
      <c r="CX174" s="68"/>
      <c r="CY174" s="68"/>
      <c r="CZ174" s="68"/>
      <c r="DA174" s="68"/>
      <c r="DB174" s="68"/>
      <c r="DC174" s="68"/>
      <c r="DD174" s="68"/>
      <c r="DE174" s="68"/>
      <c r="DF174" s="68"/>
    </row>
    <row r="175" spans="1:110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  <c r="BK175" s="68"/>
      <c r="BL175" s="68"/>
      <c r="BM175" s="68"/>
      <c r="BN175" s="68"/>
      <c r="BO175" s="68"/>
      <c r="BP175" s="68"/>
      <c r="BQ175" s="68"/>
      <c r="BR175" s="68"/>
      <c r="BS175" s="68"/>
      <c r="BT175" s="68"/>
      <c r="BU175" s="68"/>
      <c r="BV175" s="68"/>
      <c r="BW175" s="68"/>
      <c r="BX175" s="68"/>
      <c r="BY175" s="68"/>
      <c r="BZ175" s="68"/>
      <c r="CA175" s="68"/>
      <c r="CB175" s="68"/>
      <c r="CC175" s="68"/>
      <c r="CD175" s="68"/>
      <c r="CE175" s="68"/>
      <c r="CF175" s="68"/>
      <c r="CG175" s="68"/>
      <c r="CH175" s="68"/>
      <c r="CI175" s="68"/>
      <c r="CJ175" s="68"/>
      <c r="CK175" s="68"/>
      <c r="CL175" s="68"/>
      <c r="CM175" s="68"/>
      <c r="CN175" s="68"/>
      <c r="CO175" s="68"/>
      <c r="CP175" s="68"/>
      <c r="CQ175" s="68"/>
      <c r="CR175" s="68"/>
      <c r="CS175" s="68"/>
      <c r="CT175" s="68"/>
      <c r="CU175" s="68"/>
      <c r="CV175" s="68"/>
      <c r="CW175" s="68"/>
      <c r="CX175" s="68"/>
      <c r="CY175" s="68"/>
      <c r="CZ175" s="68"/>
      <c r="DA175" s="68"/>
      <c r="DB175" s="68"/>
      <c r="DC175" s="68"/>
      <c r="DD175" s="68"/>
      <c r="DE175" s="68"/>
      <c r="DF175" s="68"/>
    </row>
    <row r="176" spans="1:110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  <c r="BK176" s="68"/>
      <c r="BL176" s="68"/>
      <c r="BM176" s="68"/>
      <c r="BN176" s="68"/>
      <c r="BO176" s="68"/>
      <c r="BP176" s="68"/>
      <c r="BQ176" s="68"/>
      <c r="BR176" s="68"/>
      <c r="BS176" s="68"/>
      <c r="BT176" s="68"/>
      <c r="BU176" s="68"/>
      <c r="BV176" s="68"/>
      <c r="BW176" s="68"/>
      <c r="BX176" s="68"/>
      <c r="BY176" s="68"/>
      <c r="BZ176" s="68"/>
      <c r="CA176" s="68"/>
      <c r="CB176" s="68"/>
      <c r="CC176" s="68"/>
      <c r="CD176" s="68"/>
      <c r="CE176" s="68"/>
      <c r="CF176" s="68"/>
      <c r="CG176" s="68"/>
      <c r="CH176" s="68"/>
      <c r="CI176" s="68"/>
      <c r="CJ176" s="68"/>
      <c r="CK176" s="68"/>
      <c r="CL176" s="68"/>
      <c r="CM176" s="68"/>
      <c r="CN176" s="68"/>
      <c r="CO176" s="68"/>
      <c r="CP176" s="68"/>
      <c r="CQ176" s="68"/>
      <c r="CR176" s="68"/>
      <c r="CS176" s="68"/>
      <c r="CT176" s="68"/>
      <c r="CU176" s="68"/>
      <c r="CV176" s="68"/>
      <c r="CW176" s="68"/>
      <c r="CX176" s="68"/>
      <c r="CY176" s="68"/>
      <c r="CZ176" s="68"/>
      <c r="DA176" s="68"/>
      <c r="DB176" s="68"/>
      <c r="DC176" s="68"/>
      <c r="DD176" s="68"/>
      <c r="DE176" s="68"/>
      <c r="DF176" s="68"/>
    </row>
    <row r="177" spans="1:110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  <c r="BK177" s="68"/>
      <c r="BL177" s="68"/>
      <c r="BM177" s="68"/>
      <c r="BN177" s="68"/>
      <c r="BO177" s="68"/>
      <c r="BP177" s="68"/>
      <c r="BQ177" s="68"/>
      <c r="BR177" s="68"/>
      <c r="BS177" s="68"/>
      <c r="BT177" s="68"/>
      <c r="BU177" s="68"/>
      <c r="BV177" s="68"/>
      <c r="BW177" s="68"/>
      <c r="BX177" s="68"/>
      <c r="BY177" s="68"/>
      <c r="BZ177" s="68"/>
      <c r="CA177" s="68"/>
      <c r="CB177" s="68"/>
      <c r="CC177" s="68"/>
      <c r="CD177" s="68"/>
      <c r="CE177" s="68"/>
      <c r="CF177" s="68"/>
      <c r="CG177" s="68"/>
      <c r="CH177" s="68"/>
      <c r="CI177" s="68"/>
      <c r="CJ177" s="68"/>
      <c r="CK177" s="68"/>
      <c r="CL177" s="68"/>
      <c r="CM177" s="68"/>
      <c r="CN177" s="68"/>
      <c r="CO177" s="68"/>
      <c r="CP177" s="68"/>
      <c r="CQ177" s="68"/>
      <c r="CR177" s="68"/>
      <c r="CS177" s="68"/>
      <c r="CT177" s="68"/>
      <c r="CU177" s="68"/>
      <c r="CV177" s="68"/>
      <c r="CW177" s="68"/>
      <c r="CX177" s="68"/>
      <c r="CY177" s="68"/>
      <c r="CZ177" s="68"/>
      <c r="DA177" s="68"/>
      <c r="DB177" s="68"/>
      <c r="DC177" s="68"/>
      <c r="DD177" s="68"/>
      <c r="DE177" s="68"/>
      <c r="DF177" s="68"/>
    </row>
    <row r="178" spans="1:110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  <c r="BK178" s="68"/>
      <c r="BL178" s="68"/>
      <c r="BM178" s="68"/>
      <c r="BN178" s="68"/>
      <c r="BO178" s="68"/>
      <c r="BP178" s="68"/>
      <c r="BQ178" s="68"/>
      <c r="BR178" s="68"/>
      <c r="BS178" s="68"/>
      <c r="BT178" s="68"/>
      <c r="BU178" s="68"/>
      <c r="BV178" s="68"/>
      <c r="BW178" s="68"/>
      <c r="BX178" s="68"/>
      <c r="BY178" s="68"/>
      <c r="BZ178" s="68"/>
      <c r="CA178" s="68"/>
      <c r="CB178" s="68"/>
      <c r="CC178" s="68"/>
      <c r="CD178" s="68"/>
      <c r="CE178" s="68"/>
      <c r="CF178" s="68"/>
      <c r="CG178" s="68"/>
      <c r="CH178" s="68"/>
      <c r="CI178" s="68"/>
      <c r="CJ178" s="68"/>
      <c r="CK178" s="68"/>
      <c r="CL178" s="68"/>
      <c r="CM178" s="68"/>
      <c r="CN178" s="68"/>
      <c r="CO178" s="68"/>
      <c r="CP178" s="68"/>
      <c r="CQ178" s="68"/>
      <c r="CR178" s="68"/>
      <c r="CS178" s="68"/>
      <c r="CT178" s="68"/>
      <c r="CU178" s="68"/>
      <c r="CV178" s="68"/>
      <c r="CW178" s="68"/>
      <c r="CX178" s="68"/>
      <c r="CY178" s="68"/>
      <c r="CZ178" s="68"/>
      <c r="DA178" s="68"/>
      <c r="DB178" s="68"/>
      <c r="DC178" s="68"/>
      <c r="DD178" s="68"/>
      <c r="DE178" s="68"/>
      <c r="DF178" s="68"/>
    </row>
    <row r="179" spans="1:110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  <c r="BK179" s="68"/>
      <c r="BL179" s="68"/>
      <c r="BM179" s="68"/>
      <c r="BN179" s="68"/>
      <c r="BO179" s="68"/>
      <c r="BP179" s="68"/>
      <c r="BQ179" s="68"/>
      <c r="BR179" s="68"/>
      <c r="BS179" s="68"/>
      <c r="BT179" s="68"/>
      <c r="BU179" s="68"/>
      <c r="BV179" s="68"/>
      <c r="BW179" s="68"/>
      <c r="BX179" s="68"/>
      <c r="BY179" s="68"/>
      <c r="BZ179" s="68"/>
      <c r="CA179" s="68"/>
      <c r="CB179" s="68"/>
      <c r="CC179" s="68"/>
      <c r="CD179" s="68"/>
      <c r="CE179" s="68"/>
      <c r="CF179" s="68"/>
      <c r="CG179" s="68"/>
      <c r="CH179" s="68"/>
      <c r="CI179" s="68"/>
      <c r="CJ179" s="68"/>
      <c r="CK179" s="68"/>
      <c r="CL179" s="68"/>
      <c r="CM179" s="68"/>
      <c r="CN179" s="68"/>
      <c r="CO179" s="68"/>
      <c r="CP179" s="68"/>
      <c r="CQ179" s="68"/>
      <c r="CR179" s="68"/>
      <c r="CS179" s="68"/>
      <c r="CT179" s="68"/>
      <c r="CU179" s="68"/>
      <c r="CV179" s="68"/>
      <c r="CW179" s="68"/>
      <c r="CX179" s="68"/>
      <c r="CY179" s="68"/>
      <c r="CZ179" s="68"/>
      <c r="DA179" s="68"/>
      <c r="DB179" s="68"/>
      <c r="DC179" s="68"/>
      <c r="DD179" s="68"/>
      <c r="DE179" s="68"/>
      <c r="DF179" s="68"/>
    </row>
    <row r="180" spans="1:110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  <c r="BK180" s="68"/>
      <c r="BL180" s="68"/>
      <c r="BM180" s="68"/>
      <c r="BN180" s="68"/>
      <c r="BO180" s="68"/>
      <c r="BP180" s="68"/>
      <c r="BQ180" s="68"/>
      <c r="BR180" s="68"/>
      <c r="BS180" s="68"/>
      <c r="BT180" s="68"/>
      <c r="BU180" s="68"/>
      <c r="BV180" s="68"/>
      <c r="BW180" s="68"/>
      <c r="BX180" s="68"/>
      <c r="BY180" s="68"/>
      <c r="BZ180" s="68"/>
      <c r="CA180" s="68"/>
      <c r="CB180" s="68"/>
      <c r="CC180" s="68"/>
      <c r="CD180" s="68"/>
      <c r="CE180" s="68"/>
      <c r="CF180" s="68"/>
      <c r="CG180" s="68"/>
      <c r="CH180" s="68"/>
      <c r="CI180" s="68"/>
      <c r="CJ180" s="68"/>
      <c r="CK180" s="68"/>
      <c r="CL180" s="68"/>
      <c r="CM180" s="68"/>
      <c r="CN180" s="68"/>
      <c r="CO180" s="68"/>
      <c r="CP180" s="68"/>
      <c r="CQ180" s="68"/>
      <c r="CR180" s="68"/>
      <c r="CS180" s="68"/>
      <c r="CT180" s="68"/>
      <c r="CU180" s="68"/>
      <c r="CV180" s="68"/>
      <c r="CW180" s="68"/>
      <c r="CX180" s="68"/>
      <c r="CY180" s="68"/>
      <c r="CZ180" s="68"/>
      <c r="DA180" s="68"/>
      <c r="DB180" s="68"/>
      <c r="DC180" s="68"/>
      <c r="DD180" s="68"/>
      <c r="DE180" s="68"/>
      <c r="DF180" s="68"/>
    </row>
    <row r="181" spans="1:110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  <c r="BM181" s="68"/>
      <c r="BN181" s="68"/>
      <c r="BO181" s="68"/>
      <c r="BP181" s="68"/>
      <c r="BQ181" s="68"/>
      <c r="BR181" s="68"/>
      <c r="BS181" s="68"/>
      <c r="BT181" s="68"/>
      <c r="BU181" s="68"/>
      <c r="BV181" s="68"/>
      <c r="BW181" s="68"/>
      <c r="BX181" s="68"/>
      <c r="BY181" s="68"/>
      <c r="BZ181" s="68"/>
      <c r="CA181" s="68"/>
      <c r="CB181" s="68"/>
      <c r="CC181" s="68"/>
      <c r="CD181" s="68"/>
      <c r="CE181" s="68"/>
      <c r="CF181" s="68"/>
      <c r="CG181" s="68"/>
      <c r="CH181" s="68"/>
      <c r="CI181" s="68"/>
      <c r="CJ181" s="68"/>
      <c r="CK181" s="68"/>
      <c r="CL181" s="68"/>
      <c r="CM181" s="68"/>
      <c r="CN181" s="68"/>
      <c r="CO181" s="68"/>
      <c r="CP181" s="68"/>
      <c r="CQ181" s="68"/>
      <c r="CR181" s="68"/>
      <c r="CS181" s="68"/>
      <c r="CT181" s="68"/>
      <c r="CU181" s="68"/>
      <c r="CV181" s="68"/>
      <c r="CW181" s="68"/>
      <c r="CX181" s="68"/>
      <c r="CY181" s="68"/>
      <c r="CZ181" s="68"/>
      <c r="DA181" s="68"/>
      <c r="DB181" s="68"/>
      <c r="DC181" s="68"/>
      <c r="DD181" s="68"/>
      <c r="DE181" s="68"/>
      <c r="DF181" s="68"/>
    </row>
    <row r="182" spans="1:110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  <c r="BP182" s="68"/>
      <c r="BQ182" s="68"/>
      <c r="BR182" s="68"/>
      <c r="BS182" s="68"/>
      <c r="BT182" s="68"/>
      <c r="BU182" s="68"/>
      <c r="BV182" s="68"/>
      <c r="BW182" s="68"/>
      <c r="BX182" s="68"/>
      <c r="BY182" s="68"/>
      <c r="BZ182" s="68"/>
      <c r="CA182" s="68"/>
      <c r="CB182" s="68"/>
      <c r="CC182" s="68"/>
      <c r="CD182" s="68"/>
      <c r="CE182" s="68"/>
      <c r="CF182" s="68"/>
      <c r="CG182" s="68"/>
      <c r="CH182" s="68"/>
      <c r="CI182" s="68"/>
      <c r="CJ182" s="68"/>
      <c r="CK182" s="68"/>
      <c r="CL182" s="68"/>
      <c r="CM182" s="68"/>
      <c r="CN182" s="68"/>
      <c r="CO182" s="68"/>
      <c r="CP182" s="68"/>
      <c r="CQ182" s="68"/>
      <c r="CR182" s="68"/>
      <c r="CS182" s="68"/>
      <c r="CT182" s="68"/>
      <c r="CU182" s="68"/>
      <c r="CV182" s="68"/>
      <c r="CW182" s="68"/>
      <c r="CX182" s="68"/>
      <c r="CY182" s="68"/>
      <c r="CZ182" s="68"/>
      <c r="DA182" s="68"/>
      <c r="DB182" s="68"/>
      <c r="DC182" s="68"/>
      <c r="DD182" s="68"/>
      <c r="DE182" s="68"/>
      <c r="DF182" s="68"/>
    </row>
    <row r="183" spans="1:110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  <c r="BP183" s="68"/>
      <c r="BQ183" s="68"/>
      <c r="BR183" s="68"/>
      <c r="BS183" s="68"/>
      <c r="BT183" s="68"/>
      <c r="BU183" s="68"/>
      <c r="BV183" s="68"/>
      <c r="BW183" s="68"/>
      <c r="BX183" s="68"/>
      <c r="BY183" s="68"/>
      <c r="BZ183" s="68"/>
      <c r="CA183" s="68"/>
      <c r="CB183" s="68"/>
      <c r="CC183" s="68"/>
      <c r="CD183" s="68"/>
      <c r="CE183" s="68"/>
      <c r="CF183" s="68"/>
      <c r="CG183" s="68"/>
      <c r="CH183" s="68"/>
      <c r="CI183" s="68"/>
      <c r="CJ183" s="68"/>
      <c r="CK183" s="68"/>
      <c r="CL183" s="68"/>
      <c r="CM183" s="68"/>
      <c r="CN183" s="68"/>
      <c r="CO183" s="68"/>
      <c r="CP183" s="68"/>
      <c r="CQ183" s="68"/>
      <c r="CR183" s="68"/>
      <c r="CS183" s="68"/>
      <c r="CT183" s="68"/>
      <c r="CU183" s="68"/>
      <c r="CV183" s="68"/>
      <c r="CW183" s="68"/>
      <c r="CX183" s="68"/>
      <c r="CY183" s="68"/>
      <c r="CZ183" s="68"/>
      <c r="DA183" s="68"/>
      <c r="DB183" s="68"/>
      <c r="DC183" s="68"/>
      <c r="DD183" s="68"/>
      <c r="DE183" s="68"/>
      <c r="DF183" s="68"/>
    </row>
    <row r="184" spans="1:110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  <c r="BP184" s="68"/>
      <c r="BQ184" s="68"/>
      <c r="BR184" s="68"/>
      <c r="BS184" s="68"/>
      <c r="BT184" s="68"/>
      <c r="BU184" s="68"/>
      <c r="BV184" s="68"/>
      <c r="BW184" s="68"/>
      <c r="BX184" s="68"/>
      <c r="BY184" s="68"/>
      <c r="BZ184" s="68"/>
      <c r="CA184" s="68"/>
      <c r="CB184" s="68"/>
      <c r="CC184" s="68"/>
      <c r="CD184" s="68"/>
      <c r="CE184" s="68"/>
      <c r="CF184" s="68"/>
      <c r="CG184" s="68"/>
      <c r="CH184" s="68"/>
      <c r="CI184" s="68"/>
      <c r="CJ184" s="68"/>
      <c r="CK184" s="68"/>
      <c r="CL184" s="68"/>
      <c r="CM184" s="68"/>
      <c r="CN184" s="68"/>
      <c r="CO184" s="68"/>
      <c r="CP184" s="68"/>
      <c r="CQ184" s="68"/>
      <c r="CR184" s="68"/>
      <c r="CS184" s="68"/>
      <c r="CT184" s="68"/>
      <c r="CU184" s="68"/>
      <c r="CV184" s="68"/>
      <c r="CW184" s="68"/>
      <c r="CX184" s="68"/>
      <c r="CY184" s="68"/>
      <c r="CZ184" s="68"/>
      <c r="DA184" s="68"/>
      <c r="DB184" s="68"/>
      <c r="DC184" s="68"/>
      <c r="DD184" s="68"/>
      <c r="DE184" s="68"/>
      <c r="DF184" s="68"/>
    </row>
    <row r="185" spans="1:110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  <c r="CM185" s="68"/>
      <c r="CN185" s="68"/>
      <c r="CO185" s="68"/>
      <c r="CP185" s="68"/>
      <c r="CQ185" s="68"/>
      <c r="CR185" s="68"/>
      <c r="CS185" s="68"/>
      <c r="CT185" s="68"/>
      <c r="CU185" s="68"/>
      <c r="CV185" s="68"/>
      <c r="CW185" s="68"/>
      <c r="CX185" s="68"/>
      <c r="CY185" s="68"/>
      <c r="CZ185" s="68"/>
      <c r="DA185" s="68"/>
      <c r="DB185" s="68"/>
      <c r="DC185" s="68"/>
      <c r="DD185" s="68"/>
      <c r="DE185" s="68"/>
      <c r="DF185" s="68"/>
    </row>
    <row r="186" spans="1:110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  <c r="BK186" s="68"/>
      <c r="BL186" s="68"/>
      <c r="BM186" s="68"/>
      <c r="BN186" s="68"/>
      <c r="BO186" s="68"/>
      <c r="BP186" s="68"/>
      <c r="BQ186" s="68"/>
      <c r="BR186" s="68"/>
      <c r="BS186" s="68"/>
      <c r="BT186" s="68"/>
      <c r="BU186" s="68"/>
      <c r="BV186" s="68"/>
      <c r="BW186" s="68"/>
      <c r="BX186" s="68"/>
      <c r="BY186" s="68"/>
      <c r="BZ186" s="68"/>
      <c r="CA186" s="68"/>
      <c r="CB186" s="68"/>
      <c r="CC186" s="68"/>
      <c r="CD186" s="68"/>
      <c r="CE186" s="68"/>
      <c r="CF186" s="68"/>
      <c r="CG186" s="68"/>
      <c r="CH186" s="68"/>
      <c r="CI186" s="68"/>
      <c r="CJ186" s="68"/>
      <c r="CK186" s="68"/>
      <c r="CL186" s="68"/>
      <c r="CM186" s="68"/>
      <c r="CN186" s="68"/>
      <c r="CO186" s="68"/>
      <c r="CP186" s="68"/>
      <c r="CQ186" s="68"/>
      <c r="CR186" s="68"/>
      <c r="CS186" s="68"/>
      <c r="CT186" s="68"/>
      <c r="CU186" s="68"/>
      <c r="CV186" s="68"/>
      <c r="CW186" s="68"/>
      <c r="CX186" s="68"/>
      <c r="CY186" s="68"/>
      <c r="CZ186" s="68"/>
      <c r="DA186" s="68"/>
      <c r="DB186" s="68"/>
      <c r="DC186" s="68"/>
      <c r="DD186" s="68"/>
      <c r="DE186" s="68"/>
      <c r="DF186" s="68"/>
    </row>
    <row r="187" spans="1:110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68"/>
      <c r="CO187" s="68"/>
      <c r="CP187" s="68"/>
      <c r="CQ187" s="68"/>
      <c r="CR187" s="68"/>
      <c r="CS187" s="68"/>
      <c r="CT187" s="68"/>
      <c r="CU187" s="68"/>
      <c r="CV187" s="68"/>
      <c r="CW187" s="68"/>
      <c r="CX187" s="68"/>
      <c r="CY187" s="68"/>
      <c r="CZ187" s="68"/>
      <c r="DA187" s="68"/>
      <c r="DB187" s="68"/>
      <c r="DC187" s="68"/>
      <c r="DD187" s="68"/>
      <c r="DE187" s="68"/>
      <c r="DF187" s="68"/>
    </row>
    <row r="188" spans="1:110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  <c r="BP188" s="68"/>
      <c r="BQ188" s="68"/>
      <c r="BR188" s="68"/>
      <c r="BS188" s="68"/>
      <c r="BT188" s="68"/>
      <c r="BU188" s="68"/>
      <c r="BV188" s="68"/>
      <c r="BW188" s="68"/>
      <c r="BX188" s="68"/>
      <c r="BY188" s="68"/>
      <c r="BZ188" s="68"/>
      <c r="CA188" s="68"/>
      <c r="CB188" s="68"/>
      <c r="CC188" s="68"/>
      <c r="CD188" s="68"/>
      <c r="CE188" s="68"/>
      <c r="CF188" s="68"/>
      <c r="CG188" s="68"/>
      <c r="CH188" s="68"/>
      <c r="CI188" s="68"/>
      <c r="CJ188" s="68"/>
      <c r="CK188" s="68"/>
      <c r="CL188" s="68"/>
      <c r="CM188" s="68"/>
      <c r="CN188" s="68"/>
      <c r="CO188" s="68"/>
      <c r="CP188" s="68"/>
      <c r="CQ188" s="68"/>
      <c r="CR188" s="68"/>
      <c r="CS188" s="68"/>
      <c r="CT188" s="68"/>
      <c r="CU188" s="68"/>
      <c r="CV188" s="68"/>
      <c r="CW188" s="68"/>
      <c r="CX188" s="68"/>
      <c r="CY188" s="68"/>
      <c r="CZ188" s="68"/>
      <c r="DA188" s="68"/>
      <c r="DB188" s="68"/>
      <c r="DC188" s="68"/>
      <c r="DD188" s="68"/>
      <c r="DE188" s="68"/>
      <c r="DF188" s="68"/>
    </row>
    <row r="189" spans="1:110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  <c r="BM189" s="68"/>
      <c r="BN189" s="68"/>
      <c r="BO189" s="68"/>
      <c r="BP189" s="68"/>
      <c r="BQ189" s="68"/>
      <c r="BR189" s="68"/>
      <c r="BS189" s="68"/>
      <c r="BT189" s="68"/>
      <c r="BU189" s="68"/>
      <c r="BV189" s="68"/>
      <c r="BW189" s="68"/>
      <c r="BX189" s="68"/>
      <c r="BY189" s="68"/>
      <c r="BZ189" s="68"/>
      <c r="CA189" s="68"/>
      <c r="CB189" s="68"/>
      <c r="CC189" s="68"/>
      <c r="CD189" s="68"/>
      <c r="CE189" s="68"/>
      <c r="CF189" s="68"/>
      <c r="CG189" s="68"/>
      <c r="CH189" s="68"/>
      <c r="CI189" s="68"/>
      <c r="CJ189" s="68"/>
      <c r="CK189" s="68"/>
      <c r="CL189" s="68"/>
      <c r="CM189" s="68"/>
      <c r="CN189" s="68"/>
      <c r="CO189" s="68"/>
      <c r="CP189" s="68"/>
      <c r="CQ189" s="68"/>
      <c r="CR189" s="68"/>
      <c r="CS189" s="68"/>
      <c r="CT189" s="68"/>
      <c r="CU189" s="68"/>
      <c r="CV189" s="68"/>
      <c r="CW189" s="68"/>
      <c r="CX189" s="68"/>
      <c r="CY189" s="68"/>
      <c r="CZ189" s="68"/>
      <c r="DA189" s="68"/>
      <c r="DB189" s="68"/>
      <c r="DC189" s="68"/>
      <c r="DD189" s="68"/>
      <c r="DE189" s="68"/>
      <c r="DF189" s="68"/>
    </row>
    <row r="190" spans="1:110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  <c r="BP190" s="68"/>
      <c r="BQ190" s="68"/>
      <c r="BR190" s="68"/>
      <c r="BS190" s="68"/>
      <c r="BT190" s="68"/>
      <c r="BU190" s="68"/>
      <c r="BV190" s="68"/>
      <c r="BW190" s="68"/>
      <c r="BX190" s="68"/>
      <c r="BY190" s="68"/>
      <c r="BZ190" s="68"/>
      <c r="CA190" s="68"/>
      <c r="CB190" s="68"/>
      <c r="CC190" s="68"/>
      <c r="CD190" s="68"/>
      <c r="CE190" s="68"/>
      <c r="CF190" s="68"/>
      <c r="CG190" s="68"/>
      <c r="CH190" s="68"/>
      <c r="CI190" s="68"/>
      <c r="CJ190" s="68"/>
      <c r="CK190" s="68"/>
      <c r="CL190" s="68"/>
      <c r="CM190" s="68"/>
      <c r="CN190" s="68"/>
      <c r="CO190" s="68"/>
      <c r="CP190" s="68"/>
      <c r="CQ190" s="68"/>
      <c r="CR190" s="68"/>
      <c r="CS190" s="68"/>
      <c r="CT190" s="68"/>
      <c r="CU190" s="68"/>
      <c r="CV190" s="68"/>
      <c r="CW190" s="68"/>
      <c r="CX190" s="68"/>
      <c r="CY190" s="68"/>
      <c r="CZ190" s="68"/>
      <c r="DA190" s="68"/>
      <c r="DB190" s="68"/>
      <c r="DC190" s="68"/>
      <c r="DD190" s="68"/>
      <c r="DE190" s="68"/>
      <c r="DF190" s="68"/>
    </row>
    <row r="191" spans="1:110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  <c r="BP191" s="68"/>
      <c r="BQ191" s="68"/>
      <c r="BR191" s="68"/>
      <c r="BS191" s="68"/>
      <c r="BT191" s="68"/>
      <c r="BU191" s="68"/>
      <c r="BV191" s="68"/>
      <c r="BW191" s="68"/>
      <c r="BX191" s="68"/>
      <c r="BY191" s="68"/>
      <c r="BZ191" s="68"/>
      <c r="CA191" s="68"/>
      <c r="CB191" s="68"/>
      <c r="CC191" s="68"/>
      <c r="CD191" s="68"/>
      <c r="CE191" s="68"/>
      <c r="CF191" s="68"/>
      <c r="CG191" s="68"/>
      <c r="CH191" s="68"/>
      <c r="CI191" s="68"/>
      <c r="CJ191" s="68"/>
      <c r="CK191" s="68"/>
      <c r="CL191" s="68"/>
      <c r="CM191" s="68"/>
      <c r="CN191" s="68"/>
      <c r="CO191" s="68"/>
      <c r="CP191" s="68"/>
      <c r="CQ191" s="68"/>
      <c r="CR191" s="68"/>
      <c r="CS191" s="68"/>
      <c r="CT191" s="68"/>
      <c r="CU191" s="68"/>
      <c r="CV191" s="68"/>
      <c r="CW191" s="68"/>
      <c r="CX191" s="68"/>
      <c r="CY191" s="68"/>
      <c r="CZ191" s="68"/>
      <c r="DA191" s="68"/>
      <c r="DB191" s="68"/>
      <c r="DC191" s="68"/>
      <c r="DD191" s="68"/>
      <c r="DE191" s="68"/>
      <c r="DF191" s="68"/>
    </row>
    <row r="192" spans="1:110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68"/>
      <c r="BT192" s="68"/>
      <c r="BU192" s="68"/>
      <c r="BV192" s="68"/>
      <c r="BW192" s="68"/>
      <c r="BX192" s="68"/>
      <c r="BY192" s="68"/>
      <c r="BZ192" s="68"/>
      <c r="CA192" s="68"/>
      <c r="CB192" s="68"/>
      <c r="CC192" s="68"/>
      <c r="CD192" s="68"/>
      <c r="CE192" s="68"/>
      <c r="CF192" s="68"/>
      <c r="CG192" s="68"/>
      <c r="CH192" s="68"/>
      <c r="CI192" s="68"/>
      <c r="CJ192" s="68"/>
      <c r="CK192" s="68"/>
      <c r="CL192" s="68"/>
      <c r="CM192" s="68"/>
      <c r="CN192" s="68"/>
      <c r="CO192" s="68"/>
      <c r="CP192" s="68"/>
      <c r="CQ192" s="68"/>
      <c r="CR192" s="68"/>
      <c r="CS192" s="68"/>
      <c r="CT192" s="68"/>
      <c r="CU192" s="68"/>
      <c r="CV192" s="68"/>
      <c r="CW192" s="68"/>
      <c r="CX192" s="68"/>
      <c r="CY192" s="68"/>
      <c r="CZ192" s="68"/>
      <c r="DA192" s="68"/>
      <c r="DB192" s="68"/>
      <c r="DC192" s="68"/>
      <c r="DD192" s="68"/>
      <c r="DE192" s="68"/>
      <c r="DF192" s="68"/>
    </row>
    <row r="193" spans="1:110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  <c r="BM193" s="68"/>
      <c r="BN193" s="68"/>
      <c r="BO193" s="68"/>
      <c r="BP193" s="68"/>
      <c r="BQ193" s="68"/>
      <c r="BR193" s="68"/>
      <c r="BS193" s="68"/>
      <c r="BT193" s="68"/>
      <c r="BU193" s="68"/>
      <c r="BV193" s="68"/>
      <c r="BW193" s="68"/>
      <c r="BX193" s="68"/>
      <c r="BY193" s="68"/>
      <c r="BZ193" s="68"/>
      <c r="CA193" s="68"/>
      <c r="CB193" s="68"/>
      <c r="CC193" s="68"/>
      <c r="CD193" s="68"/>
      <c r="CE193" s="68"/>
      <c r="CF193" s="68"/>
      <c r="CG193" s="68"/>
      <c r="CH193" s="68"/>
      <c r="CI193" s="68"/>
      <c r="CJ193" s="68"/>
      <c r="CK193" s="68"/>
      <c r="CL193" s="68"/>
      <c r="CM193" s="68"/>
      <c r="CN193" s="68"/>
      <c r="CO193" s="68"/>
      <c r="CP193" s="68"/>
      <c r="CQ193" s="68"/>
      <c r="CR193" s="68"/>
      <c r="CS193" s="68"/>
      <c r="CT193" s="68"/>
      <c r="CU193" s="68"/>
      <c r="CV193" s="68"/>
      <c r="CW193" s="68"/>
      <c r="CX193" s="68"/>
      <c r="CY193" s="68"/>
      <c r="CZ193" s="68"/>
      <c r="DA193" s="68"/>
      <c r="DB193" s="68"/>
      <c r="DC193" s="68"/>
      <c r="DD193" s="68"/>
      <c r="DE193" s="68"/>
      <c r="DF193" s="68"/>
    </row>
    <row r="194" spans="1:110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  <c r="BK194" s="68"/>
      <c r="BL194" s="68"/>
      <c r="BM194" s="68"/>
      <c r="BN194" s="68"/>
      <c r="BO194" s="68"/>
      <c r="BP194" s="68"/>
      <c r="BQ194" s="68"/>
      <c r="BR194" s="68"/>
      <c r="BS194" s="68"/>
      <c r="BT194" s="68"/>
      <c r="BU194" s="68"/>
      <c r="BV194" s="68"/>
      <c r="BW194" s="68"/>
      <c r="BX194" s="68"/>
      <c r="BY194" s="68"/>
      <c r="BZ194" s="68"/>
      <c r="CA194" s="68"/>
      <c r="CB194" s="68"/>
      <c r="CC194" s="68"/>
      <c r="CD194" s="68"/>
      <c r="CE194" s="68"/>
      <c r="CF194" s="68"/>
      <c r="CG194" s="68"/>
      <c r="CH194" s="68"/>
      <c r="CI194" s="68"/>
      <c r="CJ194" s="68"/>
      <c r="CK194" s="68"/>
      <c r="CL194" s="68"/>
      <c r="CM194" s="68"/>
      <c r="CN194" s="68"/>
      <c r="CO194" s="68"/>
      <c r="CP194" s="68"/>
      <c r="CQ194" s="68"/>
      <c r="CR194" s="68"/>
      <c r="CS194" s="68"/>
      <c r="CT194" s="68"/>
      <c r="CU194" s="68"/>
      <c r="CV194" s="68"/>
      <c r="CW194" s="68"/>
      <c r="CX194" s="68"/>
      <c r="CY194" s="68"/>
      <c r="CZ194" s="68"/>
      <c r="DA194" s="68"/>
      <c r="DB194" s="68"/>
      <c r="DC194" s="68"/>
      <c r="DD194" s="68"/>
      <c r="DE194" s="68"/>
      <c r="DF194" s="68"/>
    </row>
    <row r="195" spans="1:110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  <c r="BK195" s="68"/>
      <c r="BL195" s="68"/>
      <c r="BM195" s="68"/>
      <c r="BN195" s="68"/>
      <c r="BO195" s="68"/>
      <c r="BP195" s="68"/>
      <c r="BQ195" s="68"/>
      <c r="BR195" s="68"/>
      <c r="BS195" s="68"/>
      <c r="BT195" s="68"/>
      <c r="BU195" s="68"/>
      <c r="BV195" s="68"/>
      <c r="BW195" s="68"/>
      <c r="BX195" s="68"/>
      <c r="BY195" s="68"/>
      <c r="BZ195" s="68"/>
      <c r="CA195" s="68"/>
      <c r="CB195" s="68"/>
      <c r="CC195" s="68"/>
      <c r="CD195" s="68"/>
      <c r="CE195" s="68"/>
      <c r="CF195" s="68"/>
      <c r="CG195" s="68"/>
      <c r="CH195" s="68"/>
      <c r="CI195" s="68"/>
      <c r="CJ195" s="68"/>
      <c r="CK195" s="68"/>
      <c r="CL195" s="68"/>
      <c r="CM195" s="68"/>
      <c r="CN195" s="68"/>
      <c r="CO195" s="68"/>
      <c r="CP195" s="68"/>
      <c r="CQ195" s="68"/>
      <c r="CR195" s="68"/>
      <c r="CS195" s="68"/>
      <c r="CT195" s="68"/>
      <c r="CU195" s="68"/>
      <c r="CV195" s="68"/>
      <c r="CW195" s="68"/>
      <c r="CX195" s="68"/>
      <c r="CY195" s="68"/>
      <c r="CZ195" s="68"/>
      <c r="DA195" s="68"/>
      <c r="DB195" s="68"/>
      <c r="DC195" s="68"/>
      <c r="DD195" s="68"/>
      <c r="DE195" s="68"/>
      <c r="DF195" s="68"/>
    </row>
    <row r="196" spans="1:110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8"/>
      <c r="BM196" s="68"/>
      <c r="BN196" s="68"/>
      <c r="BO196" s="68"/>
      <c r="BP196" s="68"/>
      <c r="BQ196" s="68"/>
      <c r="BR196" s="68"/>
      <c r="BS196" s="68"/>
      <c r="BT196" s="68"/>
      <c r="BU196" s="68"/>
      <c r="BV196" s="68"/>
      <c r="BW196" s="68"/>
      <c r="BX196" s="68"/>
      <c r="BY196" s="68"/>
      <c r="BZ196" s="68"/>
      <c r="CA196" s="68"/>
      <c r="CB196" s="68"/>
      <c r="CC196" s="68"/>
      <c r="CD196" s="68"/>
      <c r="CE196" s="68"/>
      <c r="CF196" s="68"/>
      <c r="CG196" s="68"/>
      <c r="CH196" s="68"/>
      <c r="CI196" s="68"/>
      <c r="CJ196" s="68"/>
      <c r="CK196" s="68"/>
      <c r="CL196" s="68"/>
      <c r="CM196" s="68"/>
      <c r="CN196" s="68"/>
      <c r="CO196" s="68"/>
      <c r="CP196" s="68"/>
      <c r="CQ196" s="68"/>
      <c r="CR196" s="68"/>
      <c r="CS196" s="68"/>
      <c r="CT196" s="68"/>
      <c r="CU196" s="68"/>
      <c r="CV196" s="68"/>
      <c r="CW196" s="68"/>
      <c r="CX196" s="68"/>
      <c r="CY196" s="68"/>
      <c r="CZ196" s="68"/>
      <c r="DA196" s="68"/>
      <c r="DB196" s="68"/>
      <c r="DC196" s="68"/>
      <c r="DD196" s="68"/>
      <c r="DE196" s="68"/>
      <c r="DF196" s="68"/>
    </row>
    <row r="197" spans="1:110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  <c r="BM197" s="68"/>
      <c r="BN197" s="68"/>
      <c r="BO197" s="68"/>
      <c r="BP197" s="68"/>
      <c r="BQ197" s="68"/>
      <c r="BR197" s="68"/>
      <c r="BS197" s="68"/>
      <c r="BT197" s="68"/>
      <c r="BU197" s="68"/>
      <c r="BV197" s="68"/>
      <c r="BW197" s="68"/>
      <c r="BX197" s="68"/>
      <c r="BY197" s="68"/>
      <c r="BZ197" s="68"/>
      <c r="CA197" s="68"/>
      <c r="CB197" s="68"/>
      <c r="CC197" s="68"/>
      <c r="CD197" s="68"/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68"/>
      <c r="CY197" s="68"/>
      <c r="CZ197" s="68"/>
      <c r="DA197" s="68"/>
      <c r="DB197" s="68"/>
      <c r="DC197" s="68"/>
      <c r="DD197" s="68"/>
      <c r="DE197" s="68"/>
      <c r="DF197" s="68"/>
    </row>
    <row r="198" spans="1:110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  <c r="BP198" s="68"/>
      <c r="BQ198" s="68"/>
      <c r="BR198" s="68"/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/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68"/>
      <c r="CY198" s="68"/>
      <c r="CZ198" s="68"/>
      <c r="DA198" s="68"/>
      <c r="DB198" s="68"/>
      <c r="DC198" s="68"/>
      <c r="DD198" s="68"/>
      <c r="DE198" s="68"/>
      <c r="DF198" s="68"/>
    </row>
    <row r="199" spans="1:110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68"/>
      <c r="BP199" s="68"/>
      <c r="BQ199" s="68"/>
      <c r="BR199" s="68"/>
      <c r="BS199" s="68"/>
      <c r="BT199" s="68"/>
      <c r="BU199" s="68"/>
      <c r="BV199" s="68"/>
      <c r="BW199" s="68"/>
      <c r="BX199" s="68"/>
      <c r="BY199" s="68"/>
      <c r="BZ199" s="68"/>
      <c r="CA199" s="68"/>
      <c r="CB199" s="68"/>
      <c r="CC199" s="68"/>
      <c r="CD199" s="68"/>
      <c r="CE199" s="68"/>
      <c r="CF199" s="68"/>
      <c r="CG199" s="68"/>
      <c r="CH199" s="68"/>
      <c r="CI199" s="68"/>
      <c r="CJ199" s="68"/>
      <c r="CK199" s="68"/>
      <c r="CL199" s="68"/>
      <c r="CM199" s="68"/>
      <c r="CN199" s="68"/>
      <c r="CO199" s="68"/>
      <c r="CP199" s="68"/>
      <c r="CQ199" s="68"/>
      <c r="CR199" s="68"/>
      <c r="CS199" s="68"/>
      <c r="CT199" s="68"/>
      <c r="CU199" s="68"/>
      <c r="CV199" s="68"/>
      <c r="CW199" s="68"/>
      <c r="CX199" s="68"/>
      <c r="CY199" s="68"/>
      <c r="CZ199" s="68"/>
      <c r="DA199" s="68"/>
      <c r="DB199" s="68"/>
      <c r="DC199" s="68"/>
      <c r="DD199" s="68"/>
      <c r="DE199" s="68"/>
      <c r="DF199" s="68"/>
    </row>
    <row r="200" spans="1:110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  <c r="BK200" s="68"/>
      <c r="BL200" s="68"/>
      <c r="BM200" s="68"/>
      <c r="BN200" s="68"/>
      <c r="BO200" s="68"/>
      <c r="BP200" s="68"/>
      <c r="BQ200" s="68"/>
      <c r="BR200" s="68"/>
      <c r="BS200" s="68"/>
      <c r="BT200" s="68"/>
      <c r="BU200" s="68"/>
      <c r="BV200" s="68"/>
      <c r="BW200" s="68"/>
      <c r="BX200" s="68"/>
      <c r="BY200" s="68"/>
      <c r="BZ200" s="68"/>
      <c r="CA200" s="68"/>
      <c r="CB200" s="68"/>
      <c r="CC200" s="68"/>
      <c r="CD200" s="68"/>
      <c r="CE200" s="68"/>
      <c r="CF200" s="68"/>
      <c r="CG200" s="68"/>
      <c r="CH200" s="68"/>
      <c r="CI200" s="68"/>
      <c r="CJ200" s="68"/>
      <c r="CK200" s="68"/>
      <c r="CL200" s="68"/>
      <c r="CM200" s="68"/>
      <c r="CN200" s="68"/>
      <c r="CO200" s="68"/>
      <c r="CP200" s="68"/>
      <c r="CQ200" s="68"/>
      <c r="CR200" s="68"/>
      <c r="CS200" s="68"/>
      <c r="CT200" s="68"/>
      <c r="CU200" s="68"/>
      <c r="CV200" s="68"/>
      <c r="CW200" s="68"/>
      <c r="CX200" s="68"/>
      <c r="CY200" s="68"/>
      <c r="CZ200" s="68"/>
      <c r="DA200" s="68"/>
      <c r="DB200" s="68"/>
      <c r="DC200" s="68"/>
      <c r="DD200" s="68"/>
      <c r="DE200" s="68"/>
      <c r="DF200" s="68"/>
    </row>
    <row r="201" spans="1:110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  <c r="BK201" s="68"/>
      <c r="BL201" s="68"/>
      <c r="BM201" s="68"/>
      <c r="BN201" s="68"/>
      <c r="BO201" s="68"/>
      <c r="BP201" s="68"/>
      <c r="BQ201" s="68"/>
      <c r="BR201" s="68"/>
      <c r="BS201" s="68"/>
      <c r="BT201" s="68"/>
      <c r="BU201" s="68"/>
      <c r="BV201" s="68"/>
      <c r="BW201" s="68"/>
      <c r="BX201" s="68"/>
      <c r="BY201" s="68"/>
      <c r="BZ201" s="68"/>
      <c r="CA201" s="68"/>
      <c r="CB201" s="68"/>
      <c r="CC201" s="68"/>
      <c r="CD201" s="68"/>
      <c r="CE201" s="68"/>
      <c r="CF201" s="68"/>
      <c r="CG201" s="68"/>
      <c r="CH201" s="68"/>
      <c r="CI201" s="68"/>
      <c r="CJ201" s="68"/>
      <c r="CK201" s="68"/>
      <c r="CL201" s="68"/>
      <c r="CM201" s="68"/>
      <c r="CN201" s="68"/>
      <c r="CO201" s="68"/>
      <c r="CP201" s="68"/>
      <c r="CQ201" s="68"/>
      <c r="CR201" s="68"/>
      <c r="CS201" s="68"/>
      <c r="CT201" s="68"/>
      <c r="CU201" s="68"/>
      <c r="CV201" s="68"/>
      <c r="CW201" s="68"/>
      <c r="CX201" s="68"/>
      <c r="CY201" s="68"/>
      <c r="CZ201" s="68"/>
      <c r="DA201" s="68"/>
      <c r="DB201" s="68"/>
      <c r="DC201" s="68"/>
      <c r="DD201" s="68"/>
      <c r="DE201" s="68"/>
      <c r="DF201" s="68"/>
    </row>
    <row r="202" spans="1:110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8"/>
      <c r="BL202" s="68"/>
      <c r="BM202" s="68"/>
      <c r="BN202" s="68"/>
      <c r="BO202" s="68"/>
      <c r="BP202" s="68"/>
      <c r="BQ202" s="68"/>
      <c r="BR202" s="68"/>
      <c r="BS202" s="68"/>
      <c r="BT202" s="68"/>
      <c r="BU202" s="68"/>
      <c r="BV202" s="68"/>
      <c r="BW202" s="68"/>
      <c r="BX202" s="68"/>
      <c r="BY202" s="68"/>
      <c r="BZ202" s="68"/>
      <c r="CA202" s="68"/>
      <c r="CB202" s="68"/>
      <c r="CC202" s="68"/>
      <c r="CD202" s="68"/>
      <c r="CE202" s="68"/>
      <c r="CF202" s="68"/>
      <c r="CG202" s="68"/>
      <c r="CH202" s="68"/>
      <c r="CI202" s="68"/>
      <c r="CJ202" s="68"/>
      <c r="CK202" s="68"/>
      <c r="CL202" s="68"/>
      <c r="CM202" s="68"/>
      <c r="CN202" s="68"/>
      <c r="CO202" s="68"/>
      <c r="CP202" s="68"/>
      <c r="CQ202" s="68"/>
      <c r="CR202" s="68"/>
      <c r="CS202" s="68"/>
      <c r="CT202" s="68"/>
      <c r="CU202" s="68"/>
      <c r="CV202" s="68"/>
      <c r="CW202" s="68"/>
      <c r="CX202" s="68"/>
      <c r="CY202" s="68"/>
      <c r="CZ202" s="68"/>
      <c r="DA202" s="68"/>
      <c r="DB202" s="68"/>
      <c r="DC202" s="68"/>
      <c r="DD202" s="68"/>
      <c r="DE202" s="68"/>
      <c r="DF202" s="68"/>
    </row>
    <row r="203" spans="1:110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  <c r="BM203" s="68"/>
      <c r="BN203" s="68"/>
      <c r="BO203" s="68"/>
      <c r="BP203" s="68"/>
      <c r="BQ203" s="68"/>
      <c r="BR203" s="68"/>
      <c r="BS203" s="68"/>
      <c r="BT203" s="68"/>
      <c r="BU203" s="68"/>
      <c r="BV203" s="68"/>
      <c r="BW203" s="68"/>
      <c r="BX203" s="68"/>
      <c r="BY203" s="68"/>
      <c r="BZ203" s="68"/>
      <c r="CA203" s="68"/>
      <c r="CB203" s="68"/>
      <c r="CC203" s="68"/>
      <c r="CD203" s="68"/>
      <c r="CE203" s="68"/>
      <c r="CF203" s="68"/>
      <c r="CG203" s="68"/>
      <c r="CH203" s="68"/>
      <c r="CI203" s="68"/>
      <c r="CJ203" s="68"/>
      <c r="CK203" s="68"/>
      <c r="CL203" s="68"/>
      <c r="CM203" s="68"/>
      <c r="CN203" s="68"/>
      <c r="CO203" s="68"/>
      <c r="CP203" s="68"/>
      <c r="CQ203" s="68"/>
      <c r="CR203" s="68"/>
      <c r="CS203" s="68"/>
      <c r="CT203" s="68"/>
      <c r="CU203" s="68"/>
      <c r="CV203" s="68"/>
      <c r="CW203" s="68"/>
      <c r="CX203" s="68"/>
      <c r="CY203" s="68"/>
      <c r="CZ203" s="68"/>
      <c r="DA203" s="68"/>
      <c r="DB203" s="68"/>
      <c r="DC203" s="68"/>
      <c r="DD203" s="68"/>
      <c r="DE203" s="68"/>
      <c r="DF203" s="68"/>
    </row>
    <row r="204" spans="1:110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  <c r="BM204" s="68"/>
      <c r="BN204" s="68"/>
      <c r="BO204" s="68"/>
      <c r="BP204" s="68"/>
      <c r="BQ204" s="68"/>
      <c r="BR204" s="68"/>
      <c r="BS204" s="68"/>
      <c r="BT204" s="68"/>
      <c r="BU204" s="68"/>
      <c r="BV204" s="68"/>
      <c r="BW204" s="68"/>
      <c r="BX204" s="68"/>
      <c r="BY204" s="68"/>
      <c r="BZ204" s="68"/>
      <c r="CA204" s="68"/>
      <c r="CB204" s="68"/>
      <c r="CC204" s="68"/>
      <c r="CD204" s="68"/>
      <c r="CE204" s="68"/>
      <c r="CF204" s="68"/>
      <c r="CG204" s="68"/>
      <c r="CH204" s="68"/>
      <c r="CI204" s="68"/>
      <c r="CJ204" s="68"/>
      <c r="CK204" s="68"/>
      <c r="CL204" s="68"/>
      <c r="CM204" s="68"/>
      <c r="CN204" s="68"/>
      <c r="CO204" s="68"/>
      <c r="CP204" s="68"/>
      <c r="CQ204" s="68"/>
      <c r="CR204" s="68"/>
      <c r="CS204" s="68"/>
      <c r="CT204" s="68"/>
      <c r="CU204" s="68"/>
      <c r="CV204" s="68"/>
      <c r="CW204" s="68"/>
      <c r="CX204" s="68"/>
      <c r="CY204" s="68"/>
      <c r="CZ204" s="68"/>
      <c r="DA204" s="68"/>
      <c r="DB204" s="68"/>
      <c r="DC204" s="68"/>
      <c r="DD204" s="68"/>
      <c r="DE204" s="68"/>
      <c r="DF204" s="68"/>
    </row>
    <row r="205" spans="1:110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  <c r="BP205" s="68"/>
      <c r="BQ205" s="68"/>
      <c r="BR205" s="68"/>
      <c r="BS205" s="68"/>
      <c r="BT205" s="68"/>
      <c r="BU205" s="68"/>
      <c r="BV205" s="68"/>
      <c r="BW205" s="68"/>
      <c r="BX205" s="68"/>
      <c r="BY205" s="68"/>
      <c r="BZ205" s="68"/>
      <c r="CA205" s="68"/>
      <c r="CB205" s="68"/>
      <c r="CC205" s="68"/>
      <c r="CD205" s="68"/>
      <c r="CE205" s="68"/>
      <c r="CF205" s="68"/>
      <c r="CG205" s="68"/>
      <c r="CH205" s="68"/>
      <c r="CI205" s="68"/>
      <c r="CJ205" s="68"/>
      <c r="CK205" s="68"/>
      <c r="CL205" s="68"/>
      <c r="CM205" s="68"/>
      <c r="CN205" s="68"/>
      <c r="CO205" s="68"/>
      <c r="CP205" s="68"/>
      <c r="CQ205" s="68"/>
      <c r="CR205" s="68"/>
      <c r="CS205" s="68"/>
      <c r="CT205" s="68"/>
      <c r="CU205" s="68"/>
      <c r="CV205" s="68"/>
      <c r="CW205" s="68"/>
      <c r="CX205" s="68"/>
      <c r="CY205" s="68"/>
      <c r="CZ205" s="68"/>
      <c r="DA205" s="68"/>
      <c r="DB205" s="68"/>
      <c r="DC205" s="68"/>
      <c r="DD205" s="68"/>
      <c r="DE205" s="68"/>
      <c r="DF205" s="68"/>
    </row>
    <row r="206" spans="1:110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  <c r="BK206" s="68"/>
      <c r="BL206" s="68"/>
      <c r="BM206" s="68"/>
      <c r="BN206" s="68"/>
      <c r="BO206" s="68"/>
      <c r="BP206" s="68"/>
      <c r="BQ206" s="68"/>
      <c r="BR206" s="68"/>
      <c r="BS206" s="68"/>
      <c r="BT206" s="68"/>
      <c r="BU206" s="68"/>
      <c r="BV206" s="68"/>
      <c r="BW206" s="68"/>
      <c r="BX206" s="68"/>
      <c r="BY206" s="68"/>
      <c r="BZ206" s="68"/>
      <c r="CA206" s="68"/>
      <c r="CB206" s="68"/>
      <c r="CC206" s="68"/>
      <c r="CD206" s="68"/>
      <c r="CE206" s="68"/>
      <c r="CF206" s="68"/>
      <c r="CG206" s="68"/>
      <c r="CH206" s="68"/>
      <c r="CI206" s="68"/>
      <c r="CJ206" s="68"/>
      <c r="CK206" s="68"/>
      <c r="CL206" s="68"/>
      <c r="CM206" s="68"/>
      <c r="CN206" s="68"/>
      <c r="CO206" s="68"/>
      <c r="CP206" s="68"/>
      <c r="CQ206" s="68"/>
      <c r="CR206" s="68"/>
      <c r="CS206" s="68"/>
      <c r="CT206" s="68"/>
      <c r="CU206" s="68"/>
      <c r="CV206" s="68"/>
      <c r="CW206" s="68"/>
      <c r="CX206" s="68"/>
      <c r="CY206" s="68"/>
      <c r="CZ206" s="68"/>
      <c r="DA206" s="68"/>
      <c r="DB206" s="68"/>
      <c r="DC206" s="68"/>
      <c r="DD206" s="68"/>
      <c r="DE206" s="68"/>
      <c r="DF206" s="68"/>
    </row>
    <row r="207" spans="1:110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  <c r="BK207" s="68"/>
      <c r="BL207" s="68"/>
      <c r="BM207" s="68"/>
      <c r="BN207" s="68"/>
      <c r="BO207" s="68"/>
      <c r="BP207" s="68"/>
      <c r="BQ207" s="68"/>
      <c r="BR207" s="68"/>
      <c r="BS207" s="68"/>
      <c r="BT207" s="68"/>
      <c r="BU207" s="68"/>
      <c r="BV207" s="68"/>
      <c r="BW207" s="68"/>
      <c r="BX207" s="68"/>
      <c r="BY207" s="68"/>
      <c r="BZ207" s="68"/>
      <c r="CA207" s="68"/>
      <c r="CB207" s="68"/>
      <c r="CC207" s="68"/>
      <c r="CD207" s="68"/>
      <c r="CE207" s="68"/>
      <c r="CF207" s="68"/>
      <c r="CG207" s="68"/>
      <c r="CH207" s="68"/>
      <c r="CI207" s="68"/>
      <c r="CJ207" s="68"/>
      <c r="CK207" s="68"/>
      <c r="CL207" s="68"/>
      <c r="CM207" s="68"/>
      <c r="CN207" s="68"/>
      <c r="CO207" s="68"/>
      <c r="CP207" s="68"/>
      <c r="CQ207" s="68"/>
      <c r="CR207" s="68"/>
      <c r="CS207" s="68"/>
      <c r="CT207" s="68"/>
      <c r="CU207" s="68"/>
      <c r="CV207" s="68"/>
      <c r="CW207" s="68"/>
      <c r="CX207" s="68"/>
      <c r="CY207" s="68"/>
      <c r="CZ207" s="68"/>
      <c r="DA207" s="68"/>
      <c r="DB207" s="68"/>
      <c r="DC207" s="68"/>
      <c r="DD207" s="68"/>
      <c r="DE207" s="68"/>
      <c r="DF207" s="68"/>
    </row>
    <row r="208" spans="1:110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  <c r="BK208" s="68"/>
      <c r="BL208" s="68"/>
      <c r="BM208" s="68"/>
      <c r="BN208" s="68"/>
      <c r="BO208" s="68"/>
      <c r="BP208" s="68"/>
      <c r="BQ208" s="68"/>
      <c r="BR208" s="68"/>
      <c r="BS208" s="68"/>
      <c r="BT208" s="68"/>
      <c r="BU208" s="68"/>
      <c r="BV208" s="68"/>
      <c r="BW208" s="68"/>
      <c r="BX208" s="68"/>
      <c r="BY208" s="68"/>
      <c r="BZ208" s="68"/>
      <c r="CA208" s="68"/>
      <c r="CB208" s="68"/>
      <c r="CC208" s="68"/>
      <c r="CD208" s="68"/>
      <c r="CE208" s="68"/>
      <c r="CF208" s="68"/>
      <c r="CG208" s="68"/>
      <c r="CH208" s="68"/>
      <c r="CI208" s="68"/>
      <c r="CJ208" s="68"/>
      <c r="CK208" s="68"/>
      <c r="CL208" s="68"/>
      <c r="CM208" s="68"/>
      <c r="CN208" s="68"/>
      <c r="CO208" s="68"/>
      <c r="CP208" s="68"/>
      <c r="CQ208" s="68"/>
      <c r="CR208" s="68"/>
      <c r="CS208" s="68"/>
      <c r="CT208" s="68"/>
      <c r="CU208" s="68"/>
      <c r="CV208" s="68"/>
      <c r="CW208" s="68"/>
      <c r="CX208" s="68"/>
      <c r="CY208" s="68"/>
      <c r="CZ208" s="68"/>
      <c r="DA208" s="68"/>
      <c r="DB208" s="68"/>
      <c r="DC208" s="68"/>
      <c r="DD208" s="68"/>
      <c r="DE208" s="68"/>
      <c r="DF208" s="68"/>
    </row>
    <row r="209" spans="1:110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  <c r="BK209" s="68"/>
      <c r="BL209" s="68"/>
      <c r="BM209" s="68"/>
      <c r="BN209" s="68"/>
      <c r="BO209" s="68"/>
      <c r="BP209" s="68"/>
      <c r="BQ209" s="68"/>
      <c r="BR209" s="68"/>
      <c r="BS209" s="68"/>
      <c r="BT209" s="68"/>
      <c r="BU209" s="68"/>
      <c r="BV209" s="68"/>
      <c r="BW209" s="68"/>
      <c r="BX209" s="68"/>
      <c r="BY209" s="68"/>
      <c r="BZ209" s="68"/>
      <c r="CA209" s="68"/>
      <c r="CB209" s="68"/>
      <c r="CC209" s="68"/>
      <c r="CD209" s="68"/>
      <c r="CE209" s="68"/>
      <c r="CF209" s="68"/>
      <c r="CG209" s="68"/>
      <c r="CH209" s="68"/>
      <c r="CI209" s="68"/>
      <c r="CJ209" s="68"/>
      <c r="CK209" s="68"/>
      <c r="CL209" s="68"/>
      <c r="CM209" s="68"/>
      <c r="CN209" s="68"/>
      <c r="CO209" s="68"/>
      <c r="CP209" s="68"/>
      <c r="CQ209" s="68"/>
      <c r="CR209" s="68"/>
      <c r="CS209" s="68"/>
      <c r="CT209" s="68"/>
      <c r="CU209" s="68"/>
      <c r="CV209" s="68"/>
      <c r="CW209" s="68"/>
      <c r="CX209" s="68"/>
      <c r="CY209" s="68"/>
      <c r="CZ209" s="68"/>
      <c r="DA209" s="68"/>
      <c r="DB209" s="68"/>
      <c r="DC209" s="68"/>
      <c r="DD209" s="68"/>
      <c r="DE209" s="68"/>
      <c r="DF209" s="68"/>
    </row>
    <row r="210" spans="1:110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  <c r="BK210" s="68"/>
      <c r="BL210" s="68"/>
      <c r="BM210" s="68"/>
      <c r="BN210" s="68"/>
      <c r="BO210" s="68"/>
      <c r="BP210" s="68"/>
      <c r="BQ210" s="68"/>
      <c r="BR210" s="68"/>
      <c r="BS210" s="68"/>
      <c r="BT210" s="68"/>
      <c r="BU210" s="68"/>
      <c r="BV210" s="68"/>
      <c r="BW210" s="68"/>
      <c r="BX210" s="68"/>
      <c r="BY210" s="68"/>
      <c r="BZ210" s="68"/>
      <c r="CA210" s="68"/>
      <c r="CB210" s="68"/>
      <c r="CC210" s="68"/>
      <c r="CD210" s="68"/>
      <c r="CE210" s="68"/>
      <c r="CF210" s="68"/>
      <c r="CG210" s="68"/>
      <c r="CH210" s="68"/>
      <c r="CI210" s="68"/>
      <c r="CJ210" s="68"/>
      <c r="CK210" s="68"/>
      <c r="CL210" s="68"/>
      <c r="CM210" s="68"/>
      <c r="CN210" s="68"/>
      <c r="CO210" s="68"/>
      <c r="CP210" s="68"/>
      <c r="CQ210" s="68"/>
      <c r="CR210" s="68"/>
      <c r="CS210" s="68"/>
      <c r="CT210" s="68"/>
      <c r="CU210" s="68"/>
      <c r="CV210" s="68"/>
      <c r="CW210" s="68"/>
      <c r="CX210" s="68"/>
      <c r="CY210" s="68"/>
      <c r="CZ210" s="68"/>
      <c r="DA210" s="68"/>
      <c r="DB210" s="68"/>
      <c r="DC210" s="68"/>
      <c r="DD210" s="68"/>
      <c r="DE210" s="68"/>
      <c r="DF210" s="68"/>
    </row>
    <row r="211" spans="1:110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  <c r="BM211" s="68"/>
      <c r="BN211" s="68"/>
      <c r="BO211" s="68"/>
      <c r="BP211" s="68"/>
      <c r="BQ211" s="68"/>
      <c r="BR211" s="68"/>
      <c r="BS211" s="68"/>
      <c r="BT211" s="68"/>
      <c r="BU211" s="68"/>
      <c r="BV211" s="68"/>
      <c r="BW211" s="68"/>
      <c r="BX211" s="68"/>
      <c r="BY211" s="68"/>
      <c r="BZ211" s="68"/>
      <c r="CA211" s="68"/>
      <c r="CB211" s="68"/>
      <c r="CC211" s="68"/>
      <c r="CD211" s="68"/>
      <c r="CE211" s="68"/>
      <c r="CF211" s="68"/>
      <c r="CG211" s="68"/>
      <c r="CH211" s="68"/>
      <c r="CI211" s="68"/>
      <c r="CJ211" s="68"/>
      <c r="CK211" s="68"/>
      <c r="CL211" s="68"/>
      <c r="CM211" s="68"/>
      <c r="CN211" s="68"/>
      <c r="CO211" s="68"/>
      <c r="CP211" s="68"/>
      <c r="CQ211" s="68"/>
      <c r="CR211" s="68"/>
      <c r="CS211" s="68"/>
      <c r="CT211" s="68"/>
      <c r="CU211" s="68"/>
      <c r="CV211" s="68"/>
      <c r="CW211" s="68"/>
      <c r="CX211" s="68"/>
      <c r="CY211" s="68"/>
      <c r="CZ211" s="68"/>
      <c r="DA211" s="68"/>
      <c r="DB211" s="68"/>
      <c r="DC211" s="68"/>
      <c r="DD211" s="68"/>
      <c r="DE211" s="68"/>
      <c r="DF211" s="68"/>
    </row>
    <row r="212" spans="1:110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  <c r="BK212" s="68"/>
      <c r="BL212" s="68"/>
      <c r="BM212" s="68"/>
      <c r="BN212" s="68"/>
      <c r="BO212" s="68"/>
      <c r="BP212" s="68"/>
      <c r="BQ212" s="68"/>
      <c r="BR212" s="68"/>
      <c r="BS212" s="68"/>
      <c r="BT212" s="68"/>
      <c r="BU212" s="68"/>
      <c r="BV212" s="68"/>
      <c r="BW212" s="68"/>
      <c r="BX212" s="68"/>
      <c r="BY212" s="68"/>
      <c r="BZ212" s="68"/>
      <c r="CA212" s="68"/>
      <c r="CB212" s="68"/>
      <c r="CC212" s="68"/>
      <c r="CD212" s="68"/>
      <c r="CE212" s="68"/>
      <c r="CF212" s="68"/>
      <c r="CG212" s="68"/>
      <c r="CH212" s="68"/>
      <c r="CI212" s="68"/>
      <c r="CJ212" s="68"/>
      <c r="CK212" s="68"/>
      <c r="CL212" s="68"/>
      <c r="CM212" s="68"/>
      <c r="CN212" s="68"/>
      <c r="CO212" s="68"/>
      <c r="CP212" s="68"/>
      <c r="CQ212" s="68"/>
      <c r="CR212" s="68"/>
      <c r="CS212" s="68"/>
      <c r="CT212" s="68"/>
      <c r="CU212" s="68"/>
      <c r="CV212" s="68"/>
      <c r="CW212" s="68"/>
      <c r="CX212" s="68"/>
      <c r="CY212" s="68"/>
      <c r="CZ212" s="68"/>
      <c r="DA212" s="68"/>
      <c r="DB212" s="68"/>
      <c r="DC212" s="68"/>
      <c r="DD212" s="68"/>
      <c r="DE212" s="68"/>
      <c r="DF212" s="68"/>
    </row>
    <row r="213" spans="1:110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  <c r="BK213" s="68"/>
      <c r="BL213" s="68"/>
      <c r="BM213" s="68"/>
      <c r="BN213" s="68"/>
      <c r="BO213" s="68"/>
      <c r="BP213" s="68"/>
      <c r="BQ213" s="68"/>
      <c r="BR213" s="68"/>
      <c r="BS213" s="68"/>
      <c r="BT213" s="68"/>
      <c r="BU213" s="68"/>
      <c r="BV213" s="68"/>
      <c r="BW213" s="68"/>
      <c r="BX213" s="68"/>
      <c r="BY213" s="68"/>
      <c r="BZ213" s="68"/>
      <c r="CA213" s="68"/>
      <c r="CB213" s="68"/>
      <c r="CC213" s="68"/>
      <c r="CD213" s="68"/>
      <c r="CE213" s="68"/>
      <c r="CF213" s="68"/>
      <c r="CG213" s="68"/>
      <c r="CH213" s="68"/>
      <c r="CI213" s="68"/>
      <c r="CJ213" s="68"/>
      <c r="CK213" s="68"/>
      <c r="CL213" s="68"/>
      <c r="CM213" s="68"/>
      <c r="CN213" s="68"/>
      <c r="CO213" s="68"/>
      <c r="CP213" s="68"/>
      <c r="CQ213" s="68"/>
      <c r="CR213" s="68"/>
      <c r="CS213" s="68"/>
      <c r="CT213" s="68"/>
      <c r="CU213" s="68"/>
      <c r="CV213" s="68"/>
      <c r="CW213" s="68"/>
      <c r="CX213" s="68"/>
      <c r="CY213" s="68"/>
      <c r="CZ213" s="68"/>
      <c r="DA213" s="68"/>
      <c r="DB213" s="68"/>
      <c r="DC213" s="68"/>
      <c r="DD213" s="68"/>
      <c r="DE213" s="68"/>
      <c r="DF213" s="68"/>
    </row>
    <row r="214" spans="1:110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  <c r="BM214" s="68"/>
      <c r="BN214" s="68"/>
      <c r="BO214" s="68"/>
      <c r="BP214" s="68"/>
      <c r="BQ214" s="68"/>
      <c r="BR214" s="68"/>
      <c r="BS214" s="68"/>
      <c r="BT214" s="68"/>
      <c r="BU214" s="68"/>
      <c r="BV214" s="68"/>
      <c r="BW214" s="68"/>
      <c r="BX214" s="68"/>
      <c r="BY214" s="68"/>
      <c r="BZ214" s="68"/>
      <c r="CA214" s="68"/>
      <c r="CB214" s="68"/>
      <c r="CC214" s="68"/>
      <c r="CD214" s="68"/>
      <c r="CE214" s="68"/>
      <c r="CF214" s="68"/>
      <c r="CG214" s="68"/>
      <c r="CH214" s="68"/>
      <c r="CI214" s="68"/>
      <c r="CJ214" s="68"/>
      <c r="CK214" s="68"/>
      <c r="CL214" s="68"/>
      <c r="CM214" s="68"/>
      <c r="CN214" s="68"/>
      <c r="CO214" s="68"/>
      <c r="CP214" s="68"/>
      <c r="CQ214" s="68"/>
      <c r="CR214" s="68"/>
      <c r="CS214" s="68"/>
      <c r="CT214" s="68"/>
      <c r="CU214" s="68"/>
      <c r="CV214" s="68"/>
      <c r="CW214" s="68"/>
      <c r="CX214" s="68"/>
      <c r="CY214" s="68"/>
      <c r="CZ214" s="68"/>
      <c r="DA214" s="68"/>
      <c r="DB214" s="68"/>
      <c r="DC214" s="68"/>
      <c r="DD214" s="68"/>
      <c r="DE214" s="68"/>
      <c r="DF214" s="68"/>
    </row>
    <row r="215" spans="1:110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  <c r="BK215" s="68"/>
      <c r="BL215" s="68"/>
      <c r="BM215" s="68"/>
      <c r="BN215" s="68"/>
      <c r="BO215" s="68"/>
      <c r="BP215" s="68"/>
      <c r="BQ215" s="68"/>
      <c r="BR215" s="68"/>
      <c r="BS215" s="68"/>
      <c r="BT215" s="68"/>
      <c r="BU215" s="68"/>
      <c r="BV215" s="68"/>
      <c r="BW215" s="68"/>
      <c r="BX215" s="68"/>
      <c r="BY215" s="68"/>
      <c r="BZ215" s="68"/>
      <c r="CA215" s="68"/>
      <c r="CB215" s="68"/>
      <c r="CC215" s="68"/>
      <c r="CD215" s="68"/>
      <c r="CE215" s="68"/>
      <c r="CF215" s="68"/>
      <c r="CG215" s="68"/>
      <c r="CH215" s="68"/>
      <c r="CI215" s="68"/>
      <c r="CJ215" s="68"/>
      <c r="CK215" s="68"/>
      <c r="CL215" s="68"/>
      <c r="CM215" s="68"/>
      <c r="CN215" s="68"/>
      <c r="CO215" s="68"/>
      <c r="CP215" s="68"/>
      <c r="CQ215" s="68"/>
      <c r="CR215" s="68"/>
      <c r="CS215" s="68"/>
      <c r="CT215" s="68"/>
      <c r="CU215" s="68"/>
      <c r="CV215" s="68"/>
      <c r="CW215" s="68"/>
      <c r="CX215" s="68"/>
      <c r="CY215" s="68"/>
      <c r="CZ215" s="68"/>
      <c r="DA215" s="68"/>
      <c r="DB215" s="68"/>
      <c r="DC215" s="68"/>
      <c r="DD215" s="68"/>
      <c r="DE215" s="68"/>
      <c r="DF215" s="68"/>
    </row>
    <row r="216" spans="1:110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  <c r="BM216" s="68"/>
      <c r="BN216" s="68"/>
      <c r="BO216" s="68"/>
      <c r="BP216" s="68"/>
      <c r="BQ216" s="68"/>
      <c r="BR216" s="68"/>
      <c r="BS216" s="68"/>
      <c r="BT216" s="68"/>
      <c r="BU216" s="68"/>
      <c r="BV216" s="68"/>
      <c r="BW216" s="68"/>
      <c r="BX216" s="68"/>
      <c r="BY216" s="68"/>
      <c r="BZ216" s="68"/>
      <c r="CA216" s="68"/>
      <c r="CB216" s="68"/>
      <c r="CC216" s="68"/>
      <c r="CD216" s="68"/>
      <c r="CE216" s="68"/>
      <c r="CF216" s="68"/>
      <c r="CG216" s="68"/>
      <c r="CH216" s="68"/>
      <c r="CI216" s="68"/>
      <c r="CJ216" s="68"/>
      <c r="CK216" s="68"/>
      <c r="CL216" s="68"/>
      <c r="CM216" s="68"/>
      <c r="CN216" s="68"/>
      <c r="CO216" s="68"/>
      <c r="CP216" s="68"/>
      <c r="CQ216" s="68"/>
      <c r="CR216" s="68"/>
      <c r="CS216" s="68"/>
      <c r="CT216" s="68"/>
      <c r="CU216" s="68"/>
      <c r="CV216" s="68"/>
      <c r="CW216" s="68"/>
      <c r="CX216" s="68"/>
      <c r="CY216" s="68"/>
      <c r="CZ216" s="68"/>
      <c r="DA216" s="68"/>
      <c r="DB216" s="68"/>
      <c r="DC216" s="68"/>
      <c r="DD216" s="68"/>
      <c r="DE216" s="68"/>
      <c r="DF216" s="68"/>
    </row>
    <row r="217" spans="1:110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  <c r="BM217" s="68"/>
      <c r="BN217" s="68"/>
      <c r="BO217" s="68"/>
      <c r="BP217" s="68"/>
      <c r="BQ217" s="68"/>
      <c r="BR217" s="68"/>
      <c r="BS217" s="68"/>
      <c r="BT217" s="68"/>
      <c r="BU217" s="68"/>
      <c r="BV217" s="68"/>
      <c r="BW217" s="68"/>
      <c r="BX217" s="68"/>
      <c r="BY217" s="68"/>
      <c r="BZ217" s="68"/>
      <c r="CA217" s="68"/>
      <c r="CB217" s="68"/>
      <c r="CC217" s="68"/>
      <c r="CD217" s="68"/>
      <c r="CE217" s="68"/>
      <c r="CF217" s="68"/>
      <c r="CG217" s="68"/>
      <c r="CH217" s="68"/>
      <c r="CI217" s="68"/>
      <c r="CJ217" s="68"/>
      <c r="CK217" s="68"/>
      <c r="CL217" s="68"/>
      <c r="CM217" s="68"/>
      <c r="CN217" s="68"/>
      <c r="CO217" s="68"/>
      <c r="CP217" s="68"/>
      <c r="CQ217" s="68"/>
      <c r="CR217" s="68"/>
      <c r="CS217" s="68"/>
      <c r="CT217" s="68"/>
      <c r="CU217" s="68"/>
      <c r="CV217" s="68"/>
      <c r="CW217" s="68"/>
      <c r="CX217" s="68"/>
      <c r="CY217" s="68"/>
      <c r="CZ217" s="68"/>
      <c r="DA217" s="68"/>
      <c r="DB217" s="68"/>
      <c r="DC217" s="68"/>
      <c r="DD217" s="68"/>
      <c r="DE217" s="68"/>
      <c r="DF217" s="68"/>
    </row>
    <row r="218" spans="1:110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  <c r="BM218" s="68"/>
      <c r="BN218" s="68"/>
      <c r="BO218" s="68"/>
      <c r="BP218" s="68"/>
      <c r="BQ218" s="68"/>
      <c r="BR218" s="68"/>
      <c r="BS218" s="68"/>
      <c r="BT218" s="68"/>
      <c r="BU218" s="68"/>
      <c r="BV218" s="68"/>
      <c r="BW218" s="68"/>
      <c r="BX218" s="68"/>
      <c r="BY218" s="68"/>
      <c r="BZ218" s="68"/>
      <c r="CA218" s="68"/>
      <c r="CB218" s="68"/>
      <c r="CC218" s="68"/>
      <c r="CD218" s="68"/>
      <c r="CE218" s="68"/>
      <c r="CF218" s="68"/>
      <c r="CG218" s="68"/>
      <c r="CH218" s="68"/>
      <c r="CI218" s="68"/>
      <c r="CJ218" s="68"/>
      <c r="CK218" s="68"/>
      <c r="CL218" s="68"/>
      <c r="CM218" s="68"/>
      <c r="CN218" s="68"/>
      <c r="CO218" s="68"/>
      <c r="CP218" s="68"/>
      <c r="CQ218" s="68"/>
      <c r="CR218" s="68"/>
      <c r="CS218" s="68"/>
      <c r="CT218" s="68"/>
      <c r="CU218" s="68"/>
      <c r="CV218" s="68"/>
      <c r="CW218" s="68"/>
      <c r="CX218" s="68"/>
      <c r="CY218" s="68"/>
      <c r="CZ218" s="68"/>
      <c r="DA218" s="68"/>
      <c r="DB218" s="68"/>
      <c r="DC218" s="68"/>
      <c r="DD218" s="68"/>
      <c r="DE218" s="68"/>
      <c r="DF218" s="68"/>
    </row>
    <row r="219" spans="1:110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  <c r="BM219" s="68"/>
      <c r="BN219" s="68"/>
      <c r="BO219" s="68"/>
      <c r="BP219" s="68"/>
      <c r="BQ219" s="68"/>
      <c r="BR219" s="68"/>
      <c r="BS219" s="68"/>
      <c r="BT219" s="68"/>
      <c r="BU219" s="68"/>
      <c r="BV219" s="68"/>
      <c r="BW219" s="68"/>
      <c r="BX219" s="68"/>
      <c r="BY219" s="68"/>
      <c r="BZ219" s="68"/>
      <c r="CA219" s="68"/>
      <c r="CB219" s="68"/>
      <c r="CC219" s="68"/>
      <c r="CD219" s="68"/>
      <c r="CE219" s="68"/>
      <c r="CF219" s="68"/>
      <c r="CG219" s="68"/>
      <c r="CH219" s="68"/>
      <c r="CI219" s="68"/>
      <c r="CJ219" s="68"/>
      <c r="CK219" s="68"/>
      <c r="CL219" s="68"/>
      <c r="CM219" s="68"/>
      <c r="CN219" s="68"/>
      <c r="CO219" s="68"/>
      <c r="CP219" s="68"/>
      <c r="CQ219" s="68"/>
      <c r="CR219" s="68"/>
      <c r="CS219" s="68"/>
      <c r="CT219" s="68"/>
      <c r="CU219" s="68"/>
      <c r="CV219" s="68"/>
      <c r="CW219" s="68"/>
      <c r="CX219" s="68"/>
      <c r="CY219" s="68"/>
      <c r="CZ219" s="68"/>
      <c r="DA219" s="68"/>
      <c r="DB219" s="68"/>
      <c r="DC219" s="68"/>
      <c r="DD219" s="68"/>
      <c r="DE219" s="68"/>
      <c r="DF219" s="68"/>
    </row>
    <row r="220" spans="1:110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  <c r="BK220" s="68"/>
      <c r="BL220" s="68"/>
      <c r="BM220" s="68"/>
      <c r="BN220" s="68"/>
      <c r="BO220" s="68"/>
      <c r="BP220" s="68"/>
      <c r="BQ220" s="68"/>
      <c r="BR220" s="68"/>
      <c r="BS220" s="68"/>
      <c r="BT220" s="68"/>
      <c r="BU220" s="68"/>
      <c r="BV220" s="68"/>
      <c r="BW220" s="68"/>
      <c r="BX220" s="68"/>
      <c r="BY220" s="68"/>
      <c r="BZ220" s="68"/>
      <c r="CA220" s="68"/>
      <c r="CB220" s="68"/>
      <c r="CC220" s="68"/>
      <c r="CD220" s="68"/>
      <c r="CE220" s="68"/>
      <c r="CF220" s="68"/>
      <c r="CG220" s="68"/>
      <c r="CH220" s="68"/>
      <c r="CI220" s="68"/>
      <c r="CJ220" s="68"/>
      <c r="CK220" s="68"/>
      <c r="CL220" s="68"/>
      <c r="CM220" s="68"/>
      <c r="CN220" s="68"/>
      <c r="CO220" s="68"/>
      <c r="CP220" s="68"/>
      <c r="CQ220" s="68"/>
      <c r="CR220" s="68"/>
      <c r="CS220" s="68"/>
      <c r="CT220" s="68"/>
      <c r="CU220" s="68"/>
      <c r="CV220" s="68"/>
      <c r="CW220" s="68"/>
      <c r="CX220" s="68"/>
      <c r="CY220" s="68"/>
      <c r="CZ220" s="68"/>
      <c r="DA220" s="68"/>
      <c r="DB220" s="68"/>
      <c r="DC220" s="68"/>
      <c r="DD220" s="68"/>
      <c r="DE220" s="68"/>
      <c r="DF220" s="68"/>
    </row>
    <row r="221" spans="1:110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  <c r="BK221" s="68"/>
      <c r="BL221" s="68"/>
      <c r="BM221" s="68"/>
      <c r="BN221" s="68"/>
      <c r="BO221" s="68"/>
      <c r="BP221" s="68"/>
      <c r="BQ221" s="68"/>
      <c r="BR221" s="68"/>
      <c r="BS221" s="68"/>
      <c r="BT221" s="68"/>
      <c r="BU221" s="68"/>
      <c r="BV221" s="68"/>
      <c r="BW221" s="68"/>
      <c r="BX221" s="68"/>
      <c r="BY221" s="68"/>
      <c r="BZ221" s="68"/>
      <c r="CA221" s="68"/>
      <c r="CB221" s="68"/>
      <c r="CC221" s="68"/>
      <c r="CD221" s="68"/>
      <c r="CE221" s="68"/>
      <c r="CF221" s="68"/>
      <c r="CG221" s="68"/>
      <c r="CH221" s="68"/>
      <c r="CI221" s="68"/>
      <c r="CJ221" s="68"/>
      <c r="CK221" s="68"/>
      <c r="CL221" s="68"/>
      <c r="CM221" s="68"/>
      <c r="CN221" s="68"/>
      <c r="CO221" s="68"/>
      <c r="CP221" s="68"/>
      <c r="CQ221" s="68"/>
      <c r="CR221" s="68"/>
      <c r="CS221" s="68"/>
      <c r="CT221" s="68"/>
      <c r="CU221" s="68"/>
      <c r="CV221" s="68"/>
      <c r="CW221" s="68"/>
      <c r="CX221" s="68"/>
      <c r="CY221" s="68"/>
      <c r="CZ221" s="68"/>
      <c r="DA221" s="68"/>
      <c r="DB221" s="68"/>
      <c r="DC221" s="68"/>
      <c r="DD221" s="68"/>
      <c r="DE221" s="68"/>
      <c r="DF221" s="68"/>
    </row>
    <row r="222" spans="1:110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  <c r="BM222" s="68"/>
      <c r="BN222" s="68"/>
      <c r="BO222" s="68"/>
      <c r="BP222" s="68"/>
      <c r="BQ222" s="68"/>
      <c r="BR222" s="68"/>
      <c r="BS222" s="68"/>
      <c r="BT222" s="68"/>
      <c r="BU222" s="68"/>
      <c r="BV222" s="68"/>
      <c r="BW222" s="68"/>
      <c r="BX222" s="68"/>
      <c r="BY222" s="68"/>
      <c r="BZ222" s="68"/>
      <c r="CA222" s="68"/>
      <c r="CB222" s="68"/>
      <c r="CC222" s="68"/>
      <c r="CD222" s="68"/>
      <c r="CE222" s="68"/>
      <c r="CF222" s="68"/>
      <c r="CG222" s="68"/>
      <c r="CH222" s="68"/>
      <c r="CI222" s="68"/>
      <c r="CJ222" s="68"/>
      <c r="CK222" s="68"/>
      <c r="CL222" s="68"/>
      <c r="CM222" s="68"/>
      <c r="CN222" s="68"/>
      <c r="CO222" s="68"/>
      <c r="CP222" s="68"/>
      <c r="CQ222" s="68"/>
      <c r="CR222" s="68"/>
      <c r="CS222" s="68"/>
      <c r="CT222" s="68"/>
      <c r="CU222" s="68"/>
      <c r="CV222" s="68"/>
      <c r="CW222" s="68"/>
      <c r="CX222" s="68"/>
      <c r="CY222" s="68"/>
      <c r="CZ222" s="68"/>
      <c r="DA222" s="68"/>
      <c r="DB222" s="68"/>
      <c r="DC222" s="68"/>
      <c r="DD222" s="68"/>
      <c r="DE222" s="68"/>
      <c r="DF222" s="68"/>
    </row>
    <row r="223" spans="1:110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  <c r="BK223" s="68"/>
      <c r="BL223" s="68"/>
      <c r="BM223" s="68"/>
      <c r="BN223" s="68"/>
      <c r="BO223" s="68"/>
      <c r="BP223" s="68"/>
      <c r="BQ223" s="68"/>
      <c r="BR223" s="68"/>
      <c r="BS223" s="68"/>
      <c r="BT223" s="68"/>
      <c r="BU223" s="68"/>
      <c r="BV223" s="68"/>
      <c r="BW223" s="68"/>
      <c r="BX223" s="68"/>
      <c r="BY223" s="68"/>
      <c r="BZ223" s="68"/>
      <c r="CA223" s="68"/>
      <c r="CB223" s="68"/>
      <c r="CC223" s="68"/>
      <c r="CD223" s="68"/>
      <c r="CE223" s="68"/>
      <c r="CF223" s="68"/>
      <c r="CG223" s="68"/>
      <c r="CH223" s="68"/>
      <c r="CI223" s="68"/>
      <c r="CJ223" s="68"/>
      <c r="CK223" s="68"/>
      <c r="CL223" s="68"/>
      <c r="CM223" s="68"/>
      <c r="CN223" s="68"/>
      <c r="CO223" s="68"/>
      <c r="CP223" s="68"/>
      <c r="CQ223" s="68"/>
      <c r="CR223" s="68"/>
      <c r="CS223" s="68"/>
      <c r="CT223" s="68"/>
      <c r="CU223" s="68"/>
      <c r="CV223" s="68"/>
      <c r="CW223" s="68"/>
      <c r="CX223" s="68"/>
      <c r="CY223" s="68"/>
      <c r="CZ223" s="68"/>
      <c r="DA223" s="68"/>
      <c r="DB223" s="68"/>
      <c r="DC223" s="68"/>
      <c r="DD223" s="68"/>
      <c r="DE223" s="68"/>
      <c r="DF223" s="68"/>
    </row>
    <row r="224" spans="1:110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  <c r="BM224" s="68"/>
      <c r="BN224" s="68"/>
      <c r="BO224" s="68"/>
      <c r="BP224" s="68"/>
      <c r="BQ224" s="68"/>
      <c r="BR224" s="68"/>
      <c r="BS224" s="68"/>
      <c r="BT224" s="68"/>
      <c r="BU224" s="68"/>
      <c r="BV224" s="68"/>
      <c r="BW224" s="68"/>
      <c r="BX224" s="68"/>
      <c r="BY224" s="68"/>
      <c r="BZ224" s="68"/>
      <c r="CA224" s="68"/>
      <c r="CB224" s="68"/>
      <c r="CC224" s="68"/>
      <c r="CD224" s="68"/>
      <c r="CE224" s="68"/>
      <c r="CF224" s="68"/>
      <c r="CG224" s="68"/>
      <c r="CH224" s="68"/>
      <c r="CI224" s="68"/>
      <c r="CJ224" s="68"/>
      <c r="CK224" s="68"/>
      <c r="CL224" s="68"/>
      <c r="CM224" s="68"/>
      <c r="CN224" s="68"/>
      <c r="CO224" s="68"/>
      <c r="CP224" s="68"/>
      <c r="CQ224" s="68"/>
      <c r="CR224" s="68"/>
      <c r="CS224" s="68"/>
      <c r="CT224" s="68"/>
      <c r="CU224" s="68"/>
      <c r="CV224" s="68"/>
      <c r="CW224" s="68"/>
      <c r="CX224" s="68"/>
      <c r="CY224" s="68"/>
      <c r="CZ224" s="68"/>
      <c r="DA224" s="68"/>
      <c r="DB224" s="68"/>
      <c r="DC224" s="68"/>
      <c r="DD224" s="68"/>
      <c r="DE224" s="68"/>
      <c r="DF224" s="68"/>
    </row>
    <row r="225" spans="1:110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  <c r="BM225" s="68"/>
      <c r="BN225" s="68"/>
      <c r="BO225" s="68"/>
      <c r="BP225" s="68"/>
      <c r="BQ225" s="68"/>
      <c r="BR225" s="68"/>
      <c r="BS225" s="68"/>
      <c r="BT225" s="68"/>
      <c r="BU225" s="68"/>
      <c r="BV225" s="68"/>
      <c r="BW225" s="68"/>
      <c r="BX225" s="68"/>
      <c r="BY225" s="68"/>
      <c r="BZ225" s="68"/>
      <c r="CA225" s="68"/>
      <c r="CB225" s="68"/>
      <c r="CC225" s="68"/>
      <c r="CD225" s="68"/>
      <c r="CE225" s="68"/>
      <c r="CF225" s="68"/>
      <c r="CG225" s="68"/>
      <c r="CH225" s="68"/>
      <c r="CI225" s="68"/>
      <c r="CJ225" s="68"/>
      <c r="CK225" s="68"/>
      <c r="CL225" s="68"/>
      <c r="CM225" s="68"/>
      <c r="CN225" s="68"/>
      <c r="CO225" s="68"/>
      <c r="CP225" s="68"/>
      <c r="CQ225" s="68"/>
      <c r="CR225" s="68"/>
      <c r="CS225" s="68"/>
      <c r="CT225" s="68"/>
      <c r="CU225" s="68"/>
      <c r="CV225" s="68"/>
      <c r="CW225" s="68"/>
      <c r="CX225" s="68"/>
      <c r="CY225" s="68"/>
      <c r="CZ225" s="68"/>
      <c r="DA225" s="68"/>
      <c r="DB225" s="68"/>
      <c r="DC225" s="68"/>
      <c r="DD225" s="68"/>
      <c r="DE225" s="68"/>
      <c r="DF225" s="68"/>
    </row>
    <row r="226" spans="1:110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  <c r="BP226" s="68"/>
      <c r="BQ226" s="68"/>
      <c r="BR226" s="68"/>
      <c r="BS226" s="68"/>
      <c r="BT226" s="68"/>
      <c r="BU226" s="68"/>
      <c r="BV226" s="68"/>
      <c r="BW226" s="68"/>
      <c r="BX226" s="68"/>
      <c r="BY226" s="68"/>
      <c r="BZ226" s="68"/>
      <c r="CA226" s="68"/>
      <c r="CB226" s="68"/>
      <c r="CC226" s="68"/>
      <c r="CD226" s="68"/>
      <c r="CE226" s="68"/>
      <c r="CF226" s="68"/>
      <c r="CG226" s="68"/>
      <c r="CH226" s="68"/>
      <c r="CI226" s="68"/>
      <c r="CJ226" s="68"/>
      <c r="CK226" s="68"/>
      <c r="CL226" s="68"/>
      <c r="CM226" s="68"/>
      <c r="CN226" s="68"/>
      <c r="CO226" s="68"/>
      <c r="CP226" s="68"/>
      <c r="CQ226" s="68"/>
      <c r="CR226" s="68"/>
      <c r="CS226" s="68"/>
      <c r="CT226" s="68"/>
      <c r="CU226" s="68"/>
      <c r="CV226" s="68"/>
      <c r="CW226" s="68"/>
      <c r="CX226" s="68"/>
      <c r="CY226" s="68"/>
      <c r="CZ226" s="68"/>
      <c r="DA226" s="68"/>
      <c r="DB226" s="68"/>
      <c r="DC226" s="68"/>
      <c r="DD226" s="68"/>
      <c r="DE226" s="68"/>
      <c r="DF226" s="68"/>
    </row>
    <row r="227" spans="1:110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  <c r="BK227" s="68"/>
      <c r="BL227" s="68"/>
      <c r="BM227" s="68"/>
      <c r="BN227" s="68"/>
      <c r="BO227" s="68"/>
      <c r="BP227" s="68"/>
      <c r="BQ227" s="68"/>
      <c r="BR227" s="68"/>
      <c r="BS227" s="68"/>
      <c r="BT227" s="68"/>
      <c r="BU227" s="68"/>
      <c r="BV227" s="68"/>
      <c r="BW227" s="68"/>
      <c r="BX227" s="68"/>
      <c r="BY227" s="68"/>
      <c r="BZ227" s="68"/>
      <c r="CA227" s="68"/>
      <c r="CB227" s="68"/>
      <c r="CC227" s="68"/>
      <c r="CD227" s="68"/>
      <c r="CE227" s="68"/>
      <c r="CF227" s="68"/>
      <c r="CG227" s="68"/>
      <c r="CH227" s="68"/>
      <c r="CI227" s="68"/>
      <c r="CJ227" s="68"/>
      <c r="CK227" s="68"/>
      <c r="CL227" s="68"/>
      <c r="CM227" s="68"/>
      <c r="CN227" s="68"/>
      <c r="CO227" s="68"/>
      <c r="CP227" s="68"/>
      <c r="CQ227" s="68"/>
      <c r="CR227" s="68"/>
      <c r="CS227" s="68"/>
      <c r="CT227" s="68"/>
      <c r="CU227" s="68"/>
      <c r="CV227" s="68"/>
      <c r="CW227" s="68"/>
      <c r="CX227" s="68"/>
      <c r="CY227" s="68"/>
      <c r="CZ227" s="68"/>
      <c r="DA227" s="68"/>
      <c r="DB227" s="68"/>
      <c r="DC227" s="68"/>
      <c r="DD227" s="68"/>
      <c r="DE227" s="68"/>
      <c r="DF227" s="68"/>
    </row>
    <row r="228" spans="1:110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  <c r="BK228" s="68"/>
      <c r="BL228" s="68"/>
      <c r="BM228" s="68"/>
      <c r="BN228" s="68"/>
      <c r="BO228" s="68"/>
      <c r="BP228" s="68"/>
      <c r="BQ228" s="68"/>
      <c r="BR228" s="68"/>
      <c r="BS228" s="68"/>
      <c r="BT228" s="68"/>
      <c r="BU228" s="68"/>
      <c r="BV228" s="68"/>
      <c r="BW228" s="68"/>
      <c r="BX228" s="68"/>
      <c r="BY228" s="68"/>
      <c r="BZ228" s="68"/>
      <c r="CA228" s="68"/>
      <c r="CB228" s="68"/>
      <c r="CC228" s="68"/>
      <c r="CD228" s="68"/>
      <c r="CE228" s="68"/>
      <c r="CF228" s="68"/>
      <c r="CG228" s="68"/>
      <c r="CH228" s="68"/>
      <c r="CI228" s="68"/>
      <c r="CJ228" s="68"/>
      <c r="CK228" s="68"/>
      <c r="CL228" s="68"/>
      <c r="CM228" s="68"/>
      <c r="CN228" s="68"/>
      <c r="CO228" s="68"/>
      <c r="CP228" s="68"/>
      <c r="CQ228" s="68"/>
      <c r="CR228" s="68"/>
      <c r="CS228" s="68"/>
      <c r="CT228" s="68"/>
      <c r="CU228" s="68"/>
      <c r="CV228" s="68"/>
      <c r="CW228" s="68"/>
      <c r="CX228" s="68"/>
      <c r="CY228" s="68"/>
      <c r="CZ228" s="68"/>
      <c r="DA228" s="68"/>
      <c r="DB228" s="68"/>
      <c r="DC228" s="68"/>
      <c r="DD228" s="68"/>
      <c r="DE228" s="68"/>
      <c r="DF228" s="68"/>
    </row>
    <row r="229" spans="1:110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  <c r="BK229" s="68"/>
      <c r="BL229" s="68"/>
      <c r="BM229" s="68"/>
      <c r="BN229" s="68"/>
      <c r="BO229" s="68"/>
      <c r="BP229" s="68"/>
      <c r="BQ229" s="68"/>
      <c r="BR229" s="68"/>
      <c r="BS229" s="68"/>
      <c r="BT229" s="68"/>
      <c r="BU229" s="68"/>
      <c r="BV229" s="68"/>
      <c r="BW229" s="68"/>
      <c r="BX229" s="68"/>
      <c r="BY229" s="68"/>
      <c r="BZ229" s="68"/>
      <c r="CA229" s="68"/>
      <c r="CB229" s="68"/>
      <c r="CC229" s="68"/>
      <c r="CD229" s="68"/>
      <c r="CE229" s="68"/>
      <c r="CF229" s="68"/>
      <c r="CG229" s="68"/>
      <c r="CH229" s="68"/>
      <c r="CI229" s="68"/>
      <c r="CJ229" s="68"/>
      <c r="CK229" s="68"/>
      <c r="CL229" s="68"/>
      <c r="CM229" s="68"/>
      <c r="CN229" s="68"/>
      <c r="CO229" s="68"/>
      <c r="CP229" s="68"/>
      <c r="CQ229" s="68"/>
      <c r="CR229" s="68"/>
      <c r="CS229" s="68"/>
      <c r="CT229" s="68"/>
      <c r="CU229" s="68"/>
      <c r="CV229" s="68"/>
      <c r="CW229" s="68"/>
      <c r="CX229" s="68"/>
      <c r="CY229" s="68"/>
      <c r="CZ229" s="68"/>
      <c r="DA229" s="68"/>
      <c r="DB229" s="68"/>
      <c r="DC229" s="68"/>
      <c r="DD229" s="68"/>
      <c r="DE229" s="68"/>
      <c r="DF229" s="68"/>
    </row>
    <row r="230" spans="1:110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  <c r="BK230" s="68"/>
      <c r="BL230" s="68"/>
      <c r="BM230" s="68"/>
      <c r="BN230" s="68"/>
      <c r="BO230" s="68"/>
      <c r="BP230" s="68"/>
      <c r="BQ230" s="68"/>
      <c r="BR230" s="68"/>
      <c r="BS230" s="68"/>
      <c r="BT230" s="68"/>
      <c r="BU230" s="68"/>
      <c r="BV230" s="68"/>
      <c r="BW230" s="68"/>
      <c r="BX230" s="68"/>
      <c r="BY230" s="68"/>
      <c r="BZ230" s="68"/>
      <c r="CA230" s="68"/>
      <c r="CB230" s="68"/>
      <c r="CC230" s="68"/>
      <c r="CD230" s="68"/>
      <c r="CE230" s="68"/>
      <c r="CF230" s="68"/>
      <c r="CG230" s="68"/>
      <c r="CH230" s="68"/>
      <c r="CI230" s="68"/>
      <c r="CJ230" s="68"/>
      <c r="CK230" s="68"/>
      <c r="CL230" s="68"/>
      <c r="CM230" s="68"/>
      <c r="CN230" s="68"/>
      <c r="CO230" s="68"/>
      <c r="CP230" s="68"/>
      <c r="CQ230" s="68"/>
      <c r="CR230" s="68"/>
      <c r="CS230" s="68"/>
      <c r="CT230" s="68"/>
      <c r="CU230" s="68"/>
      <c r="CV230" s="68"/>
      <c r="CW230" s="68"/>
      <c r="CX230" s="68"/>
      <c r="CY230" s="68"/>
      <c r="CZ230" s="68"/>
      <c r="DA230" s="68"/>
      <c r="DB230" s="68"/>
      <c r="DC230" s="68"/>
      <c r="DD230" s="68"/>
      <c r="DE230" s="68"/>
      <c r="DF230" s="68"/>
    </row>
    <row r="231" spans="1:110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  <c r="BK231" s="68"/>
      <c r="BL231" s="68"/>
      <c r="BM231" s="68"/>
      <c r="BN231" s="68"/>
      <c r="BO231" s="68"/>
      <c r="BP231" s="68"/>
      <c r="BQ231" s="68"/>
      <c r="BR231" s="68"/>
      <c r="BS231" s="68"/>
      <c r="BT231" s="68"/>
      <c r="BU231" s="68"/>
      <c r="BV231" s="68"/>
      <c r="BW231" s="68"/>
      <c r="BX231" s="68"/>
      <c r="BY231" s="68"/>
      <c r="BZ231" s="68"/>
      <c r="CA231" s="68"/>
      <c r="CB231" s="68"/>
      <c r="CC231" s="68"/>
      <c r="CD231" s="68"/>
      <c r="CE231" s="68"/>
      <c r="CF231" s="68"/>
      <c r="CG231" s="68"/>
      <c r="CH231" s="68"/>
      <c r="CI231" s="68"/>
      <c r="CJ231" s="68"/>
      <c r="CK231" s="68"/>
      <c r="CL231" s="68"/>
      <c r="CM231" s="68"/>
      <c r="CN231" s="68"/>
      <c r="CO231" s="68"/>
      <c r="CP231" s="68"/>
      <c r="CQ231" s="68"/>
      <c r="CR231" s="68"/>
      <c r="CS231" s="68"/>
      <c r="CT231" s="68"/>
      <c r="CU231" s="68"/>
      <c r="CV231" s="68"/>
      <c r="CW231" s="68"/>
      <c r="CX231" s="68"/>
      <c r="CY231" s="68"/>
      <c r="CZ231" s="68"/>
      <c r="DA231" s="68"/>
      <c r="DB231" s="68"/>
      <c r="DC231" s="68"/>
      <c r="DD231" s="68"/>
      <c r="DE231" s="68"/>
      <c r="DF231" s="68"/>
    </row>
    <row r="232" spans="1:110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8"/>
      <c r="BM232" s="68"/>
      <c r="BN232" s="68"/>
      <c r="BO232" s="68"/>
      <c r="BP232" s="68"/>
      <c r="BQ232" s="68"/>
      <c r="BR232" s="68"/>
      <c r="BS232" s="68"/>
      <c r="BT232" s="68"/>
      <c r="BU232" s="68"/>
      <c r="BV232" s="68"/>
      <c r="BW232" s="68"/>
      <c r="BX232" s="68"/>
      <c r="BY232" s="68"/>
      <c r="BZ232" s="68"/>
      <c r="CA232" s="68"/>
      <c r="CB232" s="68"/>
      <c r="CC232" s="68"/>
      <c r="CD232" s="68"/>
      <c r="CE232" s="68"/>
      <c r="CF232" s="68"/>
      <c r="CG232" s="68"/>
      <c r="CH232" s="68"/>
      <c r="CI232" s="68"/>
      <c r="CJ232" s="68"/>
      <c r="CK232" s="68"/>
      <c r="CL232" s="68"/>
      <c r="CM232" s="68"/>
      <c r="CN232" s="68"/>
      <c r="CO232" s="68"/>
      <c r="CP232" s="68"/>
      <c r="CQ232" s="68"/>
      <c r="CR232" s="68"/>
      <c r="CS232" s="68"/>
      <c r="CT232" s="68"/>
      <c r="CU232" s="68"/>
      <c r="CV232" s="68"/>
      <c r="CW232" s="68"/>
      <c r="CX232" s="68"/>
      <c r="CY232" s="68"/>
      <c r="CZ232" s="68"/>
      <c r="DA232" s="68"/>
      <c r="DB232" s="68"/>
      <c r="DC232" s="68"/>
      <c r="DD232" s="68"/>
      <c r="DE232" s="68"/>
      <c r="DF232" s="68"/>
    </row>
    <row r="233" spans="1:110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  <c r="BK233" s="68"/>
      <c r="BL233" s="68"/>
      <c r="BM233" s="68"/>
      <c r="BN233" s="68"/>
      <c r="BO233" s="68"/>
      <c r="BP233" s="68"/>
      <c r="BQ233" s="68"/>
      <c r="BR233" s="68"/>
      <c r="BS233" s="68"/>
      <c r="BT233" s="68"/>
      <c r="BU233" s="68"/>
      <c r="BV233" s="68"/>
      <c r="BW233" s="68"/>
      <c r="BX233" s="68"/>
      <c r="BY233" s="68"/>
      <c r="BZ233" s="68"/>
      <c r="CA233" s="68"/>
      <c r="CB233" s="68"/>
      <c r="CC233" s="68"/>
      <c r="CD233" s="68"/>
      <c r="CE233" s="68"/>
      <c r="CF233" s="68"/>
      <c r="CG233" s="68"/>
      <c r="CH233" s="68"/>
      <c r="CI233" s="68"/>
      <c r="CJ233" s="68"/>
      <c r="CK233" s="68"/>
      <c r="CL233" s="68"/>
      <c r="CM233" s="68"/>
      <c r="CN233" s="68"/>
      <c r="CO233" s="68"/>
      <c r="CP233" s="68"/>
      <c r="CQ233" s="68"/>
      <c r="CR233" s="68"/>
      <c r="CS233" s="68"/>
      <c r="CT233" s="68"/>
      <c r="CU233" s="68"/>
      <c r="CV233" s="68"/>
      <c r="CW233" s="68"/>
      <c r="CX233" s="68"/>
      <c r="CY233" s="68"/>
      <c r="CZ233" s="68"/>
      <c r="DA233" s="68"/>
      <c r="DB233" s="68"/>
      <c r="DC233" s="68"/>
      <c r="DD233" s="68"/>
      <c r="DE233" s="68"/>
      <c r="DF233" s="68"/>
    </row>
    <row r="234" spans="1:110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  <c r="BK234" s="68"/>
      <c r="BL234" s="68"/>
      <c r="BM234" s="68"/>
      <c r="BN234" s="68"/>
      <c r="BO234" s="68"/>
      <c r="BP234" s="68"/>
      <c r="BQ234" s="68"/>
      <c r="BR234" s="68"/>
      <c r="BS234" s="68"/>
      <c r="BT234" s="68"/>
      <c r="BU234" s="68"/>
      <c r="BV234" s="68"/>
      <c r="BW234" s="68"/>
      <c r="BX234" s="68"/>
      <c r="BY234" s="68"/>
      <c r="BZ234" s="68"/>
      <c r="CA234" s="68"/>
      <c r="CB234" s="68"/>
      <c r="CC234" s="68"/>
      <c r="CD234" s="68"/>
      <c r="CE234" s="68"/>
      <c r="CF234" s="68"/>
      <c r="CG234" s="68"/>
      <c r="CH234" s="68"/>
      <c r="CI234" s="68"/>
      <c r="CJ234" s="68"/>
      <c r="CK234" s="68"/>
      <c r="CL234" s="68"/>
      <c r="CM234" s="68"/>
      <c r="CN234" s="68"/>
      <c r="CO234" s="68"/>
      <c r="CP234" s="68"/>
      <c r="CQ234" s="68"/>
      <c r="CR234" s="68"/>
      <c r="CS234" s="68"/>
      <c r="CT234" s="68"/>
      <c r="CU234" s="68"/>
      <c r="CV234" s="68"/>
      <c r="CW234" s="68"/>
      <c r="CX234" s="68"/>
      <c r="CY234" s="68"/>
      <c r="CZ234" s="68"/>
      <c r="DA234" s="68"/>
      <c r="DB234" s="68"/>
      <c r="DC234" s="68"/>
      <c r="DD234" s="68"/>
      <c r="DE234" s="68"/>
      <c r="DF234" s="68"/>
    </row>
    <row r="235" spans="1:110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  <c r="BK235" s="68"/>
      <c r="BL235" s="68"/>
      <c r="BM235" s="68"/>
      <c r="BN235" s="68"/>
      <c r="BO235" s="68"/>
      <c r="BP235" s="68"/>
      <c r="BQ235" s="68"/>
      <c r="BR235" s="68"/>
      <c r="BS235" s="68"/>
      <c r="BT235" s="68"/>
      <c r="BU235" s="68"/>
      <c r="BV235" s="68"/>
      <c r="BW235" s="68"/>
      <c r="BX235" s="68"/>
      <c r="BY235" s="68"/>
      <c r="BZ235" s="68"/>
      <c r="CA235" s="68"/>
      <c r="CB235" s="68"/>
      <c r="CC235" s="68"/>
      <c r="CD235" s="68"/>
      <c r="CE235" s="68"/>
      <c r="CF235" s="68"/>
      <c r="CG235" s="68"/>
      <c r="CH235" s="68"/>
      <c r="CI235" s="68"/>
      <c r="CJ235" s="68"/>
      <c r="CK235" s="68"/>
      <c r="CL235" s="68"/>
      <c r="CM235" s="68"/>
      <c r="CN235" s="68"/>
      <c r="CO235" s="68"/>
      <c r="CP235" s="68"/>
      <c r="CQ235" s="68"/>
      <c r="CR235" s="68"/>
      <c r="CS235" s="68"/>
      <c r="CT235" s="68"/>
      <c r="CU235" s="68"/>
      <c r="CV235" s="68"/>
      <c r="CW235" s="68"/>
      <c r="CX235" s="68"/>
      <c r="CY235" s="68"/>
      <c r="CZ235" s="68"/>
      <c r="DA235" s="68"/>
      <c r="DB235" s="68"/>
      <c r="DC235" s="68"/>
      <c r="DD235" s="68"/>
      <c r="DE235" s="68"/>
      <c r="DF235" s="68"/>
    </row>
    <row r="236" spans="1:110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68"/>
      <c r="BP236" s="68"/>
      <c r="BQ236" s="68"/>
      <c r="BR236" s="68"/>
      <c r="BS236" s="68"/>
      <c r="BT236" s="68"/>
      <c r="BU236" s="68"/>
      <c r="BV236" s="68"/>
      <c r="BW236" s="68"/>
      <c r="BX236" s="68"/>
      <c r="BY236" s="68"/>
      <c r="BZ236" s="68"/>
      <c r="CA236" s="68"/>
      <c r="CB236" s="68"/>
      <c r="CC236" s="68"/>
      <c r="CD236" s="68"/>
      <c r="CE236" s="68"/>
      <c r="CF236" s="68"/>
      <c r="CG236" s="68"/>
      <c r="CH236" s="68"/>
      <c r="CI236" s="68"/>
      <c r="CJ236" s="68"/>
      <c r="CK236" s="68"/>
      <c r="CL236" s="68"/>
      <c r="CM236" s="68"/>
      <c r="CN236" s="68"/>
      <c r="CO236" s="68"/>
      <c r="CP236" s="68"/>
      <c r="CQ236" s="68"/>
      <c r="CR236" s="68"/>
      <c r="CS236" s="68"/>
      <c r="CT236" s="68"/>
      <c r="CU236" s="68"/>
      <c r="CV236" s="68"/>
      <c r="CW236" s="68"/>
      <c r="CX236" s="68"/>
      <c r="CY236" s="68"/>
      <c r="CZ236" s="68"/>
      <c r="DA236" s="68"/>
      <c r="DB236" s="68"/>
      <c r="DC236" s="68"/>
      <c r="DD236" s="68"/>
      <c r="DE236" s="68"/>
      <c r="DF236" s="68"/>
    </row>
    <row r="237" spans="1:110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  <c r="BK237" s="68"/>
      <c r="BL237" s="68"/>
      <c r="BM237" s="68"/>
      <c r="BN237" s="68"/>
      <c r="BO237" s="68"/>
      <c r="BP237" s="68"/>
      <c r="BQ237" s="68"/>
      <c r="BR237" s="68"/>
      <c r="BS237" s="68"/>
      <c r="BT237" s="68"/>
      <c r="BU237" s="68"/>
      <c r="BV237" s="68"/>
      <c r="BW237" s="68"/>
      <c r="BX237" s="68"/>
      <c r="BY237" s="68"/>
      <c r="BZ237" s="68"/>
      <c r="CA237" s="68"/>
      <c r="CB237" s="68"/>
      <c r="CC237" s="68"/>
      <c r="CD237" s="68"/>
      <c r="CE237" s="68"/>
      <c r="CF237" s="68"/>
      <c r="CG237" s="68"/>
      <c r="CH237" s="68"/>
      <c r="CI237" s="68"/>
      <c r="CJ237" s="68"/>
      <c r="CK237" s="68"/>
      <c r="CL237" s="68"/>
      <c r="CM237" s="68"/>
      <c r="CN237" s="68"/>
      <c r="CO237" s="68"/>
      <c r="CP237" s="68"/>
      <c r="CQ237" s="68"/>
      <c r="CR237" s="68"/>
      <c r="CS237" s="68"/>
      <c r="CT237" s="68"/>
      <c r="CU237" s="68"/>
      <c r="CV237" s="68"/>
      <c r="CW237" s="68"/>
      <c r="CX237" s="68"/>
      <c r="CY237" s="68"/>
      <c r="CZ237" s="68"/>
      <c r="DA237" s="68"/>
      <c r="DB237" s="68"/>
      <c r="DC237" s="68"/>
      <c r="DD237" s="68"/>
      <c r="DE237" s="68"/>
      <c r="DF237" s="68"/>
    </row>
    <row r="238" spans="1:110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  <c r="BK238" s="68"/>
      <c r="BL238" s="68"/>
      <c r="BM238" s="68"/>
      <c r="BN238" s="68"/>
      <c r="BO238" s="68"/>
      <c r="BP238" s="68"/>
      <c r="BQ238" s="68"/>
      <c r="BR238" s="68"/>
      <c r="BS238" s="68"/>
      <c r="BT238" s="68"/>
      <c r="BU238" s="68"/>
      <c r="BV238" s="68"/>
      <c r="BW238" s="68"/>
      <c r="BX238" s="68"/>
      <c r="BY238" s="68"/>
      <c r="BZ238" s="68"/>
      <c r="CA238" s="68"/>
      <c r="CB238" s="68"/>
      <c r="CC238" s="68"/>
      <c r="CD238" s="68"/>
      <c r="CE238" s="68"/>
      <c r="CF238" s="68"/>
      <c r="CG238" s="68"/>
      <c r="CH238" s="68"/>
      <c r="CI238" s="68"/>
      <c r="CJ238" s="68"/>
      <c r="CK238" s="68"/>
      <c r="CL238" s="68"/>
      <c r="CM238" s="68"/>
      <c r="CN238" s="68"/>
      <c r="CO238" s="68"/>
      <c r="CP238" s="68"/>
      <c r="CQ238" s="68"/>
      <c r="CR238" s="68"/>
      <c r="CS238" s="68"/>
      <c r="CT238" s="68"/>
      <c r="CU238" s="68"/>
      <c r="CV238" s="68"/>
      <c r="CW238" s="68"/>
      <c r="CX238" s="68"/>
      <c r="CY238" s="68"/>
      <c r="CZ238" s="68"/>
      <c r="DA238" s="68"/>
      <c r="DB238" s="68"/>
      <c r="DC238" s="68"/>
      <c r="DD238" s="68"/>
      <c r="DE238" s="68"/>
      <c r="DF238" s="68"/>
    </row>
    <row r="239" spans="1:110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  <c r="BP239" s="68"/>
      <c r="BQ239" s="68"/>
      <c r="BR239" s="68"/>
      <c r="BS239" s="68"/>
      <c r="BT239" s="68"/>
      <c r="BU239" s="68"/>
      <c r="BV239" s="68"/>
      <c r="BW239" s="68"/>
      <c r="BX239" s="68"/>
      <c r="BY239" s="68"/>
      <c r="BZ239" s="68"/>
      <c r="CA239" s="68"/>
      <c r="CB239" s="68"/>
      <c r="CC239" s="68"/>
      <c r="CD239" s="68"/>
      <c r="CE239" s="68"/>
      <c r="CF239" s="68"/>
      <c r="CG239" s="68"/>
      <c r="CH239" s="68"/>
      <c r="CI239" s="68"/>
      <c r="CJ239" s="68"/>
      <c r="CK239" s="68"/>
      <c r="CL239" s="68"/>
      <c r="CM239" s="68"/>
      <c r="CN239" s="68"/>
      <c r="CO239" s="68"/>
      <c r="CP239" s="68"/>
      <c r="CQ239" s="68"/>
      <c r="CR239" s="68"/>
      <c r="CS239" s="68"/>
      <c r="CT239" s="68"/>
      <c r="CU239" s="68"/>
      <c r="CV239" s="68"/>
      <c r="CW239" s="68"/>
      <c r="CX239" s="68"/>
      <c r="CY239" s="68"/>
      <c r="CZ239" s="68"/>
      <c r="DA239" s="68"/>
      <c r="DB239" s="68"/>
      <c r="DC239" s="68"/>
      <c r="DD239" s="68"/>
      <c r="DE239" s="68"/>
      <c r="DF239" s="68"/>
    </row>
    <row r="240" spans="1:110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  <c r="BK240" s="68"/>
      <c r="BL240" s="68"/>
      <c r="BM240" s="68"/>
      <c r="BN240" s="68"/>
      <c r="BO240" s="68"/>
      <c r="BP240" s="68"/>
      <c r="BQ240" s="68"/>
      <c r="BR240" s="68"/>
      <c r="BS240" s="68"/>
      <c r="BT240" s="68"/>
      <c r="BU240" s="68"/>
      <c r="BV240" s="68"/>
      <c r="BW240" s="68"/>
      <c r="BX240" s="68"/>
      <c r="BY240" s="68"/>
      <c r="BZ240" s="68"/>
      <c r="CA240" s="68"/>
      <c r="CB240" s="68"/>
      <c r="CC240" s="68"/>
      <c r="CD240" s="68"/>
      <c r="CE240" s="68"/>
      <c r="CF240" s="68"/>
      <c r="CG240" s="68"/>
      <c r="CH240" s="68"/>
      <c r="CI240" s="68"/>
      <c r="CJ240" s="68"/>
      <c r="CK240" s="68"/>
      <c r="CL240" s="68"/>
      <c r="CM240" s="68"/>
      <c r="CN240" s="68"/>
      <c r="CO240" s="68"/>
      <c r="CP240" s="68"/>
      <c r="CQ240" s="68"/>
      <c r="CR240" s="68"/>
      <c r="CS240" s="68"/>
      <c r="CT240" s="68"/>
      <c r="CU240" s="68"/>
      <c r="CV240" s="68"/>
      <c r="CW240" s="68"/>
      <c r="CX240" s="68"/>
      <c r="CY240" s="68"/>
      <c r="CZ240" s="68"/>
      <c r="DA240" s="68"/>
      <c r="DB240" s="68"/>
      <c r="DC240" s="68"/>
      <c r="DD240" s="68"/>
      <c r="DE240" s="68"/>
      <c r="DF240" s="68"/>
    </row>
    <row r="241" spans="1:110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  <c r="BK241" s="68"/>
      <c r="BL241" s="68"/>
      <c r="BM241" s="68"/>
      <c r="BN241" s="68"/>
      <c r="BO241" s="68"/>
      <c r="BP241" s="68"/>
      <c r="BQ241" s="68"/>
      <c r="BR241" s="68"/>
      <c r="BS241" s="68"/>
      <c r="BT241" s="68"/>
      <c r="BU241" s="68"/>
      <c r="BV241" s="68"/>
      <c r="BW241" s="68"/>
      <c r="BX241" s="68"/>
      <c r="BY241" s="68"/>
      <c r="BZ241" s="68"/>
      <c r="CA241" s="68"/>
      <c r="CB241" s="68"/>
      <c r="CC241" s="68"/>
      <c r="CD241" s="68"/>
      <c r="CE241" s="68"/>
      <c r="CF241" s="68"/>
      <c r="CG241" s="68"/>
      <c r="CH241" s="68"/>
      <c r="CI241" s="68"/>
      <c r="CJ241" s="68"/>
      <c r="CK241" s="68"/>
      <c r="CL241" s="68"/>
      <c r="CM241" s="68"/>
      <c r="CN241" s="68"/>
      <c r="CO241" s="68"/>
      <c r="CP241" s="68"/>
      <c r="CQ241" s="68"/>
      <c r="CR241" s="68"/>
      <c r="CS241" s="68"/>
      <c r="CT241" s="68"/>
      <c r="CU241" s="68"/>
      <c r="CV241" s="68"/>
      <c r="CW241" s="68"/>
      <c r="CX241" s="68"/>
      <c r="CY241" s="68"/>
      <c r="CZ241" s="68"/>
      <c r="DA241" s="68"/>
      <c r="DB241" s="68"/>
      <c r="DC241" s="68"/>
      <c r="DD241" s="68"/>
      <c r="DE241" s="68"/>
      <c r="DF241" s="68"/>
    </row>
    <row r="242" spans="1:110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  <c r="BK242" s="68"/>
      <c r="BL242" s="68"/>
      <c r="BM242" s="68"/>
      <c r="BN242" s="68"/>
      <c r="BO242" s="68"/>
      <c r="BP242" s="68"/>
      <c r="BQ242" s="68"/>
      <c r="BR242" s="68"/>
      <c r="BS242" s="68"/>
      <c r="BT242" s="68"/>
      <c r="BU242" s="68"/>
      <c r="BV242" s="68"/>
      <c r="BW242" s="68"/>
      <c r="BX242" s="68"/>
      <c r="BY242" s="68"/>
      <c r="BZ242" s="68"/>
      <c r="CA242" s="68"/>
      <c r="CB242" s="68"/>
      <c r="CC242" s="68"/>
      <c r="CD242" s="68"/>
      <c r="CE242" s="68"/>
      <c r="CF242" s="68"/>
      <c r="CG242" s="68"/>
      <c r="CH242" s="68"/>
      <c r="CI242" s="68"/>
      <c r="CJ242" s="68"/>
      <c r="CK242" s="68"/>
      <c r="CL242" s="68"/>
      <c r="CM242" s="68"/>
      <c r="CN242" s="68"/>
      <c r="CO242" s="68"/>
      <c r="CP242" s="68"/>
      <c r="CQ242" s="68"/>
      <c r="CR242" s="68"/>
      <c r="CS242" s="68"/>
      <c r="CT242" s="68"/>
      <c r="CU242" s="68"/>
      <c r="CV242" s="68"/>
      <c r="CW242" s="68"/>
      <c r="CX242" s="68"/>
      <c r="CY242" s="68"/>
      <c r="CZ242" s="68"/>
      <c r="DA242" s="68"/>
      <c r="DB242" s="68"/>
      <c r="DC242" s="68"/>
      <c r="DD242" s="68"/>
      <c r="DE242" s="68"/>
      <c r="DF242" s="68"/>
    </row>
    <row r="243" spans="1:110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  <c r="BK243" s="68"/>
      <c r="BL243" s="68"/>
      <c r="BM243" s="68"/>
      <c r="BN243" s="68"/>
      <c r="BO243" s="68"/>
      <c r="BP243" s="68"/>
      <c r="BQ243" s="68"/>
      <c r="BR243" s="68"/>
      <c r="BS243" s="68"/>
      <c r="BT243" s="68"/>
      <c r="BU243" s="68"/>
      <c r="BV243" s="68"/>
      <c r="BW243" s="68"/>
      <c r="BX243" s="68"/>
      <c r="BY243" s="68"/>
      <c r="BZ243" s="68"/>
      <c r="CA243" s="68"/>
      <c r="CB243" s="68"/>
      <c r="CC243" s="68"/>
      <c r="CD243" s="68"/>
      <c r="CE243" s="68"/>
      <c r="CF243" s="68"/>
      <c r="CG243" s="68"/>
      <c r="CH243" s="68"/>
      <c r="CI243" s="68"/>
      <c r="CJ243" s="68"/>
      <c r="CK243" s="68"/>
      <c r="CL243" s="68"/>
      <c r="CM243" s="68"/>
      <c r="CN243" s="68"/>
      <c r="CO243" s="68"/>
      <c r="CP243" s="68"/>
      <c r="CQ243" s="68"/>
      <c r="CR243" s="68"/>
      <c r="CS243" s="68"/>
      <c r="CT243" s="68"/>
      <c r="CU243" s="68"/>
      <c r="CV243" s="68"/>
      <c r="CW243" s="68"/>
      <c r="CX243" s="68"/>
      <c r="CY243" s="68"/>
      <c r="CZ243" s="68"/>
      <c r="DA243" s="68"/>
      <c r="DB243" s="68"/>
      <c r="DC243" s="68"/>
      <c r="DD243" s="68"/>
      <c r="DE243" s="68"/>
      <c r="DF243" s="68"/>
    </row>
    <row r="244" spans="1:110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  <c r="BK244" s="68"/>
      <c r="BL244" s="68"/>
      <c r="BM244" s="68"/>
      <c r="BN244" s="68"/>
      <c r="BO244" s="68"/>
      <c r="BP244" s="68"/>
      <c r="BQ244" s="68"/>
      <c r="BR244" s="68"/>
      <c r="BS244" s="68"/>
      <c r="BT244" s="68"/>
      <c r="BU244" s="68"/>
      <c r="BV244" s="68"/>
      <c r="BW244" s="68"/>
      <c r="BX244" s="68"/>
      <c r="BY244" s="68"/>
      <c r="BZ244" s="68"/>
      <c r="CA244" s="68"/>
      <c r="CB244" s="68"/>
      <c r="CC244" s="68"/>
      <c r="CD244" s="68"/>
      <c r="CE244" s="68"/>
      <c r="CF244" s="68"/>
      <c r="CG244" s="68"/>
      <c r="CH244" s="68"/>
      <c r="CI244" s="68"/>
      <c r="CJ244" s="68"/>
      <c r="CK244" s="68"/>
      <c r="CL244" s="68"/>
      <c r="CM244" s="68"/>
      <c r="CN244" s="68"/>
      <c r="CO244" s="68"/>
      <c r="CP244" s="68"/>
      <c r="CQ244" s="68"/>
      <c r="CR244" s="68"/>
      <c r="CS244" s="68"/>
      <c r="CT244" s="68"/>
      <c r="CU244" s="68"/>
      <c r="CV244" s="68"/>
      <c r="CW244" s="68"/>
      <c r="CX244" s="68"/>
      <c r="CY244" s="68"/>
      <c r="CZ244" s="68"/>
      <c r="DA244" s="68"/>
      <c r="DB244" s="68"/>
      <c r="DC244" s="68"/>
      <c r="DD244" s="68"/>
      <c r="DE244" s="68"/>
      <c r="DF244" s="68"/>
    </row>
    <row r="245" spans="1:110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  <c r="BK245" s="68"/>
      <c r="BL245" s="68"/>
      <c r="BM245" s="68"/>
      <c r="BN245" s="68"/>
      <c r="BO245" s="68"/>
      <c r="BP245" s="68"/>
      <c r="BQ245" s="68"/>
      <c r="BR245" s="68"/>
      <c r="BS245" s="68"/>
      <c r="BT245" s="68"/>
      <c r="BU245" s="68"/>
      <c r="BV245" s="68"/>
      <c r="BW245" s="68"/>
      <c r="BX245" s="68"/>
      <c r="BY245" s="68"/>
      <c r="BZ245" s="68"/>
      <c r="CA245" s="68"/>
      <c r="CB245" s="68"/>
      <c r="CC245" s="68"/>
      <c r="CD245" s="68"/>
      <c r="CE245" s="68"/>
      <c r="CF245" s="68"/>
      <c r="CG245" s="68"/>
      <c r="CH245" s="68"/>
      <c r="CI245" s="68"/>
      <c r="CJ245" s="68"/>
      <c r="CK245" s="68"/>
      <c r="CL245" s="68"/>
      <c r="CM245" s="68"/>
      <c r="CN245" s="68"/>
      <c r="CO245" s="68"/>
      <c r="CP245" s="68"/>
      <c r="CQ245" s="68"/>
      <c r="CR245" s="68"/>
      <c r="CS245" s="68"/>
      <c r="CT245" s="68"/>
      <c r="CU245" s="68"/>
      <c r="CV245" s="68"/>
      <c r="CW245" s="68"/>
      <c r="CX245" s="68"/>
      <c r="CY245" s="68"/>
      <c r="CZ245" s="68"/>
      <c r="DA245" s="68"/>
      <c r="DB245" s="68"/>
      <c r="DC245" s="68"/>
      <c r="DD245" s="68"/>
      <c r="DE245" s="68"/>
      <c r="DF245" s="68"/>
    </row>
    <row r="246" spans="1:110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  <c r="BK246" s="68"/>
      <c r="BL246" s="68"/>
      <c r="BM246" s="68"/>
      <c r="BN246" s="68"/>
      <c r="BO246" s="68"/>
      <c r="BP246" s="68"/>
      <c r="BQ246" s="68"/>
      <c r="BR246" s="68"/>
      <c r="BS246" s="68"/>
      <c r="BT246" s="68"/>
      <c r="BU246" s="68"/>
      <c r="BV246" s="68"/>
      <c r="BW246" s="68"/>
      <c r="BX246" s="68"/>
      <c r="BY246" s="68"/>
      <c r="BZ246" s="68"/>
      <c r="CA246" s="68"/>
      <c r="CB246" s="68"/>
      <c r="CC246" s="68"/>
      <c r="CD246" s="68"/>
      <c r="CE246" s="68"/>
      <c r="CF246" s="68"/>
      <c r="CG246" s="68"/>
      <c r="CH246" s="68"/>
      <c r="CI246" s="68"/>
      <c r="CJ246" s="68"/>
      <c r="CK246" s="68"/>
      <c r="CL246" s="68"/>
      <c r="CM246" s="68"/>
      <c r="CN246" s="68"/>
      <c r="CO246" s="68"/>
      <c r="CP246" s="68"/>
      <c r="CQ246" s="68"/>
      <c r="CR246" s="68"/>
      <c r="CS246" s="68"/>
      <c r="CT246" s="68"/>
      <c r="CU246" s="68"/>
      <c r="CV246" s="68"/>
      <c r="CW246" s="68"/>
      <c r="CX246" s="68"/>
      <c r="CY246" s="68"/>
      <c r="CZ246" s="68"/>
      <c r="DA246" s="68"/>
      <c r="DB246" s="68"/>
      <c r="DC246" s="68"/>
      <c r="DD246" s="68"/>
      <c r="DE246" s="68"/>
      <c r="DF246" s="68"/>
    </row>
    <row r="247" spans="1:110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  <c r="BK247" s="68"/>
      <c r="BL247" s="68"/>
      <c r="BM247" s="68"/>
      <c r="BN247" s="68"/>
      <c r="BO247" s="68"/>
      <c r="BP247" s="68"/>
      <c r="BQ247" s="68"/>
      <c r="BR247" s="68"/>
      <c r="BS247" s="68"/>
      <c r="BT247" s="68"/>
      <c r="BU247" s="68"/>
      <c r="BV247" s="68"/>
      <c r="BW247" s="68"/>
      <c r="BX247" s="68"/>
      <c r="BY247" s="68"/>
      <c r="BZ247" s="68"/>
      <c r="CA247" s="68"/>
      <c r="CB247" s="68"/>
      <c r="CC247" s="68"/>
      <c r="CD247" s="68"/>
      <c r="CE247" s="68"/>
      <c r="CF247" s="68"/>
      <c r="CG247" s="68"/>
      <c r="CH247" s="68"/>
      <c r="CI247" s="68"/>
      <c r="CJ247" s="68"/>
      <c r="CK247" s="68"/>
      <c r="CL247" s="68"/>
      <c r="CM247" s="68"/>
      <c r="CN247" s="68"/>
      <c r="CO247" s="68"/>
      <c r="CP247" s="68"/>
      <c r="CQ247" s="68"/>
      <c r="CR247" s="68"/>
      <c r="CS247" s="68"/>
      <c r="CT247" s="68"/>
      <c r="CU247" s="68"/>
      <c r="CV247" s="68"/>
      <c r="CW247" s="68"/>
      <c r="CX247" s="68"/>
      <c r="CY247" s="68"/>
      <c r="CZ247" s="68"/>
      <c r="DA247" s="68"/>
      <c r="DB247" s="68"/>
      <c r="DC247" s="68"/>
      <c r="DD247" s="68"/>
      <c r="DE247" s="68"/>
      <c r="DF247" s="68"/>
    </row>
    <row r="248" spans="1:110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  <c r="BK248" s="68"/>
      <c r="BL248" s="68"/>
      <c r="BM248" s="68"/>
      <c r="BN248" s="68"/>
      <c r="BO248" s="68"/>
      <c r="BP248" s="68"/>
      <c r="BQ248" s="68"/>
      <c r="BR248" s="68"/>
      <c r="BS248" s="68"/>
      <c r="BT248" s="68"/>
      <c r="BU248" s="68"/>
      <c r="BV248" s="68"/>
      <c r="BW248" s="68"/>
      <c r="BX248" s="68"/>
      <c r="BY248" s="68"/>
      <c r="BZ248" s="68"/>
      <c r="CA248" s="68"/>
      <c r="CB248" s="68"/>
      <c r="CC248" s="68"/>
      <c r="CD248" s="68"/>
      <c r="CE248" s="68"/>
      <c r="CF248" s="68"/>
      <c r="CG248" s="68"/>
      <c r="CH248" s="68"/>
      <c r="CI248" s="68"/>
      <c r="CJ248" s="68"/>
      <c r="CK248" s="68"/>
      <c r="CL248" s="68"/>
      <c r="CM248" s="68"/>
      <c r="CN248" s="68"/>
      <c r="CO248" s="68"/>
      <c r="CP248" s="68"/>
      <c r="CQ248" s="68"/>
      <c r="CR248" s="68"/>
      <c r="CS248" s="68"/>
      <c r="CT248" s="68"/>
      <c r="CU248" s="68"/>
      <c r="CV248" s="68"/>
      <c r="CW248" s="68"/>
      <c r="CX248" s="68"/>
      <c r="CY248" s="68"/>
      <c r="CZ248" s="68"/>
      <c r="DA248" s="68"/>
      <c r="DB248" s="68"/>
      <c r="DC248" s="68"/>
      <c r="DD248" s="68"/>
      <c r="DE248" s="68"/>
      <c r="DF248" s="68"/>
    </row>
    <row r="249" spans="1:110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  <c r="BJ249" s="68"/>
      <c r="BK249" s="68"/>
      <c r="BL249" s="68"/>
      <c r="BM249" s="68"/>
      <c r="BN249" s="68"/>
      <c r="BO249" s="68"/>
      <c r="BP249" s="68"/>
      <c r="BQ249" s="68"/>
      <c r="BR249" s="68"/>
      <c r="BS249" s="68"/>
      <c r="BT249" s="68"/>
      <c r="BU249" s="68"/>
      <c r="BV249" s="68"/>
      <c r="BW249" s="68"/>
      <c r="BX249" s="68"/>
      <c r="BY249" s="68"/>
      <c r="BZ249" s="68"/>
      <c r="CA249" s="68"/>
      <c r="CB249" s="68"/>
      <c r="CC249" s="68"/>
      <c r="CD249" s="68"/>
      <c r="CE249" s="68"/>
      <c r="CF249" s="68"/>
      <c r="CG249" s="68"/>
      <c r="CH249" s="68"/>
      <c r="CI249" s="68"/>
      <c r="CJ249" s="68"/>
      <c r="CK249" s="68"/>
      <c r="CL249" s="68"/>
      <c r="CM249" s="68"/>
      <c r="CN249" s="68"/>
      <c r="CO249" s="68"/>
      <c r="CP249" s="68"/>
      <c r="CQ249" s="68"/>
      <c r="CR249" s="68"/>
      <c r="CS249" s="68"/>
      <c r="CT249" s="68"/>
      <c r="CU249" s="68"/>
      <c r="CV249" s="68"/>
      <c r="CW249" s="68"/>
      <c r="CX249" s="68"/>
      <c r="CY249" s="68"/>
      <c r="CZ249" s="68"/>
      <c r="DA249" s="68"/>
      <c r="DB249" s="68"/>
      <c r="DC249" s="68"/>
      <c r="DD249" s="68"/>
      <c r="DE249" s="68"/>
      <c r="DF249" s="68"/>
    </row>
    <row r="250" spans="1:110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  <c r="BJ250" s="68"/>
      <c r="BK250" s="68"/>
      <c r="BL250" s="68"/>
      <c r="BM250" s="68"/>
      <c r="BN250" s="68"/>
      <c r="BO250" s="68"/>
      <c r="BP250" s="68"/>
      <c r="BQ250" s="68"/>
      <c r="BR250" s="68"/>
      <c r="BS250" s="68"/>
      <c r="BT250" s="68"/>
      <c r="BU250" s="68"/>
      <c r="BV250" s="68"/>
      <c r="BW250" s="68"/>
      <c r="BX250" s="68"/>
      <c r="BY250" s="68"/>
      <c r="BZ250" s="68"/>
      <c r="CA250" s="68"/>
      <c r="CB250" s="68"/>
      <c r="CC250" s="68"/>
      <c r="CD250" s="68"/>
      <c r="CE250" s="68"/>
      <c r="CF250" s="68"/>
      <c r="CG250" s="68"/>
      <c r="CH250" s="68"/>
      <c r="CI250" s="68"/>
      <c r="CJ250" s="68"/>
      <c r="CK250" s="68"/>
      <c r="CL250" s="68"/>
      <c r="CM250" s="68"/>
      <c r="CN250" s="68"/>
      <c r="CO250" s="68"/>
      <c r="CP250" s="68"/>
      <c r="CQ250" s="68"/>
      <c r="CR250" s="68"/>
      <c r="CS250" s="68"/>
      <c r="CT250" s="68"/>
      <c r="CU250" s="68"/>
      <c r="CV250" s="68"/>
      <c r="CW250" s="68"/>
      <c r="CX250" s="68"/>
      <c r="CY250" s="68"/>
      <c r="CZ250" s="68"/>
      <c r="DA250" s="68"/>
      <c r="DB250" s="68"/>
      <c r="DC250" s="68"/>
      <c r="DD250" s="68"/>
      <c r="DE250" s="68"/>
      <c r="DF250" s="68"/>
    </row>
    <row r="251" spans="1:110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  <c r="BJ251" s="68"/>
      <c r="BK251" s="68"/>
      <c r="BL251" s="68"/>
      <c r="BM251" s="68"/>
      <c r="BN251" s="68"/>
      <c r="BO251" s="68"/>
      <c r="BP251" s="68"/>
      <c r="BQ251" s="68"/>
      <c r="BR251" s="68"/>
      <c r="BS251" s="68"/>
      <c r="BT251" s="68"/>
      <c r="BU251" s="68"/>
      <c r="BV251" s="68"/>
      <c r="BW251" s="68"/>
      <c r="BX251" s="68"/>
      <c r="BY251" s="68"/>
      <c r="BZ251" s="68"/>
      <c r="CA251" s="68"/>
      <c r="CB251" s="68"/>
      <c r="CC251" s="68"/>
      <c r="CD251" s="68"/>
      <c r="CE251" s="68"/>
      <c r="CF251" s="68"/>
      <c r="CG251" s="68"/>
      <c r="CH251" s="68"/>
      <c r="CI251" s="68"/>
      <c r="CJ251" s="68"/>
      <c r="CK251" s="68"/>
      <c r="CL251" s="68"/>
      <c r="CM251" s="68"/>
      <c r="CN251" s="68"/>
      <c r="CO251" s="68"/>
      <c r="CP251" s="68"/>
      <c r="CQ251" s="68"/>
      <c r="CR251" s="68"/>
      <c r="CS251" s="68"/>
      <c r="CT251" s="68"/>
      <c r="CU251" s="68"/>
      <c r="CV251" s="68"/>
      <c r="CW251" s="68"/>
      <c r="CX251" s="68"/>
      <c r="CY251" s="68"/>
      <c r="CZ251" s="68"/>
      <c r="DA251" s="68"/>
      <c r="DB251" s="68"/>
      <c r="DC251" s="68"/>
      <c r="DD251" s="68"/>
      <c r="DE251" s="68"/>
      <c r="DF251" s="68"/>
    </row>
    <row r="252" spans="1:110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  <c r="BK252" s="68"/>
      <c r="BL252" s="68"/>
      <c r="BM252" s="68"/>
      <c r="BN252" s="68"/>
      <c r="BO252" s="68"/>
      <c r="BP252" s="68"/>
      <c r="BQ252" s="68"/>
      <c r="BR252" s="68"/>
      <c r="BS252" s="68"/>
      <c r="BT252" s="68"/>
      <c r="BU252" s="68"/>
      <c r="BV252" s="68"/>
      <c r="BW252" s="68"/>
      <c r="BX252" s="68"/>
      <c r="BY252" s="68"/>
      <c r="BZ252" s="68"/>
      <c r="CA252" s="68"/>
      <c r="CB252" s="68"/>
      <c r="CC252" s="68"/>
      <c r="CD252" s="68"/>
      <c r="CE252" s="68"/>
      <c r="CF252" s="68"/>
      <c r="CG252" s="68"/>
      <c r="CH252" s="68"/>
      <c r="CI252" s="68"/>
      <c r="CJ252" s="68"/>
      <c r="CK252" s="68"/>
      <c r="CL252" s="68"/>
      <c r="CM252" s="68"/>
      <c r="CN252" s="68"/>
      <c r="CO252" s="68"/>
      <c r="CP252" s="68"/>
      <c r="CQ252" s="68"/>
      <c r="CR252" s="68"/>
      <c r="CS252" s="68"/>
      <c r="CT252" s="68"/>
      <c r="CU252" s="68"/>
      <c r="CV252" s="68"/>
      <c r="CW252" s="68"/>
      <c r="CX252" s="68"/>
      <c r="CY252" s="68"/>
      <c r="CZ252" s="68"/>
      <c r="DA252" s="68"/>
      <c r="DB252" s="68"/>
      <c r="DC252" s="68"/>
      <c r="DD252" s="68"/>
      <c r="DE252" s="68"/>
      <c r="DF252" s="68"/>
    </row>
    <row r="253" spans="1:110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  <c r="BJ253" s="68"/>
      <c r="BK253" s="68"/>
      <c r="BL253" s="68"/>
      <c r="BM253" s="68"/>
      <c r="BN253" s="68"/>
      <c r="BO253" s="68"/>
      <c r="BP253" s="68"/>
      <c r="BQ253" s="68"/>
      <c r="BR253" s="68"/>
      <c r="BS253" s="68"/>
      <c r="BT253" s="68"/>
      <c r="BU253" s="68"/>
      <c r="BV253" s="68"/>
      <c r="BW253" s="68"/>
      <c r="BX253" s="68"/>
      <c r="BY253" s="68"/>
      <c r="BZ253" s="68"/>
      <c r="CA253" s="68"/>
      <c r="CB253" s="68"/>
      <c r="CC253" s="68"/>
      <c r="CD253" s="68"/>
      <c r="CE253" s="68"/>
      <c r="CF253" s="68"/>
      <c r="CG253" s="68"/>
      <c r="CH253" s="68"/>
      <c r="CI253" s="68"/>
      <c r="CJ253" s="68"/>
      <c r="CK253" s="68"/>
      <c r="CL253" s="68"/>
      <c r="CM253" s="68"/>
      <c r="CN253" s="68"/>
      <c r="CO253" s="68"/>
      <c r="CP253" s="68"/>
      <c r="CQ253" s="68"/>
      <c r="CR253" s="68"/>
      <c r="CS253" s="68"/>
      <c r="CT253" s="68"/>
      <c r="CU253" s="68"/>
      <c r="CV253" s="68"/>
      <c r="CW253" s="68"/>
      <c r="CX253" s="68"/>
      <c r="CY253" s="68"/>
      <c r="CZ253" s="68"/>
      <c r="DA253" s="68"/>
      <c r="DB253" s="68"/>
      <c r="DC253" s="68"/>
      <c r="DD253" s="68"/>
      <c r="DE253" s="68"/>
      <c r="DF253" s="68"/>
    </row>
    <row r="254" spans="1:110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  <c r="BJ254" s="68"/>
      <c r="BK254" s="68"/>
      <c r="BL254" s="68"/>
      <c r="BM254" s="68"/>
      <c r="BN254" s="68"/>
      <c r="BO254" s="68"/>
      <c r="BP254" s="68"/>
      <c r="BQ254" s="68"/>
      <c r="BR254" s="68"/>
      <c r="BS254" s="68"/>
      <c r="BT254" s="68"/>
      <c r="BU254" s="68"/>
      <c r="BV254" s="68"/>
      <c r="BW254" s="68"/>
      <c r="BX254" s="68"/>
      <c r="BY254" s="68"/>
      <c r="BZ254" s="68"/>
      <c r="CA254" s="68"/>
      <c r="CB254" s="68"/>
      <c r="CC254" s="68"/>
      <c r="CD254" s="68"/>
      <c r="CE254" s="68"/>
      <c r="CF254" s="68"/>
      <c r="CG254" s="68"/>
      <c r="CH254" s="68"/>
      <c r="CI254" s="68"/>
      <c r="CJ254" s="68"/>
      <c r="CK254" s="68"/>
      <c r="CL254" s="68"/>
      <c r="CM254" s="68"/>
      <c r="CN254" s="68"/>
      <c r="CO254" s="68"/>
      <c r="CP254" s="68"/>
      <c r="CQ254" s="68"/>
      <c r="CR254" s="68"/>
      <c r="CS254" s="68"/>
      <c r="CT254" s="68"/>
      <c r="CU254" s="68"/>
      <c r="CV254" s="68"/>
      <c r="CW254" s="68"/>
      <c r="CX254" s="68"/>
      <c r="CY254" s="68"/>
      <c r="CZ254" s="68"/>
      <c r="DA254" s="68"/>
      <c r="DB254" s="68"/>
      <c r="DC254" s="68"/>
      <c r="DD254" s="68"/>
      <c r="DE254" s="68"/>
      <c r="DF254" s="68"/>
    </row>
    <row r="255" spans="1:110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  <c r="BJ255" s="68"/>
      <c r="BK255" s="68"/>
      <c r="BL255" s="68"/>
      <c r="BM255" s="68"/>
      <c r="BN255" s="68"/>
      <c r="BO255" s="68"/>
      <c r="BP255" s="68"/>
      <c r="BQ255" s="68"/>
      <c r="BR255" s="68"/>
      <c r="BS255" s="68"/>
      <c r="BT255" s="68"/>
      <c r="BU255" s="68"/>
      <c r="BV255" s="68"/>
      <c r="BW255" s="68"/>
      <c r="BX255" s="68"/>
      <c r="BY255" s="68"/>
      <c r="BZ255" s="68"/>
      <c r="CA255" s="68"/>
      <c r="CB255" s="68"/>
      <c r="CC255" s="68"/>
      <c r="CD255" s="68"/>
      <c r="CE255" s="68"/>
      <c r="CF255" s="68"/>
      <c r="CG255" s="68"/>
      <c r="CH255" s="68"/>
      <c r="CI255" s="68"/>
      <c r="CJ255" s="68"/>
      <c r="CK255" s="68"/>
      <c r="CL255" s="68"/>
      <c r="CM255" s="68"/>
      <c r="CN255" s="68"/>
      <c r="CO255" s="68"/>
      <c r="CP255" s="68"/>
      <c r="CQ255" s="68"/>
      <c r="CR255" s="68"/>
      <c r="CS255" s="68"/>
      <c r="CT255" s="68"/>
      <c r="CU255" s="68"/>
      <c r="CV255" s="68"/>
      <c r="CW255" s="68"/>
      <c r="CX255" s="68"/>
      <c r="CY255" s="68"/>
      <c r="CZ255" s="68"/>
      <c r="DA255" s="68"/>
      <c r="DB255" s="68"/>
      <c r="DC255" s="68"/>
      <c r="DD255" s="68"/>
      <c r="DE255" s="68"/>
      <c r="DF255" s="68"/>
    </row>
    <row r="256" spans="1:110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  <c r="BJ256" s="68"/>
      <c r="BK256" s="68"/>
      <c r="BL256" s="68"/>
      <c r="BM256" s="68"/>
      <c r="BN256" s="68"/>
      <c r="BO256" s="68"/>
      <c r="BP256" s="68"/>
      <c r="BQ256" s="68"/>
      <c r="BR256" s="68"/>
      <c r="BS256" s="68"/>
      <c r="BT256" s="68"/>
      <c r="BU256" s="68"/>
      <c r="BV256" s="68"/>
      <c r="BW256" s="68"/>
      <c r="BX256" s="68"/>
      <c r="BY256" s="68"/>
      <c r="BZ256" s="68"/>
      <c r="CA256" s="68"/>
      <c r="CB256" s="68"/>
      <c r="CC256" s="68"/>
      <c r="CD256" s="68"/>
      <c r="CE256" s="68"/>
      <c r="CF256" s="68"/>
      <c r="CG256" s="68"/>
      <c r="CH256" s="68"/>
      <c r="CI256" s="68"/>
      <c r="CJ256" s="68"/>
      <c r="CK256" s="68"/>
      <c r="CL256" s="68"/>
      <c r="CM256" s="68"/>
      <c r="CN256" s="68"/>
      <c r="CO256" s="68"/>
      <c r="CP256" s="68"/>
      <c r="CQ256" s="68"/>
      <c r="CR256" s="68"/>
      <c r="CS256" s="68"/>
      <c r="CT256" s="68"/>
      <c r="CU256" s="68"/>
      <c r="CV256" s="68"/>
      <c r="CW256" s="68"/>
      <c r="CX256" s="68"/>
      <c r="CY256" s="68"/>
      <c r="CZ256" s="68"/>
      <c r="DA256" s="68"/>
      <c r="DB256" s="68"/>
      <c r="DC256" s="68"/>
      <c r="DD256" s="68"/>
      <c r="DE256" s="68"/>
      <c r="DF256" s="68"/>
    </row>
    <row r="257" spans="1:110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  <c r="BJ257" s="68"/>
      <c r="BK257" s="68"/>
      <c r="BL257" s="68"/>
      <c r="BM257" s="68"/>
      <c r="BN257" s="68"/>
      <c r="BO257" s="68"/>
      <c r="BP257" s="68"/>
      <c r="BQ257" s="68"/>
      <c r="BR257" s="68"/>
      <c r="BS257" s="68"/>
      <c r="BT257" s="68"/>
      <c r="BU257" s="68"/>
      <c r="BV257" s="68"/>
      <c r="BW257" s="68"/>
      <c r="BX257" s="68"/>
      <c r="BY257" s="68"/>
      <c r="BZ257" s="68"/>
      <c r="CA257" s="68"/>
      <c r="CB257" s="68"/>
      <c r="CC257" s="68"/>
      <c r="CD257" s="68"/>
      <c r="CE257" s="68"/>
      <c r="CF257" s="68"/>
      <c r="CG257" s="68"/>
      <c r="CH257" s="68"/>
      <c r="CI257" s="68"/>
      <c r="CJ257" s="68"/>
      <c r="CK257" s="68"/>
      <c r="CL257" s="68"/>
      <c r="CM257" s="68"/>
      <c r="CN257" s="68"/>
      <c r="CO257" s="68"/>
      <c r="CP257" s="68"/>
      <c r="CQ257" s="68"/>
      <c r="CR257" s="68"/>
      <c r="CS257" s="68"/>
      <c r="CT257" s="68"/>
      <c r="CU257" s="68"/>
      <c r="CV257" s="68"/>
      <c r="CW257" s="68"/>
      <c r="CX257" s="68"/>
      <c r="CY257" s="68"/>
      <c r="CZ257" s="68"/>
      <c r="DA257" s="68"/>
      <c r="DB257" s="68"/>
      <c r="DC257" s="68"/>
      <c r="DD257" s="68"/>
      <c r="DE257" s="68"/>
      <c r="DF257" s="68"/>
    </row>
    <row r="258" spans="1:110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  <c r="BJ258" s="68"/>
      <c r="BK258" s="68"/>
      <c r="BL258" s="68"/>
      <c r="BM258" s="68"/>
      <c r="BN258" s="68"/>
      <c r="BO258" s="68"/>
      <c r="BP258" s="68"/>
      <c r="BQ258" s="68"/>
      <c r="BR258" s="68"/>
      <c r="BS258" s="68"/>
      <c r="BT258" s="68"/>
      <c r="BU258" s="68"/>
      <c r="BV258" s="68"/>
      <c r="BW258" s="68"/>
      <c r="BX258" s="68"/>
      <c r="BY258" s="68"/>
      <c r="BZ258" s="68"/>
      <c r="CA258" s="68"/>
      <c r="CB258" s="68"/>
      <c r="CC258" s="68"/>
      <c r="CD258" s="68"/>
      <c r="CE258" s="68"/>
      <c r="CF258" s="68"/>
      <c r="CG258" s="68"/>
      <c r="CH258" s="68"/>
      <c r="CI258" s="68"/>
      <c r="CJ258" s="68"/>
      <c r="CK258" s="68"/>
      <c r="CL258" s="68"/>
      <c r="CM258" s="68"/>
      <c r="CN258" s="68"/>
      <c r="CO258" s="68"/>
      <c r="CP258" s="68"/>
      <c r="CQ258" s="68"/>
      <c r="CR258" s="68"/>
      <c r="CS258" s="68"/>
      <c r="CT258" s="68"/>
      <c r="CU258" s="68"/>
      <c r="CV258" s="68"/>
      <c r="CW258" s="68"/>
      <c r="CX258" s="68"/>
      <c r="CY258" s="68"/>
      <c r="CZ258" s="68"/>
      <c r="DA258" s="68"/>
      <c r="DB258" s="68"/>
      <c r="DC258" s="68"/>
      <c r="DD258" s="68"/>
      <c r="DE258" s="68"/>
      <c r="DF258" s="68"/>
    </row>
    <row r="259" spans="1:110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  <c r="BJ259" s="68"/>
      <c r="BK259" s="68"/>
      <c r="BL259" s="68"/>
      <c r="BM259" s="68"/>
      <c r="BN259" s="68"/>
      <c r="BO259" s="68"/>
      <c r="BP259" s="68"/>
      <c r="BQ259" s="68"/>
      <c r="BR259" s="68"/>
      <c r="BS259" s="68"/>
      <c r="BT259" s="68"/>
      <c r="BU259" s="68"/>
      <c r="BV259" s="68"/>
      <c r="BW259" s="68"/>
      <c r="BX259" s="68"/>
      <c r="BY259" s="68"/>
      <c r="BZ259" s="68"/>
      <c r="CA259" s="68"/>
      <c r="CB259" s="68"/>
      <c r="CC259" s="68"/>
      <c r="CD259" s="68"/>
      <c r="CE259" s="68"/>
      <c r="CF259" s="68"/>
      <c r="CG259" s="68"/>
      <c r="CH259" s="68"/>
      <c r="CI259" s="68"/>
      <c r="CJ259" s="68"/>
      <c r="CK259" s="68"/>
      <c r="CL259" s="68"/>
      <c r="CM259" s="68"/>
      <c r="CN259" s="68"/>
      <c r="CO259" s="68"/>
      <c r="CP259" s="68"/>
      <c r="CQ259" s="68"/>
      <c r="CR259" s="68"/>
      <c r="CS259" s="68"/>
      <c r="CT259" s="68"/>
      <c r="CU259" s="68"/>
      <c r="CV259" s="68"/>
      <c r="CW259" s="68"/>
      <c r="CX259" s="68"/>
      <c r="CY259" s="68"/>
      <c r="CZ259" s="68"/>
      <c r="DA259" s="68"/>
      <c r="DB259" s="68"/>
      <c r="DC259" s="68"/>
      <c r="DD259" s="68"/>
      <c r="DE259" s="68"/>
      <c r="DF259" s="68"/>
    </row>
    <row r="260" spans="1:110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  <c r="BJ260" s="68"/>
      <c r="BK260" s="68"/>
      <c r="BL260" s="68"/>
      <c r="BM260" s="68"/>
      <c r="BN260" s="68"/>
      <c r="BO260" s="68"/>
      <c r="BP260" s="68"/>
      <c r="BQ260" s="68"/>
      <c r="BR260" s="68"/>
      <c r="BS260" s="68"/>
      <c r="BT260" s="68"/>
      <c r="BU260" s="68"/>
      <c r="BV260" s="68"/>
      <c r="BW260" s="68"/>
      <c r="BX260" s="68"/>
      <c r="BY260" s="68"/>
      <c r="BZ260" s="68"/>
      <c r="CA260" s="68"/>
      <c r="CB260" s="68"/>
      <c r="CC260" s="68"/>
      <c r="CD260" s="68"/>
      <c r="CE260" s="68"/>
      <c r="CF260" s="68"/>
      <c r="CG260" s="68"/>
      <c r="CH260" s="68"/>
      <c r="CI260" s="68"/>
      <c r="CJ260" s="68"/>
      <c r="CK260" s="68"/>
      <c r="CL260" s="68"/>
      <c r="CM260" s="68"/>
      <c r="CN260" s="68"/>
      <c r="CO260" s="68"/>
      <c r="CP260" s="68"/>
      <c r="CQ260" s="68"/>
      <c r="CR260" s="68"/>
      <c r="CS260" s="68"/>
      <c r="CT260" s="68"/>
      <c r="CU260" s="68"/>
      <c r="CV260" s="68"/>
      <c r="CW260" s="68"/>
      <c r="CX260" s="68"/>
      <c r="CY260" s="68"/>
      <c r="CZ260" s="68"/>
      <c r="DA260" s="68"/>
      <c r="DB260" s="68"/>
      <c r="DC260" s="68"/>
      <c r="DD260" s="68"/>
      <c r="DE260" s="68"/>
      <c r="DF260" s="68"/>
    </row>
    <row r="261" spans="1:110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  <c r="BJ261" s="68"/>
      <c r="BK261" s="68"/>
      <c r="BL261" s="68"/>
      <c r="BM261" s="68"/>
      <c r="BN261" s="68"/>
      <c r="BO261" s="68"/>
      <c r="BP261" s="68"/>
      <c r="BQ261" s="68"/>
      <c r="BR261" s="68"/>
      <c r="BS261" s="68"/>
      <c r="BT261" s="68"/>
      <c r="BU261" s="68"/>
      <c r="BV261" s="68"/>
      <c r="BW261" s="68"/>
      <c r="BX261" s="68"/>
      <c r="BY261" s="68"/>
      <c r="BZ261" s="68"/>
      <c r="CA261" s="68"/>
      <c r="CB261" s="68"/>
      <c r="CC261" s="68"/>
      <c r="CD261" s="68"/>
      <c r="CE261" s="68"/>
      <c r="CF261" s="68"/>
      <c r="CG261" s="68"/>
      <c r="CH261" s="68"/>
      <c r="CI261" s="68"/>
      <c r="CJ261" s="68"/>
      <c r="CK261" s="68"/>
      <c r="CL261" s="68"/>
      <c r="CM261" s="68"/>
      <c r="CN261" s="68"/>
      <c r="CO261" s="68"/>
      <c r="CP261" s="68"/>
      <c r="CQ261" s="68"/>
      <c r="CR261" s="68"/>
      <c r="CS261" s="68"/>
      <c r="CT261" s="68"/>
      <c r="CU261" s="68"/>
      <c r="CV261" s="68"/>
      <c r="CW261" s="68"/>
      <c r="CX261" s="68"/>
      <c r="CY261" s="68"/>
      <c r="CZ261" s="68"/>
      <c r="DA261" s="68"/>
      <c r="DB261" s="68"/>
      <c r="DC261" s="68"/>
      <c r="DD261" s="68"/>
      <c r="DE261" s="68"/>
      <c r="DF261" s="68"/>
    </row>
    <row r="262" spans="1:110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  <c r="BJ262" s="68"/>
      <c r="BK262" s="68"/>
      <c r="BL262" s="68"/>
      <c r="BM262" s="68"/>
      <c r="BN262" s="68"/>
      <c r="BO262" s="68"/>
      <c r="BP262" s="68"/>
      <c r="BQ262" s="68"/>
      <c r="BR262" s="68"/>
      <c r="BS262" s="68"/>
      <c r="BT262" s="68"/>
      <c r="BU262" s="68"/>
      <c r="BV262" s="68"/>
      <c r="BW262" s="68"/>
      <c r="BX262" s="68"/>
      <c r="BY262" s="68"/>
      <c r="BZ262" s="68"/>
      <c r="CA262" s="68"/>
      <c r="CB262" s="68"/>
      <c r="CC262" s="68"/>
      <c r="CD262" s="68"/>
      <c r="CE262" s="68"/>
      <c r="CF262" s="68"/>
      <c r="CG262" s="68"/>
      <c r="CH262" s="68"/>
      <c r="CI262" s="68"/>
      <c r="CJ262" s="68"/>
      <c r="CK262" s="68"/>
      <c r="CL262" s="68"/>
      <c r="CM262" s="68"/>
      <c r="CN262" s="68"/>
      <c r="CO262" s="68"/>
      <c r="CP262" s="68"/>
      <c r="CQ262" s="68"/>
      <c r="CR262" s="68"/>
      <c r="CS262" s="68"/>
      <c r="CT262" s="68"/>
      <c r="CU262" s="68"/>
      <c r="CV262" s="68"/>
      <c r="CW262" s="68"/>
      <c r="CX262" s="68"/>
      <c r="CY262" s="68"/>
      <c r="CZ262" s="68"/>
      <c r="DA262" s="68"/>
      <c r="DB262" s="68"/>
      <c r="DC262" s="68"/>
      <c r="DD262" s="68"/>
      <c r="DE262" s="68"/>
      <c r="DF262" s="68"/>
    </row>
    <row r="263" spans="1:110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  <c r="BJ263" s="68"/>
      <c r="BK263" s="68"/>
      <c r="BL263" s="68"/>
      <c r="BM263" s="68"/>
      <c r="BN263" s="68"/>
      <c r="BO263" s="68"/>
      <c r="BP263" s="68"/>
      <c r="BQ263" s="68"/>
      <c r="BR263" s="68"/>
      <c r="BS263" s="68"/>
      <c r="BT263" s="68"/>
      <c r="BU263" s="68"/>
      <c r="BV263" s="68"/>
      <c r="BW263" s="68"/>
      <c r="BX263" s="68"/>
      <c r="BY263" s="68"/>
      <c r="BZ263" s="68"/>
      <c r="CA263" s="68"/>
      <c r="CB263" s="68"/>
      <c r="CC263" s="68"/>
      <c r="CD263" s="68"/>
      <c r="CE263" s="68"/>
      <c r="CF263" s="68"/>
      <c r="CG263" s="68"/>
      <c r="CH263" s="68"/>
      <c r="CI263" s="68"/>
      <c r="CJ263" s="68"/>
      <c r="CK263" s="68"/>
      <c r="CL263" s="68"/>
      <c r="CM263" s="68"/>
      <c r="CN263" s="68"/>
      <c r="CO263" s="68"/>
      <c r="CP263" s="68"/>
      <c r="CQ263" s="68"/>
      <c r="CR263" s="68"/>
      <c r="CS263" s="68"/>
      <c r="CT263" s="68"/>
      <c r="CU263" s="68"/>
      <c r="CV263" s="68"/>
      <c r="CW263" s="68"/>
      <c r="CX263" s="68"/>
      <c r="CY263" s="68"/>
      <c r="CZ263" s="68"/>
      <c r="DA263" s="68"/>
      <c r="DB263" s="68"/>
      <c r="DC263" s="68"/>
      <c r="DD263" s="68"/>
      <c r="DE263" s="68"/>
      <c r="DF263" s="68"/>
    </row>
    <row r="264" spans="1:110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  <c r="BJ264" s="68"/>
      <c r="BK264" s="68"/>
      <c r="BL264" s="68"/>
      <c r="BM264" s="68"/>
      <c r="BN264" s="68"/>
      <c r="BO264" s="68"/>
      <c r="BP264" s="68"/>
      <c r="BQ264" s="68"/>
      <c r="BR264" s="68"/>
      <c r="BS264" s="68"/>
      <c r="BT264" s="68"/>
      <c r="BU264" s="68"/>
      <c r="BV264" s="68"/>
      <c r="BW264" s="68"/>
      <c r="BX264" s="68"/>
      <c r="BY264" s="68"/>
      <c r="BZ264" s="68"/>
      <c r="CA264" s="68"/>
      <c r="CB264" s="68"/>
      <c r="CC264" s="68"/>
      <c r="CD264" s="68"/>
      <c r="CE264" s="68"/>
      <c r="CF264" s="68"/>
      <c r="CG264" s="68"/>
      <c r="CH264" s="68"/>
      <c r="CI264" s="68"/>
      <c r="CJ264" s="68"/>
      <c r="CK264" s="68"/>
      <c r="CL264" s="68"/>
      <c r="CM264" s="68"/>
      <c r="CN264" s="68"/>
      <c r="CO264" s="68"/>
      <c r="CP264" s="68"/>
      <c r="CQ264" s="68"/>
      <c r="CR264" s="68"/>
      <c r="CS264" s="68"/>
      <c r="CT264" s="68"/>
      <c r="CU264" s="68"/>
      <c r="CV264" s="68"/>
      <c r="CW264" s="68"/>
      <c r="CX264" s="68"/>
      <c r="CY264" s="68"/>
      <c r="CZ264" s="68"/>
      <c r="DA264" s="68"/>
      <c r="DB264" s="68"/>
      <c r="DC264" s="68"/>
      <c r="DD264" s="68"/>
      <c r="DE264" s="68"/>
      <c r="DF264" s="68"/>
    </row>
    <row r="265" spans="1:110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  <c r="BJ265" s="68"/>
      <c r="BK265" s="68"/>
      <c r="BL265" s="68"/>
      <c r="BM265" s="68"/>
      <c r="BN265" s="68"/>
      <c r="BO265" s="68"/>
      <c r="BP265" s="68"/>
      <c r="BQ265" s="68"/>
      <c r="BR265" s="68"/>
      <c r="BS265" s="68"/>
      <c r="BT265" s="68"/>
      <c r="BU265" s="68"/>
      <c r="BV265" s="68"/>
      <c r="BW265" s="68"/>
      <c r="BX265" s="68"/>
      <c r="BY265" s="68"/>
      <c r="BZ265" s="68"/>
      <c r="CA265" s="68"/>
      <c r="CB265" s="68"/>
      <c r="CC265" s="68"/>
      <c r="CD265" s="68"/>
      <c r="CE265" s="68"/>
      <c r="CF265" s="68"/>
      <c r="CG265" s="68"/>
      <c r="CH265" s="68"/>
      <c r="CI265" s="68"/>
      <c r="CJ265" s="68"/>
      <c r="CK265" s="68"/>
      <c r="CL265" s="68"/>
      <c r="CM265" s="68"/>
      <c r="CN265" s="68"/>
      <c r="CO265" s="68"/>
      <c r="CP265" s="68"/>
      <c r="CQ265" s="68"/>
      <c r="CR265" s="68"/>
      <c r="CS265" s="68"/>
      <c r="CT265" s="68"/>
      <c r="CU265" s="68"/>
      <c r="CV265" s="68"/>
      <c r="CW265" s="68"/>
      <c r="CX265" s="68"/>
      <c r="CY265" s="68"/>
      <c r="CZ265" s="68"/>
      <c r="DA265" s="68"/>
      <c r="DB265" s="68"/>
      <c r="DC265" s="68"/>
      <c r="DD265" s="68"/>
      <c r="DE265" s="68"/>
      <c r="DF265" s="68"/>
    </row>
    <row r="266" spans="1:110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  <c r="BK266" s="68"/>
      <c r="BL266" s="68"/>
      <c r="BM266" s="68"/>
      <c r="BN266" s="68"/>
      <c r="BO266" s="68"/>
      <c r="BP266" s="68"/>
      <c r="BQ266" s="68"/>
      <c r="BR266" s="68"/>
      <c r="BS266" s="68"/>
      <c r="BT266" s="68"/>
      <c r="BU266" s="68"/>
      <c r="BV266" s="68"/>
      <c r="BW266" s="68"/>
      <c r="BX266" s="68"/>
      <c r="BY266" s="68"/>
      <c r="BZ266" s="68"/>
      <c r="CA266" s="68"/>
      <c r="CB266" s="68"/>
      <c r="CC266" s="68"/>
      <c r="CD266" s="68"/>
      <c r="CE266" s="68"/>
      <c r="CF266" s="68"/>
      <c r="CG266" s="68"/>
      <c r="CH266" s="68"/>
      <c r="CI266" s="68"/>
      <c r="CJ266" s="68"/>
      <c r="CK266" s="68"/>
      <c r="CL266" s="68"/>
      <c r="CM266" s="68"/>
      <c r="CN266" s="68"/>
      <c r="CO266" s="68"/>
      <c r="CP266" s="68"/>
      <c r="CQ266" s="68"/>
      <c r="CR266" s="68"/>
      <c r="CS266" s="68"/>
      <c r="CT266" s="68"/>
      <c r="CU266" s="68"/>
      <c r="CV266" s="68"/>
      <c r="CW266" s="68"/>
      <c r="CX266" s="68"/>
      <c r="CY266" s="68"/>
      <c r="CZ266" s="68"/>
      <c r="DA266" s="68"/>
      <c r="DB266" s="68"/>
      <c r="DC266" s="68"/>
      <c r="DD266" s="68"/>
      <c r="DE266" s="68"/>
      <c r="DF266" s="68"/>
    </row>
    <row r="267" spans="1:110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  <c r="BK267" s="68"/>
      <c r="BL267" s="68"/>
      <c r="BM267" s="68"/>
      <c r="BN267" s="68"/>
      <c r="BO267" s="68"/>
      <c r="BP267" s="68"/>
      <c r="BQ267" s="68"/>
      <c r="BR267" s="68"/>
      <c r="BS267" s="68"/>
      <c r="BT267" s="68"/>
      <c r="BU267" s="68"/>
      <c r="BV267" s="68"/>
      <c r="BW267" s="68"/>
      <c r="BX267" s="68"/>
      <c r="BY267" s="68"/>
      <c r="BZ267" s="68"/>
      <c r="CA267" s="68"/>
      <c r="CB267" s="68"/>
      <c r="CC267" s="68"/>
      <c r="CD267" s="68"/>
      <c r="CE267" s="68"/>
      <c r="CF267" s="68"/>
      <c r="CG267" s="68"/>
      <c r="CH267" s="68"/>
      <c r="CI267" s="68"/>
      <c r="CJ267" s="68"/>
      <c r="CK267" s="68"/>
      <c r="CL267" s="68"/>
      <c r="CM267" s="68"/>
      <c r="CN267" s="68"/>
      <c r="CO267" s="68"/>
      <c r="CP267" s="68"/>
      <c r="CQ267" s="68"/>
      <c r="CR267" s="68"/>
      <c r="CS267" s="68"/>
      <c r="CT267" s="68"/>
      <c r="CU267" s="68"/>
      <c r="CV267" s="68"/>
      <c r="CW267" s="68"/>
      <c r="CX267" s="68"/>
      <c r="CY267" s="68"/>
      <c r="CZ267" s="68"/>
      <c r="DA267" s="68"/>
      <c r="DB267" s="68"/>
      <c r="DC267" s="68"/>
      <c r="DD267" s="68"/>
      <c r="DE267" s="68"/>
      <c r="DF267" s="68"/>
    </row>
    <row r="268" spans="1:110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  <c r="BJ268" s="68"/>
      <c r="BK268" s="68"/>
      <c r="BL268" s="68"/>
      <c r="BM268" s="68"/>
      <c r="BN268" s="68"/>
      <c r="BO268" s="68"/>
      <c r="BP268" s="68"/>
      <c r="BQ268" s="68"/>
      <c r="BR268" s="68"/>
      <c r="BS268" s="68"/>
      <c r="BT268" s="68"/>
      <c r="BU268" s="68"/>
      <c r="BV268" s="68"/>
      <c r="BW268" s="68"/>
      <c r="BX268" s="68"/>
      <c r="BY268" s="68"/>
      <c r="BZ268" s="68"/>
      <c r="CA268" s="68"/>
      <c r="CB268" s="68"/>
      <c r="CC268" s="68"/>
      <c r="CD268" s="68"/>
      <c r="CE268" s="68"/>
      <c r="CF268" s="68"/>
      <c r="CG268" s="68"/>
      <c r="CH268" s="68"/>
      <c r="CI268" s="68"/>
      <c r="CJ268" s="68"/>
      <c r="CK268" s="68"/>
      <c r="CL268" s="68"/>
      <c r="CM268" s="68"/>
      <c r="CN268" s="68"/>
      <c r="CO268" s="68"/>
      <c r="CP268" s="68"/>
      <c r="CQ268" s="68"/>
      <c r="CR268" s="68"/>
      <c r="CS268" s="68"/>
      <c r="CT268" s="68"/>
      <c r="CU268" s="68"/>
      <c r="CV268" s="68"/>
      <c r="CW268" s="68"/>
      <c r="CX268" s="68"/>
      <c r="CY268" s="68"/>
      <c r="CZ268" s="68"/>
      <c r="DA268" s="68"/>
      <c r="DB268" s="68"/>
      <c r="DC268" s="68"/>
      <c r="DD268" s="68"/>
      <c r="DE268" s="68"/>
      <c r="DF268" s="68"/>
    </row>
    <row r="269" spans="1:110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  <c r="BK269" s="68"/>
      <c r="BL269" s="68"/>
      <c r="BM269" s="68"/>
      <c r="BN269" s="68"/>
      <c r="BO269" s="68"/>
      <c r="BP269" s="68"/>
      <c r="BQ269" s="68"/>
      <c r="BR269" s="68"/>
      <c r="BS269" s="68"/>
      <c r="BT269" s="68"/>
      <c r="BU269" s="68"/>
      <c r="BV269" s="68"/>
      <c r="BW269" s="68"/>
      <c r="BX269" s="68"/>
      <c r="BY269" s="68"/>
      <c r="BZ269" s="68"/>
      <c r="CA269" s="68"/>
      <c r="CB269" s="68"/>
      <c r="CC269" s="68"/>
      <c r="CD269" s="68"/>
      <c r="CE269" s="68"/>
      <c r="CF269" s="68"/>
      <c r="CG269" s="68"/>
      <c r="CH269" s="68"/>
      <c r="CI269" s="68"/>
      <c r="CJ269" s="68"/>
      <c r="CK269" s="68"/>
      <c r="CL269" s="68"/>
      <c r="CM269" s="68"/>
      <c r="CN269" s="68"/>
      <c r="CO269" s="68"/>
      <c r="CP269" s="68"/>
      <c r="CQ269" s="68"/>
      <c r="CR269" s="68"/>
      <c r="CS269" s="68"/>
      <c r="CT269" s="68"/>
      <c r="CU269" s="68"/>
      <c r="CV269" s="68"/>
      <c r="CW269" s="68"/>
      <c r="CX269" s="68"/>
      <c r="CY269" s="68"/>
      <c r="CZ269" s="68"/>
      <c r="DA269" s="68"/>
      <c r="DB269" s="68"/>
      <c r="DC269" s="68"/>
      <c r="DD269" s="68"/>
      <c r="DE269" s="68"/>
      <c r="DF269" s="68"/>
    </row>
    <row r="270" spans="1:110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  <c r="BK270" s="68"/>
      <c r="BL270" s="68"/>
      <c r="BM270" s="68"/>
      <c r="BN270" s="68"/>
      <c r="BO270" s="68"/>
      <c r="BP270" s="68"/>
      <c r="BQ270" s="68"/>
      <c r="BR270" s="68"/>
      <c r="BS270" s="68"/>
      <c r="BT270" s="68"/>
      <c r="BU270" s="68"/>
      <c r="BV270" s="68"/>
      <c r="BW270" s="68"/>
      <c r="BX270" s="68"/>
      <c r="BY270" s="68"/>
      <c r="BZ270" s="68"/>
      <c r="CA270" s="68"/>
      <c r="CB270" s="68"/>
      <c r="CC270" s="68"/>
      <c r="CD270" s="68"/>
      <c r="CE270" s="68"/>
      <c r="CF270" s="68"/>
      <c r="CG270" s="68"/>
      <c r="CH270" s="68"/>
      <c r="CI270" s="68"/>
      <c r="CJ270" s="68"/>
      <c r="CK270" s="68"/>
      <c r="CL270" s="68"/>
      <c r="CM270" s="68"/>
      <c r="CN270" s="68"/>
      <c r="CO270" s="68"/>
      <c r="CP270" s="68"/>
      <c r="CQ270" s="68"/>
      <c r="CR270" s="68"/>
      <c r="CS270" s="68"/>
      <c r="CT270" s="68"/>
      <c r="CU270" s="68"/>
      <c r="CV270" s="68"/>
      <c r="CW270" s="68"/>
      <c r="CX270" s="68"/>
      <c r="CY270" s="68"/>
      <c r="CZ270" s="68"/>
      <c r="DA270" s="68"/>
      <c r="DB270" s="68"/>
      <c r="DC270" s="68"/>
      <c r="DD270" s="68"/>
      <c r="DE270" s="68"/>
      <c r="DF270" s="68"/>
    </row>
    <row r="271" spans="1:110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  <c r="BJ271" s="68"/>
      <c r="BK271" s="68"/>
      <c r="BL271" s="68"/>
      <c r="BM271" s="68"/>
      <c r="BN271" s="68"/>
      <c r="BO271" s="68"/>
      <c r="BP271" s="68"/>
      <c r="BQ271" s="68"/>
      <c r="BR271" s="68"/>
      <c r="BS271" s="68"/>
      <c r="BT271" s="68"/>
      <c r="BU271" s="68"/>
      <c r="BV271" s="68"/>
      <c r="BW271" s="68"/>
      <c r="BX271" s="68"/>
      <c r="BY271" s="68"/>
      <c r="BZ271" s="68"/>
      <c r="CA271" s="68"/>
      <c r="CB271" s="68"/>
      <c r="CC271" s="68"/>
      <c r="CD271" s="68"/>
      <c r="CE271" s="68"/>
      <c r="CF271" s="68"/>
      <c r="CG271" s="68"/>
      <c r="CH271" s="68"/>
      <c r="CI271" s="68"/>
      <c r="CJ271" s="68"/>
      <c r="CK271" s="68"/>
      <c r="CL271" s="68"/>
      <c r="CM271" s="68"/>
      <c r="CN271" s="68"/>
      <c r="CO271" s="68"/>
      <c r="CP271" s="68"/>
      <c r="CQ271" s="68"/>
      <c r="CR271" s="68"/>
      <c r="CS271" s="68"/>
      <c r="CT271" s="68"/>
      <c r="CU271" s="68"/>
      <c r="CV271" s="68"/>
      <c r="CW271" s="68"/>
      <c r="CX271" s="68"/>
      <c r="CY271" s="68"/>
      <c r="CZ271" s="68"/>
      <c r="DA271" s="68"/>
      <c r="DB271" s="68"/>
      <c r="DC271" s="68"/>
      <c r="DD271" s="68"/>
      <c r="DE271" s="68"/>
      <c r="DF271" s="68"/>
    </row>
    <row r="272" spans="1:110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  <c r="BJ272" s="68"/>
      <c r="BK272" s="68"/>
      <c r="BL272" s="68"/>
      <c r="BM272" s="68"/>
      <c r="BN272" s="68"/>
      <c r="BO272" s="68"/>
      <c r="BP272" s="68"/>
      <c r="BQ272" s="68"/>
      <c r="BR272" s="68"/>
      <c r="BS272" s="68"/>
      <c r="BT272" s="68"/>
      <c r="BU272" s="68"/>
      <c r="BV272" s="68"/>
      <c r="BW272" s="68"/>
      <c r="BX272" s="68"/>
      <c r="BY272" s="68"/>
      <c r="BZ272" s="68"/>
      <c r="CA272" s="68"/>
      <c r="CB272" s="68"/>
      <c r="CC272" s="68"/>
      <c r="CD272" s="68"/>
      <c r="CE272" s="68"/>
      <c r="CF272" s="68"/>
      <c r="CG272" s="68"/>
      <c r="CH272" s="68"/>
      <c r="CI272" s="68"/>
      <c r="CJ272" s="68"/>
      <c r="CK272" s="68"/>
      <c r="CL272" s="68"/>
      <c r="CM272" s="68"/>
      <c r="CN272" s="68"/>
      <c r="CO272" s="68"/>
      <c r="CP272" s="68"/>
      <c r="CQ272" s="68"/>
      <c r="CR272" s="68"/>
      <c r="CS272" s="68"/>
      <c r="CT272" s="68"/>
      <c r="CU272" s="68"/>
      <c r="CV272" s="68"/>
      <c r="CW272" s="68"/>
      <c r="CX272" s="68"/>
      <c r="CY272" s="68"/>
      <c r="CZ272" s="68"/>
      <c r="DA272" s="68"/>
      <c r="DB272" s="68"/>
      <c r="DC272" s="68"/>
      <c r="DD272" s="68"/>
      <c r="DE272" s="68"/>
      <c r="DF272" s="68"/>
    </row>
    <row r="273" spans="1:110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  <c r="BK273" s="68"/>
      <c r="BL273" s="68"/>
      <c r="BM273" s="68"/>
      <c r="BN273" s="68"/>
      <c r="BO273" s="68"/>
      <c r="BP273" s="68"/>
      <c r="BQ273" s="68"/>
      <c r="BR273" s="68"/>
      <c r="BS273" s="68"/>
      <c r="BT273" s="68"/>
      <c r="BU273" s="68"/>
      <c r="BV273" s="68"/>
      <c r="BW273" s="68"/>
      <c r="BX273" s="68"/>
      <c r="BY273" s="68"/>
      <c r="BZ273" s="68"/>
      <c r="CA273" s="68"/>
      <c r="CB273" s="68"/>
      <c r="CC273" s="68"/>
      <c r="CD273" s="68"/>
      <c r="CE273" s="68"/>
      <c r="CF273" s="68"/>
      <c r="CG273" s="68"/>
      <c r="CH273" s="68"/>
      <c r="CI273" s="68"/>
      <c r="CJ273" s="68"/>
      <c r="CK273" s="68"/>
      <c r="CL273" s="68"/>
      <c r="CM273" s="68"/>
      <c r="CN273" s="68"/>
      <c r="CO273" s="68"/>
      <c r="CP273" s="68"/>
      <c r="CQ273" s="68"/>
      <c r="CR273" s="68"/>
      <c r="CS273" s="68"/>
      <c r="CT273" s="68"/>
      <c r="CU273" s="68"/>
      <c r="CV273" s="68"/>
      <c r="CW273" s="68"/>
      <c r="CX273" s="68"/>
      <c r="CY273" s="68"/>
      <c r="CZ273" s="68"/>
      <c r="DA273" s="68"/>
      <c r="DB273" s="68"/>
      <c r="DC273" s="68"/>
      <c r="DD273" s="68"/>
      <c r="DE273" s="68"/>
      <c r="DF273" s="68"/>
    </row>
    <row r="274" spans="1:110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  <c r="BJ274" s="68"/>
      <c r="BK274" s="68"/>
      <c r="BL274" s="68"/>
      <c r="BM274" s="68"/>
      <c r="BN274" s="68"/>
      <c r="BO274" s="68"/>
      <c r="BP274" s="68"/>
      <c r="BQ274" s="68"/>
      <c r="BR274" s="68"/>
      <c r="BS274" s="68"/>
      <c r="BT274" s="68"/>
      <c r="BU274" s="68"/>
      <c r="BV274" s="68"/>
      <c r="BW274" s="68"/>
      <c r="BX274" s="68"/>
      <c r="BY274" s="68"/>
      <c r="BZ274" s="68"/>
      <c r="CA274" s="68"/>
      <c r="CB274" s="68"/>
      <c r="CC274" s="68"/>
      <c r="CD274" s="68"/>
      <c r="CE274" s="68"/>
      <c r="CF274" s="68"/>
      <c r="CG274" s="68"/>
      <c r="CH274" s="68"/>
      <c r="CI274" s="68"/>
      <c r="CJ274" s="68"/>
      <c r="CK274" s="68"/>
      <c r="CL274" s="68"/>
      <c r="CM274" s="68"/>
      <c r="CN274" s="68"/>
      <c r="CO274" s="68"/>
      <c r="CP274" s="68"/>
      <c r="CQ274" s="68"/>
      <c r="CR274" s="68"/>
      <c r="CS274" s="68"/>
      <c r="CT274" s="68"/>
      <c r="CU274" s="68"/>
      <c r="CV274" s="68"/>
      <c r="CW274" s="68"/>
      <c r="CX274" s="68"/>
      <c r="CY274" s="68"/>
      <c r="CZ274" s="68"/>
      <c r="DA274" s="68"/>
      <c r="DB274" s="68"/>
      <c r="DC274" s="68"/>
      <c r="DD274" s="68"/>
      <c r="DE274" s="68"/>
      <c r="DF274" s="68"/>
    </row>
    <row r="275" spans="1:110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  <c r="BJ275" s="68"/>
      <c r="BK275" s="68"/>
      <c r="BL275" s="68"/>
      <c r="BM275" s="68"/>
      <c r="BN275" s="68"/>
      <c r="BO275" s="68"/>
      <c r="BP275" s="68"/>
      <c r="BQ275" s="68"/>
      <c r="BR275" s="68"/>
      <c r="BS275" s="68"/>
      <c r="BT275" s="68"/>
      <c r="BU275" s="68"/>
      <c r="BV275" s="68"/>
      <c r="BW275" s="68"/>
      <c r="BX275" s="68"/>
      <c r="BY275" s="68"/>
      <c r="BZ275" s="68"/>
      <c r="CA275" s="68"/>
      <c r="CB275" s="68"/>
      <c r="CC275" s="68"/>
      <c r="CD275" s="68"/>
      <c r="CE275" s="68"/>
      <c r="CF275" s="68"/>
      <c r="CG275" s="68"/>
      <c r="CH275" s="68"/>
      <c r="CI275" s="68"/>
      <c r="CJ275" s="68"/>
      <c r="CK275" s="68"/>
      <c r="CL275" s="68"/>
      <c r="CM275" s="68"/>
      <c r="CN275" s="68"/>
      <c r="CO275" s="68"/>
      <c r="CP275" s="68"/>
      <c r="CQ275" s="68"/>
      <c r="CR275" s="68"/>
      <c r="CS275" s="68"/>
      <c r="CT275" s="68"/>
      <c r="CU275" s="68"/>
      <c r="CV275" s="68"/>
      <c r="CW275" s="68"/>
      <c r="CX275" s="68"/>
      <c r="CY275" s="68"/>
      <c r="CZ275" s="68"/>
      <c r="DA275" s="68"/>
      <c r="DB275" s="68"/>
      <c r="DC275" s="68"/>
      <c r="DD275" s="68"/>
      <c r="DE275" s="68"/>
      <c r="DF275" s="68"/>
    </row>
    <row r="276" spans="1:110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  <c r="BJ276" s="68"/>
      <c r="BK276" s="68"/>
      <c r="BL276" s="68"/>
      <c r="BM276" s="68"/>
      <c r="BN276" s="68"/>
      <c r="BO276" s="68"/>
      <c r="BP276" s="68"/>
      <c r="BQ276" s="68"/>
      <c r="BR276" s="68"/>
      <c r="BS276" s="68"/>
      <c r="BT276" s="68"/>
      <c r="BU276" s="68"/>
      <c r="BV276" s="68"/>
      <c r="BW276" s="68"/>
      <c r="BX276" s="68"/>
      <c r="BY276" s="68"/>
      <c r="BZ276" s="68"/>
      <c r="CA276" s="68"/>
      <c r="CB276" s="68"/>
      <c r="CC276" s="68"/>
      <c r="CD276" s="68"/>
      <c r="CE276" s="68"/>
      <c r="CF276" s="68"/>
      <c r="CG276" s="68"/>
      <c r="CH276" s="68"/>
      <c r="CI276" s="68"/>
      <c r="CJ276" s="68"/>
      <c r="CK276" s="68"/>
      <c r="CL276" s="68"/>
      <c r="CM276" s="68"/>
      <c r="CN276" s="68"/>
      <c r="CO276" s="68"/>
      <c r="CP276" s="68"/>
      <c r="CQ276" s="68"/>
      <c r="CR276" s="68"/>
      <c r="CS276" s="68"/>
      <c r="CT276" s="68"/>
      <c r="CU276" s="68"/>
      <c r="CV276" s="68"/>
      <c r="CW276" s="68"/>
      <c r="CX276" s="68"/>
      <c r="CY276" s="68"/>
      <c r="CZ276" s="68"/>
      <c r="DA276" s="68"/>
      <c r="DB276" s="68"/>
      <c r="DC276" s="68"/>
      <c r="DD276" s="68"/>
      <c r="DE276" s="68"/>
      <c r="DF276" s="68"/>
    </row>
    <row r="277" spans="1:110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  <c r="BJ277" s="68"/>
      <c r="BK277" s="68"/>
      <c r="BL277" s="68"/>
      <c r="BM277" s="68"/>
      <c r="BN277" s="68"/>
      <c r="BO277" s="68"/>
      <c r="BP277" s="68"/>
      <c r="BQ277" s="68"/>
      <c r="BR277" s="68"/>
      <c r="BS277" s="68"/>
      <c r="BT277" s="68"/>
      <c r="BU277" s="68"/>
      <c r="BV277" s="68"/>
      <c r="BW277" s="68"/>
      <c r="BX277" s="68"/>
      <c r="BY277" s="68"/>
      <c r="BZ277" s="68"/>
      <c r="CA277" s="68"/>
      <c r="CB277" s="68"/>
      <c r="CC277" s="68"/>
      <c r="CD277" s="68"/>
      <c r="CE277" s="68"/>
      <c r="CF277" s="68"/>
      <c r="CG277" s="68"/>
      <c r="CH277" s="68"/>
      <c r="CI277" s="68"/>
      <c r="CJ277" s="68"/>
      <c r="CK277" s="68"/>
      <c r="CL277" s="68"/>
      <c r="CM277" s="68"/>
      <c r="CN277" s="68"/>
      <c r="CO277" s="68"/>
      <c r="CP277" s="68"/>
      <c r="CQ277" s="68"/>
      <c r="CR277" s="68"/>
      <c r="CS277" s="68"/>
      <c r="CT277" s="68"/>
      <c r="CU277" s="68"/>
      <c r="CV277" s="68"/>
      <c r="CW277" s="68"/>
      <c r="CX277" s="68"/>
      <c r="CY277" s="68"/>
      <c r="CZ277" s="68"/>
      <c r="DA277" s="68"/>
      <c r="DB277" s="68"/>
      <c r="DC277" s="68"/>
      <c r="DD277" s="68"/>
      <c r="DE277" s="68"/>
      <c r="DF277" s="68"/>
    </row>
    <row r="278" spans="1:110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  <c r="BJ278" s="68"/>
      <c r="BK278" s="68"/>
      <c r="BL278" s="68"/>
      <c r="BM278" s="68"/>
      <c r="BN278" s="68"/>
      <c r="BO278" s="68"/>
      <c r="BP278" s="68"/>
      <c r="BQ278" s="68"/>
      <c r="BR278" s="68"/>
      <c r="BS278" s="68"/>
      <c r="BT278" s="68"/>
      <c r="BU278" s="68"/>
      <c r="BV278" s="68"/>
      <c r="BW278" s="68"/>
      <c r="BX278" s="68"/>
      <c r="BY278" s="68"/>
      <c r="BZ278" s="68"/>
      <c r="CA278" s="68"/>
      <c r="CB278" s="68"/>
      <c r="CC278" s="68"/>
      <c r="CD278" s="68"/>
      <c r="CE278" s="68"/>
      <c r="CF278" s="68"/>
      <c r="CG278" s="68"/>
      <c r="CH278" s="68"/>
      <c r="CI278" s="68"/>
      <c r="CJ278" s="68"/>
      <c r="CK278" s="68"/>
      <c r="CL278" s="68"/>
      <c r="CM278" s="68"/>
      <c r="CN278" s="68"/>
      <c r="CO278" s="68"/>
      <c r="CP278" s="68"/>
      <c r="CQ278" s="68"/>
      <c r="CR278" s="68"/>
      <c r="CS278" s="68"/>
      <c r="CT278" s="68"/>
      <c r="CU278" s="68"/>
      <c r="CV278" s="68"/>
      <c r="CW278" s="68"/>
      <c r="CX278" s="68"/>
      <c r="CY278" s="68"/>
      <c r="CZ278" s="68"/>
      <c r="DA278" s="68"/>
      <c r="DB278" s="68"/>
      <c r="DC278" s="68"/>
      <c r="DD278" s="68"/>
      <c r="DE278" s="68"/>
      <c r="DF278" s="68"/>
    </row>
    <row r="279" spans="1:110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  <c r="BJ279" s="68"/>
      <c r="BK279" s="68"/>
      <c r="BL279" s="68"/>
      <c r="BM279" s="68"/>
      <c r="BN279" s="68"/>
      <c r="BO279" s="68"/>
      <c r="BP279" s="68"/>
      <c r="BQ279" s="68"/>
      <c r="BR279" s="68"/>
      <c r="BS279" s="68"/>
      <c r="BT279" s="68"/>
      <c r="BU279" s="68"/>
      <c r="BV279" s="68"/>
      <c r="BW279" s="68"/>
      <c r="BX279" s="68"/>
      <c r="BY279" s="68"/>
      <c r="BZ279" s="68"/>
      <c r="CA279" s="68"/>
      <c r="CB279" s="68"/>
      <c r="CC279" s="68"/>
      <c r="CD279" s="68"/>
      <c r="CE279" s="68"/>
      <c r="CF279" s="68"/>
      <c r="CG279" s="68"/>
      <c r="CH279" s="68"/>
      <c r="CI279" s="68"/>
      <c r="CJ279" s="68"/>
      <c r="CK279" s="68"/>
      <c r="CL279" s="68"/>
      <c r="CM279" s="68"/>
      <c r="CN279" s="68"/>
      <c r="CO279" s="68"/>
      <c r="CP279" s="68"/>
      <c r="CQ279" s="68"/>
      <c r="CR279" s="68"/>
      <c r="CS279" s="68"/>
      <c r="CT279" s="68"/>
      <c r="CU279" s="68"/>
      <c r="CV279" s="68"/>
      <c r="CW279" s="68"/>
      <c r="CX279" s="68"/>
      <c r="CY279" s="68"/>
      <c r="CZ279" s="68"/>
      <c r="DA279" s="68"/>
      <c r="DB279" s="68"/>
      <c r="DC279" s="68"/>
      <c r="DD279" s="68"/>
      <c r="DE279" s="68"/>
      <c r="DF279" s="68"/>
    </row>
    <row r="280" spans="1:110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  <c r="BJ280" s="68"/>
      <c r="BK280" s="68"/>
      <c r="BL280" s="68"/>
      <c r="BM280" s="68"/>
      <c r="BN280" s="68"/>
      <c r="BO280" s="68"/>
      <c r="BP280" s="68"/>
      <c r="BQ280" s="68"/>
      <c r="BR280" s="68"/>
      <c r="BS280" s="68"/>
      <c r="BT280" s="68"/>
      <c r="BU280" s="68"/>
      <c r="BV280" s="68"/>
      <c r="BW280" s="68"/>
      <c r="BX280" s="68"/>
      <c r="BY280" s="68"/>
      <c r="BZ280" s="68"/>
      <c r="CA280" s="68"/>
      <c r="CB280" s="68"/>
      <c r="CC280" s="68"/>
      <c r="CD280" s="68"/>
      <c r="CE280" s="68"/>
      <c r="CF280" s="68"/>
      <c r="CG280" s="68"/>
      <c r="CH280" s="68"/>
      <c r="CI280" s="68"/>
      <c r="CJ280" s="68"/>
      <c r="CK280" s="68"/>
      <c r="CL280" s="68"/>
      <c r="CM280" s="68"/>
      <c r="CN280" s="68"/>
      <c r="CO280" s="68"/>
      <c r="CP280" s="68"/>
      <c r="CQ280" s="68"/>
      <c r="CR280" s="68"/>
      <c r="CS280" s="68"/>
      <c r="CT280" s="68"/>
      <c r="CU280" s="68"/>
      <c r="CV280" s="68"/>
      <c r="CW280" s="68"/>
      <c r="CX280" s="68"/>
      <c r="CY280" s="68"/>
      <c r="CZ280" s="68"/>
      <c r="DA280" s="68"/>
      <c r="DB280" s="68"/>
      <c r="DC280" s="68"/>
      <c r="DD280" s="68"/>
      <c r="DE280" s="68"/>
      <c r="DF280" s="68"/>
    </row>
    <row r="281" spans="1:110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  <c r="BJ281" s="68"/>
      <c r="BK281" s="68"/>
      <c r="BL281" s="68"/>
      <c r="BM281" s="68"/>
      <c r="BN281" s="68"/>
      <c r="BO281" s="68"/>
      <c r="BP281" s="68"/>
      <c r="BQ281" s="68"/>
      <c r="BR281" s="68"/>
      <c r="BS281" s="68"/>
      <c r="BT281" s="68"/>
      <c r="BU281" s="68"/>
      <c r="BV281" s="68"/>
      <c r="BW281" s="68"/>
      <c r="BX281" s="68"/>
      <c r="BY281" s="68"/>
      <c r="BZ281" s="68"/>
      <c r="CA281" s="68"/>
      <c r="CB281" s="68"/>
      <c r="CC281" s="68"/>
      <c r="CD281" s="68"/>
      <c r="CE281" s="68"/>
      <c r="CF281" s="68"/>
      <c r="CG281" s="68"/>
      <c r="CH281" s="68"/>
      <c r="CI281" s="68"/>
      <c r="CJ281" s="68"/>
      <c r="CK281" s="68"/>
      <c r="CL281" s="68"/>
      <c r="CM281" s="68"/>
      <c r="CN281" s="68"/>
      <c r="CO281" s="68"/>
      <c r="CP281" s="68"/>
      <c r="CQ281" s="68"/>
      <c r="CR281" s="68"/>
      <c r="CS281" s="68"/>
      <c r="CT281" s="68"/>
      <c r="CU281" s="68"/>
      <c r="CV281" s="68"/>
      <c r="CW281" s="68"/>
      <c r="CX281" s="68"/>
      <c r="CY281" s="68"/>
      <c r="CZ281" s="68"/>
      <c r="DA281" s="68"/>
      <c r="DB281" s="68"/>
      <c r="DC281" s="68"/>
      <c r="DD281" s="68"/>
      <c r="DE281" s="68"/>
      <c r="DF281" s="68"/>
    </row>
    <row r="282" spans="1:110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  <c r="BJ282" s="68"/>
      <c r="BK282" s="68"/>
      <c r="BL282" s="68"/>
      <c r="BM282" s="68"/>
      <c r="BN282" s="68"/>
      <c r="BO282" s="68"/>
      <c r="BP282" s="68"/>
      <c r="BQ282" s="68"/>
      <c r="BR282" s="68"/>
      <c r="BS282" s="68"/>
      <c r="BT282" s="68"/>
      <c r="BU282" s="68"/>
      <c r="BV282" s="68"/>
      <c r="BW282" s="68"/>
      <c r="BX282" s="68"/>
      <c r="BY282" s="68"/>
      <c r="BZ282" s="68"/>
      <c r="CA282" s="68"/>
      <c r="CB282" s="68"/>
      <c r="CC282" s="68"/>
      <c r="CD282" s="68"/>
      <c r="CE282" s="68"/>
      <c r="CF282" s="68"/>
      <c r="CG282" s="68"/>
      <c r="CH282" s="68"/>
      <c r="CI282" s="68"/>
      <c r="CJ282" s="68"/>
      <c r="CK282" s="68"/>
      <c r="CL282" s="68"/>
      <c r="CM282" s="68"/>
      <c r="CN282" s="68"/>
      <c r="CO282" s="68"/>
      <c r="CP282" s="68"/>
      <c r="CQ282" s="68"/>
      <c r="CR282" s="68"/>
      <c r="CS282" s="68"/>
      <c r="CT282" s="68"/>
      <c r="CU282" s="68"/>
      <c r="CV282" s="68"/>
      <c r="CW282" s="68"/>
      <c r="CX282" s="68"/>
      <c r="CY282" s="68"/>
      <c r="CZ282" s="68"/>
      <c r="DA282" s="68"/>
      <c r="DB282" s="68"/>
      <c r="DC282" s="68"/>
      <c r="DD282" s="68"/>
      <c r="DE282" s="68"/>
      <c r="DF282" s="68"/>
    </row>
    <row r="283" spans="1:110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  <c r="BK283" s="68"/>
      <c r="BL283" s="68"/>
      <c r="BM283" s="68"/>
      <c r="BN283" s="68"/>
      <c r="BO283" s="68"/>
      <c r="BP283" s="68"/>
      <c r="BQ283" s="68"/>
      <c r="BR283" s="68"/>
      <c r="BS283" s="68"/>
      <c r="BT283" s="68"/>
      <c r="BU283" s="68"/>
      <c r="BV283" s="68"/>
      <c r="BW283" s="68"/>
      <c r="BX283" s="68"/>
      <c r="BY283" s="68"/>
      <c r="BZ283" s="68"/>
      <c r="CA283" s="68"/>
      <c r="CB283" s="68"/>
      <c r="CC283" s="68"/>
      <c r="CD283" s="68"/>
      <c r="CE283" s="68"/>
      <c r="CF283" s="68"/>
      <c r="CG283" s="68"/>
      <c r="CH283" s="68"/>
      <c r="CI283" s="68"/>
      <c r="CJ283" s="68"/>
      <c r="CK283" s="68"/>
      <c r="CL283" s="68"/>
      <c r="CM283" s="68"/>
      <c r="CN283" s="68"/>
      <c r="CO283" s="68"/>
      <c r="CP283" s="68"/>
      <c r="CQ283" s="68"/>
      <c r="CR283" s="68"/>
      <c r="CS283" s="68"/>
      <c r="CT283" s="68"/>
      <c r="CU283" s="68"/>
      <c r="CV283" s="68"/>
      <c r="CW283" s="68"/>
      <c r="CX283" s="68"/>
      <c r="CY283" s="68"/>
      <c r="CZ283" s="68"/>
      <c r="DA283" s="68"/>
      <c r="DB283" s="68"/>
      <c r="DC283" s="68"/>
      <c r="DD283" s="68"/>
      <c r="DE283" s="68"/>
      <c r="DF283" s="68"/>
    </row>
    <row r="284" spans="1:110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  <c r="BK284" s="68"/>
      <c r="BL284" s="68"/>
      <c r="BM284" s="68"/>
      <c r="BN284" s="68"/>
      <c r="BO284" s="68"/>
      <c r="BP284" s="68"/>
      <c r="BQ284" s="68"/>
      <c r="BR284" s="68"/>
      <c r="BS284" s="68"/>
      <c r="BT284" s="68"/>
      <c r="BU284" s="68"/>
      <c r="BV284" s="68"/>
      <c r="BW284" s="68"/>
      <c r="BX284" s="68"/>
      <c r="BY284" s="68"/>
      <c r="BZ284" s="68"/>
      <c r="CA284" s="68"/>
      <c r="CB284" s="68"/>
      <c r="CC284" s="68"/>
      <c r="CD284" s="68"/>
      <c r="CE284" s="68"/>
      <c r="CF284" s="68"/>
      <c r="CG284" s="68"/>
      <c r="CH284" s="68"/>
      <c r="CI284" s="68"/>
      <c r="CJ284" s="68"/>
      <c r="CK284" s="68"/>
      <c r="CL284" s="68"/>
      <c r="CM284" s="68"/>
      <c r="CN284" s="68"/>
      <c r="CO284" s="68"/>
      <c r="CP284" s="68"/>
      <c r="CQ284" s="68"/>
      <c r="CR284" s="68"/>
      <c r="CS284" s="68"/>
      <c r="CT284" s="68"/>
      <c r="CU284" s="68"/>
      <c r="CV284" s="68"/>
      <c r="CW284" s="68"/>
      <c r="CX284" s="68"/>
      <c r="CY284" s="68"/>
      <c r="CZ284" s="68"/>
      <c r="DA284" s="68"/>
      <c r="DB284" s="68"/>
      <c r="DC284" s="68"/>
      <c r="DD284" s="68"/>
      <c r="DE284" s="68"/>
      <c r="DF284" s="68"/>
    </row>
    <row r="285" spans="1:110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  <c r="BK285" s="68"/>
      <c r="BL285" s="68"/>
      <c r="BM285" s="68"/>
      <c r="BN285" s="68"/>
      <c r="BO285" s="68"/>
      <c r="BP285" s="68"/>
      <c r="BQ285" s="68"/>
      <c r="BR285" s="68"/>
      <c r="BS285" s="68"/>
      <c r="BT285" s="68"/>
      <c r="BU285" s="68"/>
      <c r="BV285" s="68"/>
      <c r="BW285" s="68"/>
      <c r="BX285" s="68"/>
      <c r="BY285" s="68"/>
      <c r="BZ285" s="68"/>
      <c r="CA285" s="68"/>
      <c r="CB285" s="68"/>
      <c r="CC285" s="68"/>
      <c r="CD285" s="68"/>
      <c r="CE285" s="68"/>
      <c r="CF285" s="68"/>
      <c r="CG285" s="68"/>
      <c r="CH285" s="68"/>
      <c r="CI285" s="68"/>
      <c r="CJ285" s="68"/>
      <c r="CK285" s="68"/>
      <c r="CL285" s="68"/>
      <c r="CM285" s="68"/>
      <c r="CN285" s="68"/>
      <c r="CO285" s="68"/>
      <c r="CP285" s="68"/>
      <c r="CQ285" s="68"/>
      <c r="CR285" s="68"/>
      <c r="CS285" s="68"/>
      <c r="CT285" s="68"/>
      <c r="CU285" s="68"/>
      <c r="CV285" s="68"/>
      <c r="CW285" s="68"/>
      <c r="CX285" s="68"/>
      <c r="CY285" s="68"/>
      <c r="CZ285" s="68"/>
      <c r="DA285" s="68"/>
      <c r="DB285" s="68"/>
      <c r="DC285" s="68"/>
      <c r="DD285" s="68"/>
      <c r="DE285" s="68"/>
      <c r="DF285" s="68"/>
    </row>
    <row r="286" spans="1:110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  <c r="BK286" s="68"/>
      <c r="BL286" s="68"/>
      <c r="BM286" s="68"/>
      <c r="BN286" s="68"/>
      <c r="BO286" s="68"/>
      <c r="BP286" s="68"/>
      <c r="BQ286" s="68"/>
      <c r="BR286" s="68"/>
      <c r="BS286" s="68"/>
      <c r="BT286" s="68"/>
      <c r="BU286" s="68"/>
      <c r="BV286" s="68"/>
      <c r="BW286" s="68"/>
      <c r="BX286" s="68"/>
      <c r="BY286" s="68"/>
      <c r="BZ286" s="68"/>
      <c r="CA286" s="68"/>
      <c r="CB286" s="68"/>
      <c r="CC286" s="68"/>
      <c r="CD286" s="68"/>
      <c r="CE286" s="68"/>
      <c r="CF286" s="68"/>
      <c r="CG286" s="68"/>
      <c r="CH286" s="68"/>
      <c r="CI286" s="68"/>
      <c r="CJ286" s="68"/>
      <c r="CK286" s="68"/>
      <c r="CL286" s="68"/>
      <c r="CM286" s="68"/>
      <c r="CN286" s="68"/>
      <c r="CO286" s="68"/>
      <c r="CP286" s="68"/>
      <c r="CQ286" s="68"/>
      <c r="CR286" s="68"/>
      <c r="CS286" s="68"/>
      <c r="CT286" s="68"/>
      <c r="CU286" s="68"/>
      <c r="CV286" s="68"/>
      <c r="CW286" s="68"/>
      <c r="CX286" s="68"/>
      <c r="CY286" s="68"/>
      <c r="CZ286" s="68"/>
      <c r="DA286" s="68"/>
      <c r="DB286" s="68"/>
      <c r="DC286" s="68"/>
      <c r="DD286" s="68"/>
      <c r="DE286" s="68"/>
      <c r="DF286" s="68"/>
    </row>
    <row r="287" spans="1:110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  <c r="BK287" s="68"/>
      <c r="BL287" s="68"/>
      <c r="BM287" s="68"/>
      <c r="BN287" s="68"/>
      <c r="BO287" s="68"/>
      <c r="BP287" s="68"/>
      <c r="BQ287" s="68"/>
      <c r="BR287" s="68"/>
      <c r="BS287" s="68"/>
      <c r="BT287" s="68"/>
      <c r="BU287" s="68"/>
      <c r="BV287" s="68"/>
      <c r="BW287" s="68"/>
      <c r="BX287" s="68"/>
      <c r="BY287" s="68"/>
      <c r="BZ287" s="68"/>
      <c r="CA287" s="68"/>
      <c r="CB287" s="68"/>
      <c r="CC287" s="68"/>
      <c r="CD287" s="68"/>
      <c r="CE287" s="68"/>
      <c r="CF287" s="68"/>
      <c r="CG287" s="68"/>
      <c r="CH287" s="68"/>
      <c r="CI287" s="68"/>
      <c r="CJ287" s="68"/>
      <c r="CK287" s="68"/>
      <c r="CL287" s="68"/>
      <c r="CM287" s="68"/>
      <c r="CN287" s="68"/>
      <c r="CO287" s="68"/>
      <c r="CP287" s="68"/>
      <c r="CQ287" s="68"/>
      <c r="CR287" s="68"/>
      <c r="CS287" s="68"/>
      <c r="CT287" s="68"/>
      <c r="CU287" s="68"/>
      <c r="CV287" s="68"/>
      <c r="CW287" s="68"/>
      <c r="CX287" s="68"/>
      <c r="CY287" s="68"/>
      <c r="CZ287" s="68"/>
      <c r="DA287" s="68"/>
      <c r="DB287" s="68"/>
      <c r="DC287" s="68"/>
      <c r="DD287" s="68"/>
      <c r="DE287" s="68"/>
      <c r="DF287" s="68"/>
    </row>
    <row r="288" spans="1:110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  <c r="BJ288" s="68"/>
      <c r="BK288" s="68"/>
      <c r="BL288" s="68"/>
      <c r="BM288" s="68"/>
      <c r="BN288" s="68"/>
      <c r="BO288" s="68"/>
      <c r="BP288" s="68"/>
      <c r="BQ288" s="68"/>
      <c r="BR288" s="68"/>
      <c r="BS288" s="68"/>
      <c r="BT288" s="68"/>
      <c r="BU288" s="68"/>
      <c r="BV288" s="68"/>
      <c r="BW288" s="68"/>
      <c r="BX288" s="68"/>
      <c r="BY288" s="68"/>
      <c r="BZ288" s="68"/>
      <c r="CA288" s="68"/>
      <c r="CB288" s="68"/>
      <c r="CC288" s="68"/>
      <c r="CD288" s="68"/>
      <c r="CE288" s="68"/>
      <c r="CF288" s="68"/>
      <c r="CG288" s="68"/>
      <c r="CH288" s="68"/>
      <c r="CI288" s="68"/>
      <c r="CJ288" s="68"/>
      <c r="CK288" s="68"/>
      <c r="CL288" s="68"/>
      <c r="CM288" s="68"/>
      <c r="CN288" s="68"/>
      <c r="CO288" s="68"/>
      <c r="CP288" s="68"/>
      <c r="CQ288" s="68"/>
      <c r="CR288" s="68"/>
      <c r="CS288" s="68"/>
      <c r="CT288" s="68"/>
      <c r="CU288" s="68"/>
      <c r="CV288" s="68"/>
      <c r="CW288" s="68"/>
      <c r="CX288" s="68"/>
      <c r="CY288" s="68"/>
      <c r="CZ288" s="68"/>
      <c r="DA288" s="68"/>
      <c r="DB288" s="68"/>
      <c r="DC288" s="68"/>
      <c r="DD288" s="68"/>
      <c r="DE288" s="68"/>
      <c r="DF288" s="68"/>
    </row>
    <row r="289" spans="1:110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  <c r="BJ289" s="68"/>
      <c r="BK289" s="68"/>
      <c r="BL289" s="68"/>
      <c r="BM289" s="68"/>
      <c r="BN289" s="68"/>
      <c r="BO289" s="68"/>
      <c r="BP289" s="68"/>
      <c r="BQ289" s="68"/>
      <c r="BR289" s="68"/>
      <c r="BS289" s="68"/>
      <c r="BT289" s="68"/>
      <c r="BU289" s="68"/>
      <c r="BV289" s="68"/>
      <c r="BW289" s="68"/>
      <c r="BX289" s="68"/>
      <c r="BY289" s="68"/>
      <c r="BZ289" s="68"/>
      <c r="CA289" s="68"/>
      <c r="CB289" s="68"/>
      <c r="CC289" s="68"/>
      <c r="CD289" s="68"/>
      <c r="CE289" s="68"/>
      <c r="CF289" s="68"/>
      <c r="CG289" s="68"/>
      <c r="CH289" s="68"/>
      <c r="CI289" s="68"/>
      <c r="CJ289" s="68"/>
      <c r="CK289" s="68"/>
      <c r="CL289" s="68"/>
      <c r="CM289" s="68"/>
      <c r="CN289" s="68"/>
      <c r="CO289" s="68"/>
      <c r="CP289" s="68"/>
      <c r="CQ289" s="68"/>
      <c r="CR289" s="68"/>
      <c r="CS289" s="68"/>
      <c r="CT289" s="68"/>
      <c r="CU289" s="68"/>
      <c r="CV289" s="68"/>
      <c r="CW289" s="68"/>
      <c r="CX289" s="68"/>
      <c r="CY289" s="68"/>
      <c r="CZ289" s="68"/>
      <c r="DA289" s="68"/>
      <c r="DB289" s="68"/>
      <c r="DC289" s="68"/>
      <c r="DD289" s="68"/>
      <c r="DE289" s="68"/>
      <c r="DF289" s="68"/>
    </row>
    <row r="290" spans="1:110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  <c r="BJ290" s="68"/>
      <c r="BK290" s="68"/>
      <c r="BL290" s="68"/>
      <c r="BM290" s="68"/>
      <c r="BN290" s="68"/>
      <c r="BO290" s="68"/>
      <c r="BP290" s="68"/>
      <c r="BQ290" s="68"/>
      <c r="BR290" s="68"/>
      <c r="BS290" s="68"/>
      <c r="BT290" s="68"/>
      <c r="BU290" s="68"/>
      <c r="BV290" s="68"/>
      <c r="BW290" s="68"/>
      <c r="BX290" s="68"/>
      <c r="BY290" s="68"/>
      <c r="BZ290" s="68"/>
      <c r="CA290" s="68"/>
      <c r="CB290" s="68"/>
      <c r="CC290" s="68"/>
      <c r="CD290" s="68"/>
      <c r="CE290" s="68"/>
      <c r="CF290" s="68"/>
      <c r="CG290" s="68"/>
      <c r="CH290" s="68"/>
      <c r="CI290" s="68"/>
      <c r="CJ290" s="68"/>
      <c r="CK290" s="68"/>
      <c r="CL290" s="68"/>
      <c r="CM290" s="68"/>
      <c r="CN290" s="68"/>
      <c r="CO290" s="68"/>
      <c r="CP290" s="68"/>
      <c r="CQ290" s="68"/>
      <c r="CR290" s="68"/>
      <c r="CS290" s="68"/>
      <c r="CT290" s="68"/>
      <c r="CU290" s="68"/>
      <c r="CV290" s="68"/>
      <c r="CW290" s="68"/>
      <c r="CX290" s="68"/>
      <c r="CY290" s="68"/>
      <c r="CZ290" s="68"/>
      <c r="DA290" s="68"/>
      <c r="DB290" s="68"/>
      <c r="DC290" s="68"/>
      <c r="DD290" s="68"/>
      <c r="DE290" s="68"/>
      <c r="DF290" s="68"/>
    </row>
    <row r="291" spans="1:110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  <c r="BJ291" s="68"/>
      <c r="BK291" s="68"/>
      <c r="BL291" s="68"/>
      <c r="BM291" s="68"/>
      <c r="BN291" s="68"/>
      <c r="BO291" s="68"/>
      <c r="BP291" s="68"/>
      <c r="BQ291" s="68"/>
      <c r="BR291" s="68"/>
      <c r="BS291" s="68"/>
      <c r="BT291" s="68"/>
      <c r="BU291" s="68"/>
      <c r="BV291" s="68"/>
      <c r="BW291" s="68"/>
      <c r="BX291" s="68"/>
      <c r="BY291" s="68"/>
      <c r="BZ291" s="68"/>
      <c r="CA291" s="68"/>
      <c r="CB291" s="68"/>
      <c r="CC291" s="68"/>
      <c r="CD291" s="68"/>
      <c r="CE291" s="68"/>
      <c r="CF291" s="68"/>
      <c r="CG291" s="68"/>
      <c r="CH291" s="68"/>
      <c r="CI291" s="68"/>
      <c r="CJ291" s="68"/>
      <c r="CK291" s="68"/>
      <c r="CL291" s="68"/>
      <c r="CM291" s="68"/>
      <c r="CN291" s="68"/>
      <c r="CO291" s="68"/>
      <c r="CP291" s="68"/>
      <c r="CQ291" s="68"/>
      <c r="CR291" s="68"/>
      <c r="CS291" s="68"/>
      <c r="CT291" s="68"/>
      <c r="CU291" s="68"/>
      <c r="CV291" s="68"/>
      <c r="CW291" s="68"/>
      <c r="CX291" s="68"/>
      <c r="CY291" s="68"/>
      <c r="CZ291" s="68"/>
      <c r="DA291" s="68"/>
      <c r="DB291" s="68"/>
      <c r="DC291" s="68"/>
      <c r="DD291" s="68"/>
      <c r="DE291" s="68"/>
      <c r="DF291" s="68"/>
    </row>
    <row r="292" spans="1:110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  <c r="BJ292" s="68"/>
      <c r="BK292" s="68"/>
      <c r="BL292" s="68"/>
      <c r="BM292" s="68"/>
      <c r="BN292" s="68"/>
      <c r="BO292" s="68"/>
      <c r="BP292" s="68"/>
      <c r="BQ292" s="68"/>
      <c r="BR292" s="68"/>
      <c r="BS292" s="68"/>
      <c r="BT292" s="68"/>
      <c r="BU292" s="68"/>
      <c r="BV292" s="68"/>
      <c r="BW292" s="68"/>
      <c r="BX292" s="68"/>
      <c r="BY292" s="68"/>
      <c r="BZ292" s="68"/>
      <c r="CA292" s="68"/>
      <c r="CB292" s="68"/>
      <c r="CC292" s="68"/>
      <c r="CD292" s="68"/>
      <c r="CE292" s="68"/>
      <c r="CF292" s="68"/>
      <c r="CG292" s="68"/>
      <c r="CH292" s="68"/>
      <c r="CI292" s="68"/>
      <c r="CJ292" s="68"/>
      <c r="CK292" s="68"/>
      <c r="CL292" s="68"/>
      <c r="CM292" s="68"/>
      <c r="CN292" s="68"/>
      <c r="CO292" s="68"/>
      <c r="CP292" s="68"/>
      <c r="CQ292" s="68"/>
      <c r="CR292" s="68"/>
      <c r="CS292" s="68"/>
      <c r="CT292" s="68"/>
      <c r="CU292" s="68"/>
      <c r="CV292" s="68"/>
      <c r="CW292" s="68"/>
      <c r="CX292" s="68"/>
      <c r="CY292" s="68"/>
      <c r="CZ292" s="68"/>
      <c r="DA292" s="68"/>
      <c r="DB292" s="68"/>
      <c r="DC292" s="68"/>
      <c r="DD292" s="68"/>
      <c r="DE292" s="68"/>
      <c r="DF292" s="68"/>
    </row>
    <row r="293" spans="1:110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  <c r="BJ293" s="68"/>
      <c r="BK293" s="68"/>
      <c r="BL293" s="68"/>
      <c r="BM293" s="68"/>
      <c r="BN293" s="68"/>
      <c r="BO293" s="68"/>
      <c r="BP293" s="68"/>
      <c r="BQ293" s="68"/>
      <c r="BR293" s="68"/>
      <c r="BS293" s="68"/>
      <c r="BT293" s="68"/>
      <c r="BU293" s="68"/>
      <c r="BV293" s="68"/>
      <c r="BW293" s="68"/>
      <c r="BX293" s="68"/>
      <c r="BY293" s="68"/>
      <c r="BZ293" s="68"/>
      <c r="CA293" s="68"/>
      <c r="CB293" s="68"/>
      <c r="CC293" s="68"/>
      <c r="CD293" s="68"/>
      <c r="CE293" s="68"/>
      <c r="CF293" s="68"/>
      <c r="CG293" s="68"/>
      <c r="CH293" s="68"/>
      <c r="CI293" s="68"/>
      <c r="CJ293" s="68"/>
      <c r="CK293" s="68"/>
      <c r="CL293" s="68"/>
      <c r="CM293" s="68"/>
      <c r="CN293" s="68"/>
      <c r="CO293" s="68"/>
      <c r="CP293" s="68"/>
      <c r="CQ293" s="68"/>
      <c r="CR293" s="68"/>
      <c r="CS293" s="68"/>
      <c r="CT293" s="68"/>
      <c r="CU293" s="68"/>
      <c r="CV293" s="68"/>
      <c r="CW293" s="68"/>
      <c r="CX293" s="68"/>
      <c r="CY293" s="68"/>
      <c r="CZ293" s="68"/>
      <c r="DA293" s="68"/>
      <c r="DB293" s="68"/>
      <c r="DC293" s="68"/>
      <c r="DD293" s="68"/>
      <c r="DE293" s="68"/>
      <c r="DF293" s="68"/>
    </row>
    <row r="294" spans="1:110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  <c r="BJ294" s="68"/>
      <c r="BK294" s="68"/>
      <c r="BL294" s="68"/>
      <c r="BM294" s="68"/>
      <c r="BN294" s="68"/>
      <c r="BO294" s="68"/>
      <c r="BP294" s="68"/>
      <c r="BQ294" s="68"/>
      <c r="BR294" s="68"/>
      <c r="BS294" s="68"/>
      <c r="BT294" s="68"/>
      <c r="BU294" s="68"/>
      <c r="BV294" s="68"/>
      <c r="BW294" s="68"/>
      <c r="BX294" s="68"/>
      <c r="BY294" s="68"/>
      <c r="BZ294" s="68"/>
      <c r="CA294" s="68"/>
      <c r="CB294" s="68"/>
      <c r="CC294" s="68"/>
      <c r="CD294" s="68"/>
      <c r="CE294" s="68"/>
      <c r="CF294" s="68"/>
      <c r="CG294" s="68"/>
      <c r="CH294" s="68"/>
      <c r="CI294" s="68"/>
      <c r="CJ294" s="68"/>
      <c r="CK294" s="68"/>
      <c r="CL294" s="68"/>
      <c r="CM294" s="68"/>
      <c r="CN294" s="68"/>
      <c r="CO294" s="68"/>
      <c r="CP294" s="68"/>
      <c r="CQ294" s="68"/>
      <c r="CR294" s="68"/>
      <c r="CS294" s="68"/>
      <c r="CT294" s="68"/>
      <c r="CU294" s="68"/>
      <c r="CV294" s="68"/>
      <c r="CW294" s="68"/>
      <c r="CX294" s="68"/>
      <c r="CY294" s="68"/>
      <c r="CZ294" s="68"/>
      <c r="DA294" s="68"/>
      <c r="DB294" s="68"/>
      <c r="DC294" s="68"/>
      <c r="DD294" s="68"/>
      <c r="DE294" s="68"/>
      <c r="DF294" s="68"/>
    </row>
    <row r="295" spans="1:110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  <c r="BJ295" s="68"/>
      <c r="BK295" s="68"/>
      <c r="BL295" s="68"/>
      <c r="BM295" s="68"/>
      <c r="BN295" s="68"/>
      <c r="BO295" s="68"/>
      <c r="BP295" s="68"/>
      <c r="BQ295" s="68"/>
      <c r="BR295" s="68"/>
      <c r="BS295" s="68"/>
      <c r="BT295" s="68"/>
      <c r="BU295" s="68"/>
      <c r="BV295" s="68"/>
      <c r="BW295" s="68"/>
      <c r="BX295" s="68"/>
      <c r="BY295" s="68"/>
      <c r="BZ295" s="68"/>
      <c r="CA295" s="68"/>
      <c r="CB295" s="68"/>
      <c r="CC295" s="68"/>
      <c r="CD295" s="68"/>
      <c r="CE295" s="68"/>
      <c r="CF295" s="68"/>
      <c r="CG295" s="68"/>
      <c r="CH295" s="68"/>
      <c r="CI295" s="68"/>
      <c r="CJ295" s="68"/>
      <c r="CK295" s="68"/>
      <c r="CL295" s="68"/>
      <c r="CM295" s="68"/>
      <c r="CN295" s="68"/>
      <c r="CO295" s="68"/>
      <c r="CP295" s="68"/>
      <c r="CQ295" s="68"/>
      <c r="CR295" s="68"/>
      <c r="CS295" s="68"/>
      <c r="CT295" s="68"/>
      <c r="CU295" s="68"/>
      <c r="CV295" s="68"/>
      <c r="CW295" s="68"/>
      <c r="CX295" s="68"/>
      <c r="CY295" s="68"/>
      <c r="CZ295" s="68"/>
      <c r="DA295" s="68"/>
      <c r="DB295" s="68"/>
      <c r="DC295" s="68"/>
      <c r="DD295" s="68"/>
      <c r="DE295" s="68"/>
      <c r="DF295" s="68"/>
    </row>
    <row r="296" spans="1:110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  <c r="BJ296" s="68"/>
      <c r="BK296" s="68"/>
      <c r="BL296" s="68"/>
      <c r="BM296" s="68"/>
      <c r="BN296" s="68"/>
      <c r="BO296" s="68"/>
      <c r="BP296" s="68"/>
      <c r="BQ296" s="68"/>
      <c r="BR296" s="68"/>
      <c r="BS296" s="68"/>
      <c r="BT296" s="68"/>
      <c r="BU296" s="68"/>
      <c r="BV296" s="68"/>
      <c r="BW296" s="68"/>
      <c r="BX296" s="68"/>
      <c r="BY296" s="68"/>
      <c r="BZ296" s="68"/>
      <c r="CA296" s="68"/>
      <c r="CB296" s="68"/>
      <c r="CC296" s="68"/>
      <c r="CD296" s="68"/>
      <c r="CE296" s="68"/>
      <c r="CF296" s="68"/>
      <c r="CG296" s="68"/>
      <c r="CH296" s="68"/>
      <c r="CI296" s="68"/>
      <c r="CJ296" s="68"/>
      <c r="CK296" s="68"/>
      <c r="CL296" s="68"/>
      <c r="CM296" s="68"/>
      <c r="CN296" s="68"/>
      <c r="CO296" s="68"/>
      <c r="CP296" s="68"/>
      <c r="CQ296" s="68"/>
      <c r="CR296" s="68"/>
      <c r="CS296" s="68"/>
      <c r="CT296" s="68"/>
      <c r="CU296" s="68"/>
      <c r="CV296" s="68"/>
      <c r="CW296" s="68"/>
      <c r="CX296" s="68"/>
      <c r="CY296" s="68"/>
      <c r="CZ296" s="68"/>
      <c r="DA296" s="68"/>
      <c r="DB296" s="68"/>
      <c r="DC296" s="68"/>
      <c r="DD296" s="68"/>
      <c r="DE296" s="68"/>
      <c r="DF296" s="68"/>
    </row>
    <row r="297" spans="1:110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  <c r="BJ297" s="68"/>
      <c r="BK297" s="68"/>
      <c r="BL297" s="68"/>
      <c r="BM297" s="68"/>
      <c r="BN297" s="68"/>
      <c r="BO297" s="68"/>
      <c r="BP297" s="68"/>
      <c r="BQ297" s="68"/>
      <c r="BR297" s="68"/>
      <c r="BS297" s="68"/>
      <c r="BT297" s="68"/>
      <c r="BU297" s="68"/>
      <c r="BV297" s="68"/>
      <c r="BW297" s="68"/>
      <c r="BX297" s="68"/>
      <c r="BY297" s="68"/>
      <c r="BZ297" s="68"/>
      <c r="CA297" s="68"/>
      <c r="CB297" s="68"/>
      <c r="CC297" s="68"/>
      <c r="CD297" s="68"/>
      <c r="CE297" s="68"/>
      <c r="CF297" s="68"/>
      <c r="CG297" s="68"/>
      <c r="CH297" s="68"/>
      <c r="CI297" s="68"/>
      <c r="CJ297" s="68"/>
      <c r="CK297" s="68"/>
      <c r="CL297" s="68"/>
      <c r="CM297" s="68"/>
      <c r="CN297" s="68"/>
      <c r="CO297" s="68"/>
      <c r="CP297" s="68"/>
      <c r="CQ297" s="68"/>
      <c r="CR297" s="68"/>
      <c r="CS297" s="68"/>
      <c r="CT297" s="68"/>
      <c r="CU297" s="68"/>
      <c r="CV297" s="68"/>
      <c r="CW297" s="68"/>
      <c r="CX297" s="68"/>
      <c r="CY297" s="68"/>
      <c r="CZ297" s="68"/>
      <c r="DA297" s="68"/>
      <c r="DB297" s="68"/>
      <c r="DC297" s="68"/>
      <c r="DD297" s="68"/>
      <c r="DE297" s="68"/>
      <c r="DF297" s="68"/>
    </row>
    <row r="298" spans="1:110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  <c r="BJ298" s="68"/>
      <c r="BK298" s="68"/>
      <c r="BL298" s="68"/>
      <c r="BM298" s="68"/>
      <c r="BN298" s="68"/>
      <c r="BO298" s="68"/>
      <c r="BP298" s="68"/>
      <c r="BQ298" s="68"/>
      <c r="BR298" s="68"/>
      <c r="BS298" s="68"/>
      <c r="BT298" s="68"/>
      <c r="BU298" s="68"/>
      <c r="BV298" s="68"/>
      <c r="BW298" s="68"/>
      <c r="BX298" s="68"/>
      <c r="BY298" s="68"/>
      <c r="BZ298" s="68"/>
      <c r="CA298" s="68"/>
      <c r="CB298" s="68"/>
      <c r="CC298" s="68"/>
      <c r="CD298" s="68"/>
      <c r="CE298" s="68"/>
      <c r="CF298" s="68"/>
      <c r="CG298" s="68"/>
      <c r="CH298" s="68"/>
      <c r="CI298" s="68"/>
      <c r="CJ298" s="68"/>
      <c r="CK298" s="68"/>
      <c r="CL298" s="68"/>
      <c r="CM298" s="68"/>
      <c r="CN298" s="68"/>
      <c r="CO298" s="68"/>
      <c r="CP298" s="68"/>
      <c r="CQ298" s="68"/>
      <c r="CR298" s="68"/>
      <c r="CS298" s="68"/>
      <c r="CT298" s="68"/>
      <c r="CU298" s="68"/>
      <c r="CV298" s="68"/>
      <c r="CW298" s="68"/>
      <c r="CX298" s="68"/>
      <c r="CY298" s="68"/>
      <c r="CZ298" s="68"/>
      <c r="DA298" s="68"/>
      <c r="DB298" s="68"/>
      <c r="DC298" s="68"/>
      <c r="DD298" s="68"/>
      <c r="DE298" s="68"/>
      <c r="DF298" s="68"/>
    </row>
    <row r="299" spans="1:110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  <c r="BJ299" s="68"/>
      <c r="BK299" s="68"/>
      <c r="BL299" s="68"/>
      <c r="BM299" s="68"/>
      <c r="BN299" s="68"/>
      <c r="BO299" s="68"/>
      <c r="BP299" s="68"/>
      <c r="BQ299" s="68"/>
      <c r="BR299" s="68"/>
      <c r="BS299" s="68"/>
      <c r="BT299" s="68"/>
      <c r="BU299" s="68"/>
      <c r="BV299" s="68"/>
      <c r="BW299" s="68"/>
      <c r="BX299" s="68"/>
      <c r="BY299" s="68"/>
      <c r="BZ299" s="68"/>
      <c r="CA299" s="68"/>
      <c r="CB299" s="68"/>
      <c r="CC299" s="68"/>
      <c r="CD299" s="68"/>
      <c r="CE299" s="68"/>
      <c r="CF299" s="68"/>
      <c r="CG299" s="68"/>
      <c r="CH299" s="68"/>
      <c r="CI299" s="68"/>
      <c r="CJ299" s="68"/>
      <c r="CK299" s="68"/>
      <c r="CL299" s="68"/>
      <c r="CM299" s="68"/>
      <c r="CN299" s="68"/>
      <c r="CO299" s="68"/>
      <c r="CP299" s="68"/>
      <c r="CQ299" s="68"/>
      <c r="CR299" s="68"/>
      <c r="CS299" s="68"/>
      <c r="CT299" s="68"/>
      <c r="CU299" s="68"/>
      <c r="CV299" s="68"/>
      <c r="CW299" s="68"/>
      <c r="CX299" s="68"/>
      <c r="CY299" s="68"/>
      <c r="CZ299" s="68"/>
      <c r="DA299" s="68"/>
      <c r="DB299" s="68"/>
      <c r="DC299" s="68"/>
      <c r="DD299" s="68"/>
      <c r="DE299" s="68"/>
      <c r="DF299" s="68"/>
    </row>
    <row r="300" spans="1:110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  <c r="BJ300" s="68"/>
      <c r="BK300" s="68"/>
      <c r="BL300" s="68"/>
      <c r="BM300" s="68"/>
      <c r="BN300" s="68"/>
      <c r="BO300" s="68"/>
      <c r="BP300" s="68"/>
      <c r="BQ300" s="68"/>
      <c r="BR300" s="68"/>
      <c r="BS300" s="68"/>
      <c r="BT300" s="68"/>
      <c r="BU300" s="68"/>
      <c r="BV300" s="68"/>
      <c r="BW300" s="68"/>
      <c r="BX300" s="68"/>
      <c r="BY300" s="68"/>
      <c r="BZ300" s="68"/>
      <c r="CA300" s="68"/>
      <c r="CB300" s="68"/>
      <c r="CC300" s="68"/>
      <c r="CD300" s="68"/>
      <c r="CE300" s="68"/>
      <c r="CF300" s="68"/>
      <c r="CG300" s="68"/>
      <c r="CH300" s="68"/>
      <c r="CI300" s="68"/>
      <c r="CJ300" s="68"/>
      <c r="CK300" s="68"/>
      <c r="CL300" s="68"/>
      <c r="CM300" s="68"/>
      <c r="CN300" s="68"/>
      <c r="CO300" s="68"/>
      <c r="CP300" s="68"/>
      <c r="CQ300" s="68"/>
      <c r="CR300" s="68"/>
      <c r="CS300" s="68"/>
      <c r="CT300" s="68"/>
      <c r="CU300" s="68"/>
      <c r="CV300" s="68"/>
      <c r="CW300" s="68"/>
      <c r="CX300" s="68"/>
      <c r="CY300" s="68"/>
      <c r="CZ300" s="68"/>
      <c r="DA300" s="68"/>
      <c r="DB300" s="68"/>
      <c r="DC300" s="68"/>
      <c r="DD300" s="68"/>
      <c r="DE300" s="68"/>
      <c r="DF300" s="68"/>
    </row>
    <row r="301" spans="1:110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  <c r="BJ301" s="68"/>
      <c r="BK301" s="68"/>
      <c r="BL301" s="68"/>
      <c r="BM301" s="68"/>
      <c r="BN301" s="68"/>
      <c r="BO301" s="68"/>
      <c r="BP301" s="68"/>
      <c r="BQ301" s="68"/>
      <c r="BR301" s="68"/>
      <c r="BS301" s="68"/>
      <c r="BT301" s="68"/>
      <c r="BU301" s="68"/>
      <c r="BV301" s="68"/>
      <c r="BW301" s="68"/>
      <c r="BX301" s="68"/>
      <c r="BY301" s="68"/>
      <c r="BZ301" s="68"/>
      <c r="CA301" s="68"/>
      <c r="CB301" s="68"/>
      <c r="CC301" s="68"/>
      <c r="CD301" s="68"/>
      <c r="CE301" s="68"/>
      <c r="CF301" s="68"/>
      <c r="CG301" s="68"/>
      <c r="CH301" s="68"/>
      <c r="CI301" s="68"/>
      <c r="CJ301" s="68"/>
      <c r="CK301" s="68"/>
      <c r="CL301" s="68"/>
      <c r="CM301" s="68"/>
      <c r="CN301" s="68"/>
      <c r="CO301" s="68"/>
      <c r="CP301" s="68"/>
      <c r="CQ301" s="68"/>
      <c r="CR301" s="68"/>
      <c r="CS301" s="68"/>
      <c r="CT301" s="68"/>
      <c r="CU301" s="68"/>
      <c r="CV301" s="68"/>
      <c r="CW301" s="68"/>
      <c r="CX301" s="68"/>
      <c r="CY301" s="68"/>
      <c r="CZ301" s="68"/>
      <c r="DA301" s="68"/>
      <c r="DB301" s="68"/>
      <c r="DC301" s="68"/>
      <c r="DD301" s="68"/>
      <c r="DE301" s="68"/>
      <c r="DF301" s="68"/>
    </row>
    <row r="302" spans="1:110" x14ac:dyDescent="0.25">
      <c r="A302" s="68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  <c r="BJ302" s="68"/>
      <c r="BK302" s="68"/>
      <c r="BL302" s="68"/>
      <c r="BM302" s="68"/>
      <c r="BN302" s="68"/>
      <c r="BO302" s="68"/>
      <c r="BP302" s="68"/>
      <c r="BQ302" s="68"/>
      <c r="BR302" s="68"/>
      <c r="BS302" s="68"/>
      <c r="BT302" s="68"/>
      <c r="BU302" s="68"/>
      <c r="BV302" s="68"/>
      <c r="BW302" s="68"/>
      <c r="BX302" s="68"/>
      <c r="BY302" s="68"/>
      <c r="BZ302" s="68"/>
      <c r="CA302" s="68"/>
      <c r="CB302" s="68"/>
      <c r="CC302" s="68"/>
      <c r="CD302" s="68"/>
      <c r="CE302" s="68"/>
      <c r="CF302" s="68"/>
      <c r="CG302" s="68"/>
      <c r="CH302" s="68"/>
      <c r="CI302" s="68"/>
      <c r="CJ302" s="68"/>
      <c r="CK302" s="68"/>
      <c r="CL302" s="68"/>
      <c r="CM302" s="68"/>
      <c r="CN302" s="68"/>
      <c r="CO302" s="68"/>
      <c r="CP302" s="68"/>
      <c r="CQ302" s="68"/>
      <c r="CR302" s="68"/>
      <c r="CS302" s="68"/>
      <c r="CT302" s="68"/>
      <c r="CU302" s="68"/>
      <c r="CV302" s="68"/>
      <c r="CW302" s="68"/>
      <c r="CX302" s="68"/>
      <c r="CY302" s="68"/>
      <c r="CZ302" s="68"/>
      <c r="DA302" s="68"/>
      <c r="DB302" s="68"/>
      <c r="DC302" s="68"/>
      <c r="DD302" s="68"/>
      <c r="DE302" s="68"/>
      <c r="DF302" s="68"/>
    </row>
    <row r="303" spans="1:110" x14ac:dyDescent="0.25">
      <c r="A303" s="68"/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  <c r="BJ303" s="68"/>
      <c r="BK303" s="68"/>
      <c r="BL303" s="68"/>
      <c r="BM303" s="68"/>
      <c r="BN303" s="68"/>
      <c r="BO303" s="68"/>
      <c r="BP303" s="68"/>
      <c r="BQ303" s="68"/>
      <c r="BR303" s="68"/>
      <c r="BS303" s="68"/>
      <c r="BT303" s="68"/>
      <c r="BU303" s="68"/>
      <c r="BV303" s="68"/>
      <c r="BW303" s="68"/>
      <c r="BX303" s="68"/>
      <c r="BY303" s="68"/>
      <c r="BZ303" s="68"/>
      <c r="CA303" s="68"/>
      <c r="CB303" s="68"/>
      <c r="CC303" s="68"/>
      <c r="CD303" s="68"/>
      <c r="CE303" s="68"/>
      <c r="CF303" s="68"/>
      <c r="CG303" s="68"/>
      <c r="CH303" s="68"/>
      <c r="CI303" s="68"/>
      <c r="CJ303" s="68"/>
      <c r="CK303" s="68"/>
      <c r="CL303" s="68"/>
      <c r="CM303" s="68"/>
      <c r="CN303" s="68"/>
      <c r="CO303" s="68"/>
      <c r="CP303" s="68"/>
      <c r="CQ303" s="68"/>
      <c r="CR303" s="68"/>
      <c r="CS303" s="68"/>
      <c r="CT303" s="68"/>
      <c r="CU303" s="68"/>
      <c r="CV303" s="68"/>
      <c r="CW303" s="68"/>
      <c r="CX303" s="68"/>
      <c r="CY303" s="68"/>
      <c r="CZ303" s="68"/>
      <c r="DA303" s="68"/>
      <c r="DB303" s="68"/>
      <c r="DC303" s="68"/>
      <c r="DD303" s="68"/>
      <c r="DE303" s="68"/>
      <c r="DF303" s="68"/>
    </row>
    <row r="304" spans="1:110" x14ac:dyDescent="0.25">
      <c r="A304" s="68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  <c r="BJ304" s="68"/>
      <c r="BK304" s="68"/>
      <c r="BL304" s="68"/>
      <c r="BM304" s="68"/>
      <c r="BN304" s="68"/>
      <c r="BO304" s="68"/>
      <c r="BP304" s="68"/>
      <c r="BQ304" s="68"/>
      <c r="BR304" s="68"/>
      <c r="BS304" s="68"/>
      <c r="BT304" s="68"/>
      <c r="BU304" s="68"/>
      <c r="BV304" s="68"/>
      <c r="BW304" s="68"/>
      <c r="BX304" s="68"/>
      <c r="BY304" s="68"/>
      <c r="BZ304" s="68"/>
      <c r="CA304" s="68"/>
      <c r="CB304" s="68"/>
      <c r="CC304" s="68"/>
      <c r="CD304" s="68"/>
      <c r="CE304" s="68"/>
      <c r="CF304" s="68"/>
      <c r="CG304" s="68"/>
      <c r="CH304" s="68"/>
      <c r="CI304" s="68"/>
      <c r="CJ304" s="68"/>
      <c r="CK304" s="68"/>
      <c r="CL304" s="68"/>
      <c r="CM304" s="68"/>
      <c r="CN304" s="68"/>
      <c r="CO304" s="68"/>
      <c r="CP304" s="68"/>
      <c r="CQ304" s="68"/>
      <c r="CR304" s="68"/>
      <c r="CS304" s="68"/>
      <c r="CT304" s="68"/>
      <c r="CU304" s="68"/>
      <c r="CV304" s="68"/>
      <c r="CW304" s="68"/>
      <c r="CX304" s="68"/>
      <c r="CY304" s="68"/>
      <c r="CZ304" s="68"/>
      <c r="DA304" s="68"/>
      <c r="DB304" s="68"/>
      <c r="DC304" s="68"/>
      <c r="DD304" s="68"/>
      <c r="DE304" s="68"/>
      <c r="DF304" s="68"/>
    </row>
    <row r="305" spans="1:110" x14ac:dyDescent="0.25">
      <c r="A305" s="68"/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  <c r="BJ305" s="68"/>
      <c r="BK305" s="68"/>
      <c r="BL305" s="68"/>
      <c r="BM305" s="68"/>
      <c r="BN305" s="68"/>
      <c r="BO305" s="68"/>
      <c r="BP305" s="68"/>
      <c r="BQ305" s="68"/>
      <c r="BR305" s="68"/>
      <c r="BS305" s="68"/>
      <c r="BT305" s="68"/>
      <c r="BU305" s="68"/>
      <c r="BV305" s="68"/>
      <c r="BW305" s="68"/>
      <c r="BX305" s="68"/>
      <c r="BY305" s="68"/>
      <c r="BZ305" s="68"/>
      <c r="CA305" s="68"/>
      <c r="CB305" s="68"/>
      <c r="CC305" s="68"/>
      <c r="CD305" s="68"/>
      <c r="CE305" s="68"/>
      <c r="CF305" s="68"/>
      <c r="CG305" s="68"/>
      <c r="CH305" s="68"/>
      <c r="CI305" s="68"/>
      <c r="CJ305" s="68"/>
      <c r="CK305" s="68"/>
      <c r="CL305" s="68"/>
      <c r="CM305" s="68"/>
      <c r="CN305" s="68"/>
      <c r="CO305" s="68"/>
      <c r="CP305" s="68"/>
      <c r="CQ305" s="68"/>
      <c r="CR305" s="68"/>
      <c r="CS305" s="68"/>
      <c r="CT305" s="68"/>
      <c r="CU305" s="68"/>
      <c r="CV305" s="68"/>
      <c r="CW305" s="68"/>
      <c r="CX305" s="68"/>
      <c r="CY305" s="68"/>
      <c r="CZ305" s="68"/>
      <c r="DA305" s="68"/>
      <c r="DB305" s="68"/>
      <c r="DC305" s="68"/>
      <c r="DD305" s="68"/>
      <c r="DE305" s="68"/>
      <c r="DF305" s="68"/>
    </row>
    <row r="306" spans="1:110" x14ac:dyDescent="0.25">
      <c r="A306" s="68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  <c r="BJ306" s="68"/>
      <c r="BK306" s="68"/>
      <c r="BL306" s="68"/>
      <c r="BM306" s="68"/>
      <c r="BN306" s="68"/>
      <c r="BO306" s="68"/>
      <c r="BP306" s="68"/>
      <c r="BQ306" s="68"/>
      <c r="BR306" s="68"/>
      <c r="BS306" s="68"/>
      <c r="BT306" s="68"/>
      <c r="BU306" s="68"/>
      <c r="BV306" s="68"/>
      <c r="BW306" s="68"/>
      <c r="BX306" s="68"/>
      <c r="BY306" s="68"/>
      <c r="BZ306" s="68"/>
      <c r="CA306" s="68"/>
      <c r="CB306" s="68"/>
      <c r="CC306" s="68"/>
      <c r="CD306" s="68"/>
      <c r="CE306" s="68"/>
      <c r="CF306" s="68"/>
      <c r="CG306" s="68"/>
      <c r="CH306" s="68"/>
      <c r="CI306" s="68"/>
      <c r="CJ306" s="68"/>
      <c r="CK306" s="68"/>
      <c r="CL306" s="68"/>
      <c r="CM306" s="68"/>
      <c r="CN306" s="68"/>
      <c r="CO306" s="68"/>
      <c r="CP306" s="68"/>
      <c r="CQ306" s="68"/>
      <c r="CR306" s="68"/>
      <c r="CS306" s="68"/>
      <c r="CT306" s="68"/>
      <c r="CU306" s="68"/>
      <c r="CV306" s="68"/>
      <c r="CW306" s="68"/>
      <c r="CX306" s="68"/>
      <c r="CY306" s="68"/>
      <c r="CZ306" s="68"/>
      <c r="DA306" s="68"/>
      <c r="DB306" s="68"/>
      <c r="DC306" s="68"/>
      <c r="DD306" s="68"/>
      <c r="DE306" s="68"/>
      <c r="DF306" s="68"/>
    </row>
    <row r="307" spans="1:110" x14ac:dyDescent="0.25">
      <c r="A307" s="68"/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  <c r="BJ307" s="68"/>
      <c r="BK307" s="68"/>
      <c r="BL307" s="68"/>
      <c r="BM307" s="68"/>
      <c r="BN307" s="68"/>
      <c r="BO307" s="68"/>
      <c r="BP307" s="68"/>
      <c r="BQ307" s="68"/>
      <c r="BR307" s="68"/>
      <c r="BS307" s="68"/>
      <c r="BT307" s="68"/>
      <c r="BU307" s="68"/>
      <c r="BV307" s="68"/>
      <c r="BW307" s="68"/>
      <c r="BX307" s="68"/>
      <c r="BY307" s="68"/>
      <c r="BZ307" s="68"/>
      <c r="CA307" s="68"/>
      <c r="CB307" s="68"/>
      <c r="CC307" s="68"/>
      <c r="CD307" s="68"/>
      <c r="CE307" s="68"/>
      <c r="CF307" s="68"/>
      <c r="CG307" s="68"/>
      <c r="CH307" s="68"/>
      <c r="CI307" s="68"/>
      <c r="CJ307" s="68"/>
      <c r="CK307" s="68"/>
      <c r="CL307" s="68"/>
      <c r="CM307" s="68"/>
      <c r="CN307" s="68"/>
      <c r="CO307" s="68"/>
      <c r="CP307" s="68"/>
      <c r="CQ307" s="68"/>
      <c r="CR307" s="68"/>
      <c r="CS307" s="68"/>
      <c r="CT307" s="68"/>
      <c r="CU307" s="68"/>
      <c r="CV307" s="68"/>
      <c r="CW307" s="68"/>
      <c r="CX307" s="68"/>
      <c r="CY307" s="68"/>
      <c r="CZ307" s="68"/>
      <c r="DA307" s="68"/>
      <c r="DB307" s="68"/>
      <c r="DC307" s="68"/>
      <c r="DD307" s="68"/>
      <c r="DE307" s="68"/>
      <c r="DF307" s="68"/>
    </row>
    <row r="308" spans="1:110" x14ac:dyDescent="0.25">
      <c r="A308" s="68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  <c r="BJ308" s="68"/>
      <c r="BK308" s="68"/>
      <c r="BL308" s="68"/>
      <c r="BM308" s="68"/>
      <c r="BN308" s="68"/>
      <c r="BO308" s="68"/>
      <c r="BP308" s="68"/>
      <c r="BQ308" s="68"/>
      <c r="BR308" s="68"/>
      <c r="BS308" s="68"/>
      <c r="BT308" s="68"/>
      <c r="BU308" s="68"/>
      <c r="BV308" s="68"/>
      <c r="BW308" s="68"/>
      <c r="BX308" s="68"/>
      <c r="BY308" s="68"/>
      <c r="BZ308" s="68"/>
      <c r="CA308" s="68"/>
      <c r="CB308" s="68"/>
      <c r="CC308" s="68"/>
      <c r="CD308" s="68"/>
      <c r="CE308" s="68"/>
      <c r="CF308" s="68"/>
      <c r="CG308" s="68"/>
      <c r="CH308" s="68"/>
      <c r="CI308" s="68"/>
      <c r="CJ308" s="68"/>
      <c r="CK308" s="68"/>
      <c r="CL308" s="68"/>
      <c r="CM308" s="68"/>
      <c r="CN308" s="68"/>
      <c r="CO308" s="68"/>
      <c r="CP308" s="68"/>
      <c r="CQ308" s="68"/>
      <c r="CR308" s="68"/>
      <c r="CS308" s="68"/>
      <c r="CT308" s="68"/>
      <c r="CU308" s="68"/>
      <c r="CV308" s="68"/>
      <c r="CW308" s="68"/>
      <c r="CX308" s="68"/>
      <c r="CY308" s="68"/>
      <c r="CZ308" s="68"/>
      <c r="DA308" s="68"/>
      <c r="DB308" s="68"/>
      <c r="DC308" s="68"/>
      <c r="DD308" s="68"/>
      <c r="DE308" s="68"/>
      <c r="DF308" s="68"/>
    </row>
    <row r="309" spans="1:110" x14ac:dyDescent="0.25">
      <c r="A309" s="68"/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  <c r="BJ309" s="68"/>
      <c r="BK309" s="68"/>
      <c r="BL309" s="68"/>
      <c r="BM309" s="68"/>
      <c r="BN309" s="68"/>
      <c r="BO309" s="68"/>
      <c r="BP309" s="68"/>
      <c r="BQ309" s="68"/>
      <c r="BR309" s="68"/>
      <c r="BS309" s="68"/>
      <c r="BT309" s="68"/>
      <c r="BU309" s="68"/>
      <c r="BV309" s="68"/>
      <c r="BW309" s="68"/>
      <c r="BX309" s="68"/>
      <c r="BY309" s="68"/>
      <c r="BZ309" s="68"/>
      <c r="CA309" s="68"/>
      <c r="CB309" s="68"/>
      <c r="CC309" s="68"/>
      <c r="CD309" s="68"/>
      <c r="CE309" s="68"/>
      <c r="CF309" s="68"/>
      <c r="CG309" s="68"/>
      <c r="CH309" s="68"/>
      <c r="CI309" s="68"/>
      <c r="CJ309" s="68"/>
      <c r="CK309" s="68"/>
      <c r="CL309" s="68"/>
      <c r="CM309" s="68"/>
      <c r="CN309" s="68"/>
      <c r="CO309" s="68"/>
      <c r="CP309" s="68"/>
      <c r="CQ309" s="68"/>
      <c r="CR309" s="68"/>
      <c r="CS309" s="68"/>
      <c r="CT309" s="68"/>
      <c r="CU309" s="68"/>
      <c r="CV309" s="68"/>
      <c r="CW309" s="68"/>
      <c r="CX309" s="68"/>
      <c r="CY309" s="68"/>
      <c r="CZ309" s="68"/>
      <c r="DA309" s="68"/>
      <c r="DB309" s="68"/>
      <c r="DC309" s="68"/>
      <c r="DD309" s="68"/>
      <c r="DE309" s="68"/>
      <c r="DF309" s="68"/>
    </row>
    <row r="310" spans="1:110" x14ac:dyDescent="0.25">
      <c r="A310" s="68"/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  <c r="BJ310" s="68"/>
      <c r="BK310" s="68"/>
      <c r="BL310" s="68"/>
      <c r="BM310" s="68"/>
      <c r="BN310" s="68"/>
      <c r="BO310" s="68"/>
      <c r="BP310" s="68"/>
      <c r="BQ310" s="68"/>
      <c r="BR310" s="68"/>
      <c r="BS310" s="68"/>
      <c r="BT310" s="68"/>
      <c r="BU310" s="68"/>
      <c r="BV310" s="68"/>
      <c r="BW310" s="68"/>
      <c r="BX310" s="68"/>
      <c r="BY310" s="68"/>
      <c r="BZ310" s="68"/>
      <c r="CA310" s="68"/>
      <c r="CB310" s="68"/>
      <c r="CC310" s="68"/>
      <c r="CD310" s="68"/>
      <c r="CE310" s="68"/>
      <c r="CF310" s="68"/>
      <c r="CG310" s="68"/>
      <c r="CH310" s="68"/>
      <c r="CI310" s="68"/>
      <c r="CJ310" s="68"/>
      <c r="CK310" s="68"/>
      <c r="CL310" s="68"/>
      <c r="CM310" s="68"/>
      <c r="CN310" s="68"/>
      <c r="CO310" s="68"/>
      <c r="CP310" s="68"/>
      <c r="CQ310" s="68"/>
      <c r="CR310" s="68"/>
      <c r="CS310" s="68"/>
      <c r="CT310" s="68"/>
      <c r="CU310" s="68"/>
      <c r="CV310" s="68"/>
      <c r="CW310" s="68"/>
      <c r="CX310" s="68"/>
      <c r="CY310" s="68"/>
      <c r="CZ310" s="68"/>
      <c r="DA310" s="68"/>
      <c r="DB310" s="68"/>
      <c r="DC310" s="68"/>
      <c r="DD310" s="68"/>
      <c r="DE310" s="68"/>
      <c r="DF310" s="68"/>
    </row>
    <row r="311" spans="1:110" x14ac:dyDescent="0.25">
      <c r="A311" s="68"/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  <c r="BJ311" s="68"/>
      <c r="BK311" s="68"/>
      <c r="BL311" s="68"/>
      <c r="BM311" s="68"/>
      <c r="BN311" s="68"/>
      <c r="BO311" s="68"/>
      <c r="BP311" s="68"/>
      <c r="BQ311" s="68"/>
      <c r="BR311" s="68"/>
      <c r="BS311" s="68"/>
      <c r="BT311" s="68"/>
      <c r="BU311" s="68"/>
      <c r="BV311" s="68"/>
      <c r="BW311" s="68"/>
      <c r="BX311" s="68"/>
      <c r="BY311" s="68"/>
      <c r="BZ311" s="68"/>
      <c r="CA311" s="68"/>
      <c r="CB311" s="68"/>
      <c r="CC311" s="68"/>
      <c r="CD311" s="68"/>
      <c r="CE311" s="68"/>
      <c r="CF311" s="68"/>
      <c r="CG311" s="68"/>
      <c r="CH311" s="68"/>
      <c r="CI311" s="68"/>
      <c r="CJ311" s="68"/>
      <c r="CK311" s="68"/>
      <c r="CL311" s="68"/>
      <c r="CM311" s="68"/>
      <c r="CN311" s="68"/>
      <c r="CO311" s="68"/>
      <c r="CP311" s="68"/>
      <c r="CQ311" s="68"/>
      <c r="CR311" s="68"/>
      <c r="CS311" s="68"/>
      <c r="CT311" s="68"/>
      <c r="CU311" s="68"/>
      <c r="CV311" s="68"/>
      <c r="CW311" s="68"/>
      <c r="CX311" s="68"/>
      <c r="CY311" s="68"/>
      <c r="CZ311" s="68"/>
      <c r="DA311" s="68"/>
      <c r="DB311" s="68"/>
      <c r="DC311" s="68"/>
      <c r="DD311" s="68"/>
      <c r="DE311" s="68"/>
      <c r="DF311" s="68"/>
    </row>
    <row r="312" spans="1:110" x14ac:dyDescent="0.25">
      <c r="A312" s="68"/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  <c r="BJ312" s="68"/>
      <c r="BK312" s="68"/>
      <c r="BL312" s="68"/>
      <c r="BM312" s="68"/>
      <c r="BN312" s="68"/>
      <c r="BO312" s="68"/>
      <c r="BP312" s="68"/>
      <c r="BQ312" s="68"/>
      <c r="BR312" s="68"/>
      <c r="BS312" s="68"/>
      <c r="BT312" s="68"/>
      <c r="BU312" s="68"/>
      <c r="BV312" s="68"/>
      <c r="BW312" s="68"/>
      <c r="BX312" s="68"/>
      <c r="BY312" s="68"/>
      <c r="BZ312" s="68"/>
      <c r="CA312" s="68"/>
      <c r="CB312" s="68"/>
      <c r="CC312" s="68"/>
      <c r="CD312" s="68"/>
      <c r="CE312" s="68"/>
      <c r="CF312" s="68"/>
      <c r="CG312" s="68"/>
      <c r="CH312" s="68"/>
      <c r="CI312" s="68"/>
      <c r="CJ312" s="68"/>
      <c r="CK312" s="68"/>
      <c r="CL312" s="68"/>
      <c r="CM312" s="68"/>
      <c r="CN312" s="68"/>
      <c r="CO312" s="68"/>
      <c r="CP312" s="68"/>
      <c r="CQ312" s="68"/>
      <c r="CR312" s="68"/>
      <c r="CS312" s="68"/>
      <c r="CT312" s="68"/>
      <c r="CU312" s="68"/>
      <c r="CV312" s="68"/>
      <c r="CW312" s="68"/>
      <c r="CX312" s="68"/>
      <c r="CY312" s="68"/>
      <c r="CZ312" s="68"/>
      <c r="DA312" s="68"/>
      <c r="DB312" s="68"/>
      <c r="DC312" s="68"/>
      <c r="DD312" s="68"/>
      <c r="DE312" s="68"/>
      <c r="DF312" s="68"/>
    </row>
    <row r="313" spans="1:110" x14ac:dyDescent="0.25">
      <c r="A313" s="68"/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  <c r="BJ313" s="68"/>
      <c r="BK313" s="68"/>
      <c r="BL313" s="68"/>
      <c r="BM313" s="68"/>
      <c r="BN313" s="68"/>
      <c r="BO313" s="68"/>
      <c r="BP313" s="68"/>
      <c r="BQ313" s="68"/>
      <c r="BR313" s="68"/>
      <c r="BS313" s="68"/>
      <c r="BT313" s="68"/>
      <c r="BU313" s="68"/>
      <c r="BV313" s="68"/>
      <c r="BW313" s="68"/>
      <c r="BX313" s="68"/>
      <c r="BY313" s="68"/>
      <c r="BZ313" s="68"/>
      <c r="CA313" s="68"/>
      <c r="CB313" s="68"/>
      <c r="CC313" s="68"/>
      <c r="CD313" s="68"/>
      <c r="CE313" s="68"/>
      <c r="CF313" s="68"/>
      <c r="CG313" s="68"/>
      <c r="CH313" s="68"/>
      <c r="CI313" s="68"/>
      <c r="CJ313" s="68"/>
      <c r="CK313" s="68"/>
      <c r="CL313" s="68"/>
      <c r="CM313" s="68"/>
      <c r="CN313" s="68"/>
      <c r="CO313" s="68"/>
      <c r="CP313" s="68"/>
      <c r="CQ313" s="68"/>
      <c r="CR313" s="68"/>
      <c r="CS313" s="68"/>
      <c r="CT313" s="68"/>
      <c r="CU313" s="68"/>
      <c r="CV313" s="68"/>
      <c r="CW313" s="68"/>
      <c r="CX313" s="68"/>
      <c r="CY313" s="68"/>
      <c r="CZ313" s="68"/>
      <c r="DA313" s="68"/>
      <c r="DB313" s="68"/>
      <c r="DC313" s="68"/>
      <c r="DD313" s="68"/>
      <c r="DE313" s="68"/>
      <c r="DF313" s="68"/>
    </row>
    <row r="314" spans="1:110" x14ac:dyDescent="0.25">
      <c r="A314" s="68"/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  <c r="BJ314" s="68"/>
      <c r="BK314" s="68"/>
      <c r="BL314" s="68"/>
      <c r="BM314" s="68"/>
      <c r="BN314" s="68"/>
      <c r="BO314" s="68"/>
      <c r="BP314" s="68"/>
      <c r="BQ314" s="68"/>
      <c r="BR314" s="68"/>
      <c r="BS314" s="68"/>
      <c r="BT314" s="68"/>
      <c r="BU314" s="68"/>
      <c r="BV314" s="68"/>
      <c r="BW314" s="68"/>
      <c r="BX314" s="68"/>
      <c r="BY314" s="68"/>
      <c r="BZ314" s="68"/>
      <c r="CA314" s="68"/>
      <c r="CB314" s="68"/>
      <c r="CC314" s="68"/>
      <c r="CD314" s="68"/>
      <c r="CE314" s="68"/>
      <c r="CF314" s="68"/>
      <c r="CG314" s="68"/>
      <c r="CH314" s="68"/>
      <c r="CI314" s="68"/>
      <c r="CJ314" s="68"/>
      <c r="CK314" s="68"/>
      <c r="CL314" s="68"/>
      <c r="CM314" s="68"/>
      <c r="CN314" s="68"/>
      <c r="CO314" s="68"/>
      <c r="CP314" s="68"/>
      <c r="CQ314" s="68"/>
      <c r="CR314" s="68"/>
      <c r="CS314" s="68"/>
      <c r="CT314" s="68"/>
      <c r="CU314" s="68"/>
      <c r="CV314" s="68"/>
      <c r="CW314" s="68"/>
      <c r="CX314" s="68"/>
      <c r="CY314" s="68"/>
      <c r="CZ314" s="68"/>
      <c r="DA314" s="68"/>
      <c r="DB314" s="68"/>
      <c r="DC314" s="68"/>
      <c r="DD314" s="68"/>
      <c r="DE314" s="68"/>
      <c r="DF314" s="68"/>
    </row>
    <row r="315" spans="1:110" x14ac:dyDescent="0.25">
      <c r="A315" s="68"/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  <c r="BJ315" s="68"/>
      <c r="BK315" s="68"/>
      <c r="BL315" s="68"/>
      <c r="BM315" s="68"/>
      <c r="BN315" s="68"/>
      <c r="BO315" s="68"/>
      <c r="BP315" s="68"/>
      <c r="BQ315" s="68"/>
      <c r="BR315" s="68"/>
      <c r="BS315" s="68"/>
      <c r="BT315" s="68"/>
      <c r="BU315" s="68"/>
      <c r="BV315" s="68"/>
      <c r="BW315" s="68"/>
      <c r="BX315" s="68"/>
      <c r="BY315" s="68"/>
      <c r="BZ315" s="68"/>
      <c r="CA315" s="68"/>
      <c r="CB315" s="68"/>
      <c r="CC315" s="68"/>
      <c r="CD315" s="68"/>
      <c r="CE315" s="68"/>
      <c r="CF315" s="68"/>
      <c r="CG315" s="68"/>
      <c r="CH315" s="68"/>
      <c r="CI315" s="68"/>
      <c r="CJ315" s="68"/>
      <c r="CK315" s="68"/>
      <c r="CL315" s="68"/>
      <c r="CM315" s="68"/>
      <c r="CN315" s="68"/>
      <c r="CO315" s="68"/>
      <c r="CP315" s="68"/>
      <c r="CQ315" s="68"/>
      <c r="CR315" s="68"/>
      <c r="CS315" s="68"/>
      <c r="CT315" s="68"/>
      <c r="CU315" s="68"/>
      <c r="CV315" s="68"/>
      <c r="CW315" s="68"/>
      <c r="CX315" s="68"/>
      <c r="CY315" s="68"/>
      <c r="CZ315" s="68"/>
      <c r="DA315" s="68"/>
      <c r="DB315" s="68"/>
      <c r="DC315" s="68"/>
      <c r="DD315" s="68"/>
      <c r="DE315" s="68"/>
      <c r="DF315" s="68"/>
    </row>
    <row r="316" spans="1:110" x14ac:dyDescent="0.25">
      <c r="A316" s="68"/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  <c r="BJ316" s="68"/>
      <c r="BK316" s="68"/>
      <c r="BL316" s="68"/>
      <c r="BM316" s="68"/>
      <c r="BN316" s="68"/>
      <c r="BO316" s="68"/>
      <c r="BP316" s="68"/>
      <c r="BQ316" s="68"/>
      <c r="BR316" s="68"/>
      <c r="BS316" s="68"/>
      <c r="BT316" s="68"/>
      <c r="BU316" s="68"/>
      <c r="BV316" s="68"/>
      <c r="BW316" s="68"/>
      <c r="BX316" s="68"/>
      <c r="BY316" s="68"/>
      <c r="BZ316" s="68"/>
      <c r="CA316" s="68"/>
      <c r="CB316" s="68"/>
      <c r="CC316" s="68"/>
      <c r="CD316" s="68"/>
      <c r="CE316" s="68"/>
      <c r="CF316" s="68"/>
      <c r="CG316" s="68"/>
      <c r="CH316" s="68"/>
      <c r="CI316" s="68"/>
      <c r="CJ316" s="68"/>
      <c r="CK316" s="68"/>
      <c r="CL316" s="68"/>
      <c r="CM316" s="68"/>
      <c r="CN316" s="68"/>
      <c r="CO316" s="68"/>
      <c r="CP316" s="68"/>
      <c r="CQ316" s="68"/>
      <c r="CR316" s="68"/>
      <c r="CS316" s="68"/>
      <c r="CT316" s="68"/>
      <c r="CU316" s="68"/>
      <c r="CV316" s="68"/>
      <c r="CW316" s="68"/>
      <c r="CX316" s="68"/>
      <c r="CY316" s="68"/>
      <c r="CZ316" s="68"/>
      <c r="DA316" s="68"/>
      <c r="DB316" s="68"/>
      <c r="DC316" s="68"/>
      <c r="DD316" s="68"/>
      <c r="DE316" s="68"/>
      <c r="DF316" s="68"/>
    </row>
    <row r="317" spans="1:110" x14ac:dyDescent="0.25">
      <c r="A317" s="68"/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  <c r="BJ317" s="68"/>
      <c r="BK317" s="68"/>
      <c r="BL317" s="68"/>
      <c r="BM317" s="68"/>
      <c r="BN317" s="68"/>
      <c r="BO317" s="68"/>
      <c r="BP317" s="68"/>
      <c r="BQ317" s="68"/>
      <c r="BR317" s="68"/>
      <c r="BS317" s="68"/>
      <c r="BT317" s="68"/>
      <c r="BU317" s="68"/>
      <c r="BV317" s="68"/>
      <c r="BW317" s="68"/>
      <c r="BX317" s="68"/>
      <c r="BY317" s="68"/>
      <c r="BZ317" s="68"/>
      <c r="CA317" s="68"/>
      <c r="CB317" s="68"/>
      <c r="CC317" s="68"/>
      <c r="CD317" s="68"/>
      <c r="CE317" s="68"/>
      <c r="CF317" s="68"/>
      <c r="CG317" s="68"/>
      <c r="CH317" s="68"/>
      <c r="CI317" s="68"/>
      <c r="CJ317" s="68"/>
      <c r="CK317" s="68"/>
      <c r="CL317" s="68"/>
      <c r="CM317" s="68"/>
      <c r="CN317" s="68"/>
      <c r="CO317" s="68"/>
      <c r="CP317" s="68"/>
      <c r="CQ317" s="68"/>
      <c r="CR317" s="68"/>
      <c r="CS317" s="68"/>
      <c r="CT317" s="68"/>
      <c r="CU317" s="68"/>
      <c r="CV317" s="68"/>
      <c r="CW317" s="68"/>
      <c r="CX317" s="68"/>
      <c r="CY317" s="68"/>
      <c r="CZ317" s="68"/>
      <c r="DA317" s="68"/>
      <c r="DB317" s="68"/>
      <c r="DC317" s="68"/>
      <c r="DD317" s="68"/>
      <c r="DE317" s="68"/>
      <c r="DF317" s="68"/>
    </row>
    <row r="318" spans="1:110" x14ac:dyDescent="0.25">
      <c r="A318" s="68"/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  <c r="BJ318" s="68"/>
      <c r="BK318" s="68"/>
      <c r="BL318" s="68"/>
      <c r="BM318" s="68"/>
      <c r="BN318" s="68"/>
      <c r="BO318" s="68"/>
      <c r="BP318" s="68"/>
      <c r="BQ318" s="68"/>
      <c r="BR318" s="68"/>
      <c r="BS318" s="68"/>
      <c r="BT318" s="68"/>
      <c r="BU318" s="68"/>
      <c r="BV318" s="68"/>
      <c r="BW318" s="68"/>
      <c r="BX318" s="68"/>
      <c r="BY318" s="68"/>
      <c r="BZ318" s="68"/>
      <c r="CA318" s="68"/>
      <c r="CB318" s="68"/>
      <c r="CC318" s="68"/>
      <c r="CD318" s="68"/>
      <c r="CE318" s="68"/>
      <c r="CF318" s="68"/>
      <c r="CG318" s="68"/>
      <c r="CH318" s="68"/>
      <c r="CI318" s="68"/>
      <c r="CJ318" s="68"/>
      <c r="CK318" s="68"/>
      <c r="CL318" s="68"/>
      <c r="CM318" s="68"/>
      <c r="CN318" s="68"/>
      <c r="CO318" s="68"/>
      <c r="CP318" s="68"/>
      <c r="CQ318" s="68"/>
      <c r="CR318" s="68"/>
      <c r="CS318" s="68"/>
      <c r="CT318" s="68"/>
      <c r="CU318" s="68"/>
      <c r="CV318" s="68"/>
      <c r="CW318" s="68"/>
      <c r="CX318" s="68"/>
      <c r="CY318" s="68"/>
      <c r="CZ318" s="68"/>
      <c r="DA318" s="68"/>
      <c r="DB318" s="68"/>
      <c r="DC318" s="68"/>
      <c r="DD318" s="68"/>
      <c r="DE318" s="68"/>
      <c r="DF318" s="68"/>
    </row>
    <row r="319" spans="1:110" x14ac:dyDescent="0.25">
      <c r="A319" s="68"/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  <c r="BJ319" s="68"/>
      <c r="BK319" s="68"/>
      <c r="BL319" s="68"/>
      <c r="BM319" s="68"/>
      <c r="BN319" s="68"/>
      <c r="BO319" s="68"/>
      <c r="BP319" s="68"/>
      <c r="BQ319" s="68"/>
      <c r="BR319" s="68"/>
      <c r="BS319" s="68"/>
      <c r="BT319" s="68"/>
      <c r="BU319" s="68"/>
      <c r="BV319" s="68"/>
      <c r="BW319" s="68"/>
      <c r="BX319" s="68"/>
      <c r="BY319" s="68"/>
      <c r="BZ319" s="68"/>
      <c r="CA319" s="68"/>
      <c r="CB319" s="68"/>
      <c r="CC319" s="68"/>
      <c r="CD319" s="68"/>
      <c r="CE319" s="68"/>
      <c r="CF319" s="68"/>
      <c r="CG319" s="68"/>
      <c r="CH319" s="68"/>
      <c r="CI319" s="68"/>
      <c r="CJ319" s="68"/>
      <c r="CK319" s="68"/>
      <c r="CL319" s="68"/>
      <c r="CM319" s="68"/>
      <c r="CN319" s="68"/>
      <c r="CO319" s="68"/>
      <c r="CP319" s="68"/>
      <c r="CQ319" s="68"/>
      <c r="CR319" s="68"/>
      <c r="CS319" s="68"/>
      <c r="CT319" s="68"/>
      <c r="CU319" s="68"/>
      <c r="CV319" s="68"/>
      <c r="CW319" s="68"/>
      <c r="CX319" s="68"/>
      <c r="CY319" s="68"/>
      <c r="CZ319" s="68"/>
      <c r="DA319" s="68"/>
      <c r="DB319" s="68"/>
      <c r="DC319" s="68"/>
      <c r="DD319" s="68"/>
      <c r="DE319" s="68"/>
      <c r="DF319" s="68"/>
    </row>
    <row r="320" spans="1:110" x14ac:dyDescent="0.25">
      <c r="A320" s="68"/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  <c r="BJ320" s="68"/>
      <c r="BK320" s="68"/>
      <c r="BL320" s="68"/>
      <c r="BM320" s="68"/>
      <c r="BN320" s="68"/>
      <c r="BO320" s="68"/>
      <c r="BP320" s="68"/>
      <c r="BQ320" s="68"/>
      <c r="BR320" s="68"/>
      <c r="BS320" s="68"/>
      <c r="BT320" s="68"/>
      <c r="BU320" s="68"/>
      <c r="BV320" s="68"/>
      <c r="BW320" s="68"/>
      <c r="BX320" s="68"/>
      <c r="BY320" s="68"/>
      <c r="BZ320" s="68"/>
      <c r="CA320" s="68"/>
      <c r="CB320" s="68"/>
      <c r="CC320" s="68"/>
      <c r="CD320" s="68"/>
      <c r="CE320" s="68"/>
      <c r="CF320" s="68"/>
      <c r="CG320" s="68"/>
      <c r="CH320" s="68"/>
      <c r="CI320" s="68"/>
      <c r="CJ320" s="68"/>
      <c r="CK320" s="68"/>
      <c r="CL320" s="68"/>
      <c r="CM320" s="68"/>
      <c r="CN320" s="68"/>
      <c r="CO320" s="68"/>
      <c r="CP320" s="68"/>
      <c r="CQ320" s="68"/>
      <c r="CR320" s="68"/>
      <c r="CS320" s="68"/>
      <c r="CT320" s="68"/>
      <c r="CU320" s="68"/>
      <c r="CV320" s="68"/>
      <c r="CW320" s="68"/>
      <c r="CX320" s="68"/>
      <c r="CY320" s="68"/>
      <c r="CZ320" s="68"/>
      <c r="DA320" s="68"/>
      <c r="DB320" s="68"/>
      <c r="DC320" s="68"/>
      <c r="DD320" s="68"/>
      <c r="DE320" s="68"/>
      <c r="DF320" s="68"/>
    </row>
    <row r="321" spans="1:110" x14ac:dyDescent="0.25">
      <c r="A321" s="68"/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  <c r="BJ321" s="68"/>
      <c r="BK321" s="68"/>
      <c r="BL321" s="68"/>
      <c r="BM321" s="68"/>
      <c r="BN321" s="68"/>
      <c r="BO321" s="68"/>
      <c r="BP321" s="68"/>
      <c r="BQ321" s="68"/>
      <c r="BR321" s="68"/>
      <c r="BS321" s="68"/>
      <c r="BT321" s="68"/>
      <c r="BU321" s="68"/>
      <c r="BV321" s="68"/>
      <c r="BW321" s="68"/>
      <c r="BX321" s="68"/>
      <c r="BY321" s="68"/>
      <c r="BZ321" s="68"/>
      <c r="CA321" s="68"/>
      <c r="CB321" s="68"/>
      <c r="CC321" s="68"/>
      <c r="CD321" s="68"/>
      <c r="CE321" s="68"/>
      <c r="CF321" s="68"/>
      <c r="CG321" s="68"/>
      <c r="CH321" s="68"/>
      <c r="CI321" s="68"/>
      <c r="CJ321" s="68"/>
      <c r="CK321" s="68"/>
      <c r="CL321" s="68"/>
      <c r="CM321" s="68"/>
      <c r="CN321" s="68"/>
      <c r="CO321" s="68"/>
      <c r="CP321" s="68"/>
      <c r="CQ321" s="68"/>
      <c r="CR321" s="68"/>
      <c r="CS321" s="68"/>
      <c r="CT321" s="68"/>
      <c r="CU321" s="68"/>
      <c r="CV321" s="68"/>
      <c r="CW321" s="68"/>
      <c r="CX321" s="68"/>
      <c r="CY321" s="68"/>
      <c r="CZ321" s="68"/>
      <c r="DA321" s="68"/>
      <c r="DB321" s="68"/>
      <c r="DC321" s="68"/>
      <c r="DD321" s="68"/>
      <c r="DE321" s="68"/>
      <c r="DF321" s="68"/>
    </row>
    <row r="322" spans="1:110" x14ac:dyDescent="0.25">
      <c r="A322" s="68"/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  <c r="BK322" s="68"/>
      <c r="BL322" s="68"/>
      <c r="BM322" s="68"/>
      <c r="BN322" s="68"/>
      <c r="BO322" s="68"/>
      <c r="BP322" s="68"/>
      <c r="BQ322" s="68"/>
      <c r="BR322" s="68"/>
      <c r="BS322" s="68"/>
      <c r="BT322" s="68"/>
      <c r="BU322" s="68"/>
      <c r="BV322" s="68"/>
      <c r="BW322" s="68"/>
      <c r="BX322" s="68"/>
      <c r="BY322" s="68"/>
      <c r="BZ322" s="68"/>
      <c r="CA322" s="68"/>
      <c r="CB322" s="68"/>
      <c r="CC322" s="68"/>
      <c r="CD322" s="68"/>
      <c r="CE322" s="68"/>
      <c r="CF322" s="68"/>
      <c r="CG322" s="68"/>
      <c r="CH322" s="68"/>
      <c r="CI322" s="68"/>
      <c r="CJ322" s="68"/>
      <c r="CK322" s="68"/>
      <c r="CL322" s="68"/>
      <c r="CM322" s="68"/>
      <c r="CN322" s="68"/>
      <c r="CO322" s="68"/>
      <c r="CP322" s="68"/>
      <c r="CQ322" s="68"/>
      <c r="CR322" s="68"/>
      <c r="CS322" s="68"/>
      <c r="CT322" s="68"/>
      <c r="CU322" s="68"/>
      <c r="CV322" s="68"/>
      <c r="CW322" s="68"/>
      <c r="CX322" s="68"/>
      <c r="CY322" s="68"/>
      <c r="CZ322" s="68"/>
      <c r="DA322" s="68"/>
      <c r="DB322" s="68"/>
      <c r="DC322" s="68"/>
      <c r="DD322" s="68"/>
      <c r="DE322" s="68"/>
      <c r="DF322" s="68"/>
    </row>
    <row r="323" spans="1:110" x14ac:dyDescent="0.25">
      <c r="A323" s="68"/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  <c r="BJ323" s="68"/>
      <c r="BK323" s="68"/>
      <c r="BL323" s="68"/>
      <c r="BM323" s="68"/>
      <c r="BN323" s="68"/>
      <c r="BO323" s="68"/>
      <c r="BP323" s="68"/>
      <c r="BQ323" s="68"/>
      <c r="BR323" s="68"/>
      <c r="BS323" s="68"/>
      <c r="BT323" s="68"/>
      <c r="BU323" s="68"/>
      <c r="BV323" s="68"/>
      <c r="BW323" s="68"/>
      <c r="BX323" s="68"/>
      <c r="BY323" s="68"/>
      <c r="BZ323" s="68"/>
      <c r="CA323" s="68"/>
      <c r="CB323" s="68"/>
      <c r="CC323" s="68"/>
      <c r="CD323" s="68"/>
      <c r="CE323" s="68"/>
      <c r="CF323" s="68"/>
      <c r="CG323" s="68"/>
      <c r="CH323" s="68"/>
      <c r="CI323" s="68"/>
      <c r="CJ323" s="68"/>
      <c r="CK323" s="68"/>
      <c r="CL323" s="68"/>
      <c r="CM323" s="68"/>
      <c r="CN323" s="68"/>
      <c r="CO323" s="68"/>
      <c r="CP323" s="68"/>
      <c r="CQ323" s="68"/>
      <c r="CR323" s="68"/>
      <c r="CS323" s="68"/>
      <c r="CT323" s="68"/>
      <c r="CU323" s="68"/>
      <c r="CV323" s="68"/>
      <c r="CW323" s="68"/>
      <c r="CX323" s="68"/>
      <c r="CY323" s="68"/>
      <c r="CZ323" s="68"/>
      <c r="DA323" s="68"/>
      <c r="DB323" s="68"/>
      <c r="DC323" s="68"/>
      <c r="DD323" s="68"/>
      <c r="DE323" s="68"/>
      <c r="DF323" s="68"/>
    </row>
    <row r="324" spans="1:110" x14ac:dyDescent="0.25">
      <c r="A324" s="68"/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  <c r="BJ324" s="68"/>
      <c r="BK324" s="68"/>
      <c r="BL324" s="68"/>
      <c r="BM324" s="68"/>
      <c r="BN324" s="68"/>
      <c r="BO324" s="68"/>
      <c r="BP324" s="68"/>
      <c r="BQ324" s="68"/>
      <c r="BR324" s="68"/>
      <c r="BS324" s="68"/>
      <c r="BT324" s="68"/>
      <c r="BU324" s="68"/>
      <c r="BV324" s="68"/>
      <c r="BW324" s="68"/>
      <c r="BX324" s="68"/>
      <c r="BY324" s="68"/>
      <c r="BZ324" s="68"/>
      <c r="CA324" s="68"/>
      <c r="CB324" s="68"/>
      <c r="CC324" s="68"/>
      <c r="CD324" s="68"/>
      <c r="CE324" s="68"/>
      <c r="CF324" s="68"/>
      <c r="CG324" s="68"/>
      <c r="CH324" s="68"/>
      <c r="CI324" s="68"/>
      <c r="CJ324" s="68"/>
      <c r="CK324" s="68"/>
      <c r="CL324" s="68"/>
      <c r="CM324" s="68"/>
      <c r="CN324" s="68"/>
      <c r="CO324" s="68"/>
      <c r="CP324" s="68"/>
      <c r="CQ324" s="68"/>
      <c r="CR324" s="68"/>
      <c r="CS324" s="68"/>
      <c r="CT324" s="68"/>
      <c r="CU324" s="68"/>
      <c r="CV324" s="68"/>
      <c r="CW324" s="68"/>
      <c r="CX324" s="68"/>
      <c r="CY324" s="68"/>
      <c r="CZ324" s="68"/>
      <c r="DA324" s="68"/>
      <c r="DB324" s="68"/>
      <c r="DC324" s="68"/>
      <c r="DD324" s="68"/>
      <c r="DE324" s="68"/>
      <c r="DF324" s="68"/>
    </row>
    <row r="325" spans="1:110" x14ac:dyDescent="0.25">
      <c r="A325" s="68"/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  <c r="BJ325" s="68"/>
      <c r="BK325" s="68"/>
      <c r="BL325" s="68"/>
      <c r="BM325" s="68"/>
      <c r="BN325" s="68"/>
      <c r="BO325" s="68"/>
      <c r="BP325" s="68"/>
      <c r="BQ325" s="68"/>
      <c r="BR325" s="68"/>
      <c r="BS325" s="68"/>
      <c r="BT325" s="68"/>
      <c r="BU325" s="68"/>
      <c r="BV325" s="68"/>
      <c r="BW325" s="68"/>
      <c r="BX325" s="68"/>
      <c r="BY325" s="68"/>
      <c r="BZ325" s="68"/>
      <c r="CA325" s="68"/>
      <c r="CB325" s="68"/>
      <c r="CC325" s="68"/>
      <c r="CD325" s="68"/>
      <c r="CE325" s="68"/>
      <c r="CF325" s="68"/>
      <c r="CG325" s="68"/>
      <c r="CH325" s="68"/>
      <c r="CI325" s="68"/>
      <c r="CJ325" s="68"/>
      <c r="CK325" s="68"/>
      <c r="CL325" s="68"/>
      <c r="CM325" s="68"/>
      <c r="CN325" s="68"/>
      <c r="CO325" s="68"/>
      <c r="CP325" s="68"/>
      <c r="CQ325" s="68"/>
      <c r="CR325" s="68"/>
      <c r="CS325" s="68"/>
      <c r="CT325" s="68"/>
      <c r="CU325" s="68"/>
      <c r="CV325" s="68"/>
      <c r="CW325" s="68"/>
      <c r="CX325" s="68"/>
      <c r="CY325" s="68"/>
      <c r="CZ325" s="68"/>
      <c r="DA325" s="68"/>
      <c r="DB325" s="68"/>
      <c r="DC325" s="68"/>
      <c r="DD325" s="68"/>
      <c r="DE325" s="68"/>
      <c r="DF325" s="68"/>
    </row>
    <row r="326" spans="1:110" x14ac:dyDescent="0.25">
      <c r="A326" s="68"/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  <c r="BJ326" s="68"/>
      <c r="BK326" s="68"/>
      <c r="BL326" s="68"/>
      <c r="BM326" s="68"/>
      <c r="BN326" s="68"/>
      <c r="BO326" s="68"/>
      <c r="BP326" s="68"/>
      <c r="BQ326" s="68"/>
      <c r="BR326" s="68"/>
      <c r="BS326" s="68"/>
      <c r="BT326" s="68"/>
      <c r="BU326" s="68"/>
      <c r="BV326" s="68"/>
      <c r="BW326" s="68"/>
      <c r="BX326" s="68"/>
      <c r="BY326" s="68"/>
      <c r="BZ326" s="68"/>
      <c r="CA326" s="68"/>
      <c r="CB326" s="68"/>
      <c r="CC326" s="68"/>
      <c r="CD326" s="68"/>
      <c r="CE326" s="68"/>
      <c r="CF326" s="68"/>
      <c r="CG326" s="68"/>
      <c r="CH326" s="68"/>
      <c r="CI326" s="68"/>
      <c r="CJ326" s="68"/>
      <c r="CK326" s="68"/>
      <c r="CL326" s="68"/>
      <c r="CM326" s="68"/>
      <c r="CN326" s="68"/>
      <c r="CO326" s="68"/>
      <c r="CP326" s="68"/>
      <c r="CQ326" s="68"/>
      <c r="CR326" s="68"/>
      <c r="CS326" s="68"/>
      <c r="CT326" s="68"/>
      <c r="CU326" s="68"/>
      <c r="CV326" s="68"/>
      <c r="CW326" s="68"/>
      <c r="CX326" s="68"/>
      <c r="CY326" s="68"/>
      <c r="CZ326" s="68"/>
      <c r="DA326" s="68"/>
      <c r="DB326" s="68"/>
      <c r="DC326" s="68"/>
      <c r="DD326" s="68"/>
      <c r="DE326" s="68"/>
      <c r="DF326" s="68"/>
    </row>
    <row r="327" spans="1:110" x14ac:dyDescent="0.25">
      <c r="A327" s="68"/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  <c r="BJ327" s="68"/>
      <c r="BK327" s="68"/>
      <c r="BL327" s="68"/>
      <c r="BM327" s="68"/>
      <c r="BN327" s="68"/>
      <c r="BO327" s="68"/>
      <c r="BP327" s="68"/>
      <c r="BQ327" s="68"/>
      <c r="BR327" s="68"/>
      <c r="BS327" s="68"/>
      <c r="BT327" s="68"/>
      <c r="BU327" s="68"/>
      <c r="BV327" s="68"/>
      <c r="BW327" s="68"/>
      <c r="BX327" s="68"/>
      <c r="BY327" s="68"/>
      <c r="BZ327" s="68"/>
      <c r="CA327" s="68"/>
      <c r="CB327" s="68"/>
      <c r="CC327" s="68"/>
      <c r="CD327" s="68"/>
      <c r="CE327" s="68"/>
      <c r="CF327" s="68"/>
      <c r="CG327" s="68"/>
      <c r="CH327" s="68"/>
      <c r="CI327" s="68"/>
      <c r="CJ327" s="68"/>
      <c r="CK327" s="68"/>
      <c r="CL327" s="68"/>
      <c r="CM327" s="68"/>
      <c r="CN327" s="68"/>
      <c r="CO327" s="68"/>
      <c r="CP327" s="68"/>
      <c r="CQ327" s="68"/>
      <c r="CR327" s="68"/>
      <c r="CS327" s="68"/>
      <c r="CT327" s="68"/>
      <c r="CU327" s="68"/>
      <c r="CV327" s="68"/>
      <c r="CW327" s="68"/>
      <c r="CX327" s="68"/>
      <c r="CY327" s="68"/>
      <c r="CZ327" s="68"/>
      <c r="DA327" s="68"/>
      <c r="DB327" s="68"/>
      <c r="DC327" s="68"/>
      <c r="DD327" s="68"/>
      <c r="DE327" s="68"/>
      <c r="DF327" s="68"/>
    </row>
    <row r="328" spans="1:110" x14ac:dyDescent="0.25">
      <c r="A328" s="68"/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  <c r="BJ328" s="68"/>
      <c r="BK328" s="68"/>
      <c r="BL328" s="68"/>
      <c r="BM328" s="68"/>
      <c r="BN328" s="68"/>
      <c r="BO328" s="68"/>
      <c r="BP328" s="68"/>
      <c r="BQ328" s="68"/>
      <c r="BR328" s="68"/>
      <c r="BS328" s="68"/>
      <c r="BT328" s="68"/>
      <c r="BU328" s="68"/>
      <c r="BV328" s="68"/>
      <c r="BW328" s="68"/>
      <c r="BX328" s="68"/>
      <c r="BY328" s="68"/>
      <c r="BZ328" s="68"/>
      <c r="CA328" s="68"/>
      <c r="CB328" s="68"/>
      <c r="CC328" s="68"/>
      <c r="CD328" s="68"/>
      <c r="CE328" s="68"/>
      <c r="CF328" s="68"/>
      <c r="CG328" s="68"/>
      <c r="CH328" s="68"/>
      <c r="CI328" s="68"/>
      <c r="CJ328" s="68"/>
      <c r="CK328" s="68"/>
      <c r="CL328" s="68"/>
      <c r="CM328" s="68"/>
      <c r="CN328" s="68"/>
      <c r="CO328" s="68"/>
      <c r="CP328" s="68"/>
      <c r="CQ328" s="68"/>
      <c r="CR328" s="68"/>
      <c r="CS328" s="68"/>
      <c r="CT328" s="68"/>
      <c r="CU328" s="68"/>
      <c r="CV328" s="68"/>
      <c r="CW328" s="68"/>
      <c r="CX328" s="68"/>
      <c r="CY328" s="68"/>
      <c r="CZ328" s="68"/>
      <c r="DA328" s="68"/>
      <c r="DB328" s="68"/>
      <c r="DC328" s="68"/>
      <c r="DD328" s="68"/>
      <c r="DE328" s="68"/>
      <c r="DF328" s="68"/>
    </row>
    <row r="329" spans="1:110" x14ac:dyDescent="0.25">
      <c r="A329" s="68"/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  <c r="BJ329" s="68"/>
      <c r="BK329" s="68"/>
      <c r="BL329" s="68"/>
      <c r="BM329" s="68"/>
      <c r="BN329" s="68"/>
      <c r="BO329" s="68"/>
      <c r="BP329" s="68"/>
      <c r="BQ329" s="68"/>
      <c r="BR329" s="68"/>
      <c r="BS329" s="68"/>
      <c r="BT329" s="68"/>
      <c r="BU329" s="68"/>
      <c r="BV329" s="68"/>
      <c r="BW329" s="68"/>
      <c r="BX329" s="68"/>
      <c r="BY329" s="68"/>
      <c r="BZ329" s="68"/>
      <c r="CA329" s="68"/>
      <c r="CB329" s="68"/>
      <c r="CC329" s="68"/>
      <c r="CD329" s="68"/>
      <c r="CE329" s="68"/>
      <c r="CF329" s="68"/>
      <c r="CG329" s="68"/>
      <c r="CH329" s="68"/>
      <c r="CI329" s="68"/>
      <c r="CJ329" s="68"/>
      <c r="CK329" s="68"/>
      <c r="CL329" s="68"/>
      <c r="CM329" s="68"/>
      <c r="CN329" s="68"/>
      <c r="CO329" s="68"/>
      <c r="CP329" s="68"/>
      <c r="CQ329" s="68"/>
      <c r="CR329" s="68"/>
      <c r="CS329" s="68"/>
      <c r="CT329" s="68"/>
      <c r="CU329" s="68"/>
      <c r="CV329" s="68"/>
      <c r="CW329" s="68"/>
      <c r="CX329" s="68"/>
      <c r="CY329" s="68"/>
      <c r="CZ329" s="68"/>
      <c r="DA329" s="68"/>
      <c r="DB329" s="68"/>
      <c r="DC329" s="68"/>
      <c r="DD329" s="68"/>
      <c r="DE329" s="68"/>
      <c r="DF329" s="68"/>
    </row>
    <row r="330" spans="1:110" x14ac:dyDescent="0.25">
      <c r="A330" s="68"/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  <c r="BJ330" s="68"/>
      <c r="BK330" s="68"/>
      <c r="BL330" s="68"/>
      <c r="BM330" s="68"/>
      <c r="BN330" s="68"/>
      <c r="BO330" s="68"/>
      <c r="BP330" s="68"/>
      <c r="BQ330" s="68"/>
      <c r="BR330" s="68"/>
      <c r="BS330" s="68"/>
      <c r="BT330" s="68"/>
      <c r="BU330" s="68"/>
      <c r="BV330" s="68"/>
      <c r="BW330" s="68"/>
      <c r="BX330" s="68"/>
      <c r="BY330" s="68"/>
      <c r="BZ330" s="68"/>
      <c r="CA330" s="68"/>
      <c r="CB330" s="68"/>
      <c r="CC330" s="68"/>
      <c r="CD330" s="68"/>
      <c r="CE330" s="68"/>
      <c r="CF330" s="68"/>
      <c r="CG330" s="68"/>
      <c r="CH330" s="68"/>
      <c r="CI330" s="68"/>
      <c r="CJ330" s="68"/>
      <c r="CK330" s="68"/>
      <c r="CL330" s="68"/>
      <c r="CM330" s="68"/>
      <c r="CN330" s="68"/>
      <c r="CO330" s="68"/>
      <c r="CP330" s="68"/>
      <c r="CQ330" s="68"/>
      <c r="CR330" s="68"/>
      <c r="CS330" s="68"/>
      <c r="CT330" s="68"/>
      <c r="CU330" s="68"/>
      <c r="CV330" s="68"/>
      <c r="CW330" s="68"/>
      <c r="CX330" s="68"/>
      <c r="CY330" s="68"/>
      <c r="CZ330" s="68"/>
      <c r="DA330" s="68"/>
      <c r="DB330" s="68"/>
      <c r="DC330" s="68"/>
      <c r="DD330" s="68"/>
      <c r="DE330" s="68"/>
      <c r="DF330" s="68"/>
    </row>
    <row r="331" spans="1:110" x14ac:dyDescent="0.25">
      <c r="A331" s="68"/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  <c r="BJ331" s="68"/>
      <c r="BK331" s="68"/>
      <c r="BL331" s="68"/>
      <c r="BM331" s="68"/>
      <c r="BN331" s="68"/>
      <c r="BO331" s="68"/>
      <c r="BP331" s="68"/>
      <c r="BQ331" s="68"/>
      <c r="BR331" s="68"/>
      <c r="BS331" s="68"/>
      <c r="BT331" s="68"/>
      <c r="BU331" s="68"/>
      <c r="BV331" s="68"/>
      <c r="BW331" s="68"/>
      <c r="BX331" s="68"/>
      <c r="BY331" s="68"/>
      <c r="BZ331" s="68"/>
      <c r="CA331" s="68"/>
      <c r="CB331" s="68"/>
      <c r="CC331" s="68"/>
      <c r="CD331" s="68"/>
      <c r="CE331" s="68"/>
      <c r="CF331" s="68"/>
      <c r="CG331" s="68"/>
      <c r="CH331" s="68"/>
      <c r="CI331" s="68"/>
      <c r="CJ331" s="68"/>
      <c r="CK331" s="68"/>
      <c r="CL331" s="68"/>
      <c r="CM331" s="68"/>
      <c r="CN331" s="68"/>
      <c r="CO331" s="68"/>
      <c r="CP331" s="68"/>
      <c r="CQ331" s="68"/>
      <c r="CR331" s="68"/>
      <c r="CS331" s="68"/>
      <c r="CT331" s="68"/>
      <c r="CU331" s="68"/>
      <c r="CV331" s="68"/>
      <c r="CW331" s="68"/>
      <c r="CX331" s="68"/>
      <c r="CY331" s="68"/>
      <c r="CZ331" s="68"/>
      <c r="DA331" s="68"/>
      <c r="DB331" s="68"/>
      <c r="DC331" s="68"/>
      <c r="DD331" s="68"/>
      <c r="DE331" s="68"/>
      <c r="DF331" s="68"/>
    </row>
    <row r="332" spans="1:110" x14ac:dyDescent="0.25">
      <c r="A332" s="68"/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  <c r="BJ332" s="68"/>
      <c r="BK332" s="68"/>
      <c r="BL332" s="68"/>
      <c r="BM332" s="68"/>
      <c r="BN332" s="68"/>
      <c r="BO332" s="68"/>
      <c r="BP332" s="68"/>
      <c r="BQ332" s="68"/>
      <c r="BR332" s="68"/>
      <c r="BS332" s="68"/>
      <c r="BT332" s="68"/>
      <c r="BU332" s="68"/>
      <c r="BV332" s="68"/>
      <c r="BW332" s="68"/>
      <c r="BX332" s="68"/>
      <c r="BY332" s="68"/>
      <c r="BZ332" s="68"/>
      <c r="CA332" s="68"/>
      <c r="CB332" s="68"/>
      <c r="CC332" s="68"/>
      <c r="CD332" s="68"/>
      <c r="CE332" s="68"/>
      <c r="CF332" s="68"/>
      <c r="CG332" s="68"/>
      <c r="CH332" s="68"/>
      <c r="CI332" s="68"/>
      <c r="CJ332" s="68"/>
      <c r="CK332" s="68"/>
      <c r="CL332" s="68"/>
      <c r="CM332" s="68"/>
      <c r="CN332" s="68"/>
      <c r="CO332" s="68"/>
      <c r="CP332" s="68"/>
      <c r="CQ332" s="68"/>
      <c r="CR332" s="68"/>
      <c r="CS332" s="68"/>
      <c r="CT332" s="68"/>
      <c r="CU332" s="68"/>
      <c r="CV332" s="68"/>
      <c r="CW332" s="68"/>
      <c r="CX332" s="68"/>
      <c r="CY332" s="68"/>
      <c r="CZ332" s="68"/>
      <c r="DA332" s="68"/>
      <c r="DB332" s="68"/>
      <c r="DC332" s="68"/>
      <c r="DD332" s="68"/>
      <c r="DE332" s="68"/>
      <c r="DF332" s="68"/>
    </row>
    <row r="333" spans="1:110" x14ac:dyDescent="0.25">
      <c r="A333" s="68"/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  <c r="BJ333" s="68"/>
      <c r="BK333" s="68"/>
      <c r="BL333" s="68"/>
      <c r="BM333" s="68"/>
      <c r="BN333" s="68"/>
      <c r="BO333" s="68"/>
      <c r="BP333" s="68"/>
      <c r="BQ333" s="68"/>
      <c r="BR333" s="68"/>
      <c r="BS333" s="68"/>
      <c r="BT333" s="68"/>
      <c r="BU333" s="68"/>
      <c r="BV333" s="68"/>
      <c r="BW333" s="68"/>
      <c r="BX333" s="68"/>
      <c r="BY333" s="68"/>
      <c r="BZ333" s="68"/>
      <c r="CA333" s="68"/>
      <c r="CB333" s="68"/>
      <c r="CC333" s="68"/>
      <c r="CD333" s="68"/>
      <c r="CE333" s="68"/>
      <c r="CF333" s="68"/>
      <c r="CG333" s="68"/>
      <c r="CH333" s="68"/>
      <c r="CI333" s="68"/>
      <c r="CJ333" s="68"/>
      <c r="CK333" s="68"/>
      <c r="CL333" s="68"/>
      <c r="CM333" s="68"/>
      <c r="CN333" s="68"/>
      <c r="CO333" s="68"/>
      <c r="CP333" s="68"/>
      <c r="CQ333" s="68"/>
      <c r="CR333" s="68"/>
      <c r="CS333" s="68"/>
      <c r="CT333" s="68"/>
      <c r="CU333" s="68"/>
      <c r="CV333" s="68"/>
      <c r="CW333" s="68"/>
      <c r="CX333" s="68"/>
      <c r="CY333" s="68"/>
      <c r="CZ333" s="68"/>
      <c r="DA333" s="68"/>
      <c r="DB333" s="68"/>
      <c r="DC333" s="68"/>
      <c r="DD333" s="68"/>
      <c r="DE333" s="68"/>
      <c r="DF333" s="68"/>
    </row>
    <row r="334" spans="1:110" x14ac:dyDescent="0.25">
      <c r="A334" s="68"/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  <c r="BJ334" s="68"/>
      <c r="BK334" s="68"/>
      <c r="BL334" s="68"/>
      <c r="BM334" s="68"/>
      <c r="BN334" s="68"/>
      <c r="BO334" s="68"/>
      <c r="BP334" s="68"/>
      <c r="BQ334" s="68"/>
      <c r="BR334" s="68"/>
      <c r="BS334" s="68"/>
      <c r="BT334" s="68"/>
      <c r="BU334" s="68"/>
      <c r="BV334" s="68"/>
      <c r="BW334" s="68"/>
      <c r="BX334" s="68"/>
      <c r="BY334" s="68"/>
      <c r="BZ334" s="68"/>
      <c r="CA334" s="68"/>
      <c r="CB334" s="68"/>
      <c r="CC334" s="68"/>
      <c r="CD334" s="68"/>
      <c r="CE334" s="68"/>
      <c r="CF334" s="68"/>
      <c r="CG334" s="68"/>
      <c r="CH334" s="68"/>
      <c r="CI334" s="68"/>
      <c r="CJ334" s="68"/>
      <c r="CK334" s="68"/>
      <c r="CL334" s="68"/>
      <c r="CM334" s="68"/>
      <c r="CN334" s="68"/>
      <c r="CO334" s="68"/>
      <c r="CP334" s="68"/>
      <c r="CQ334" s="68"/>
      <c r="CR334" s="68"/>
      <c r="CS334" s="68"/>
      <c r="CT334" s="68"/>
      <c r="CU334" s="68"/>
      <c r="CV334" s="68"/>
      <c r="CW334" s="68"/>
      <c r="CX334" s="68"/>
      <c r="CY334" s="68"/>
      <c r="CZ334" s="68"/>
      <c r="DA334" s="68"/>
      <c r="DB334" s="68"/>
      <c r="DC334" s="68"/>
      <c r="DD334" s="68"/>
      <c r="DE334" s="68"/>
      <c r="DF334" s="68"/>
    </row>
    <row r="335" spans="1:110" x14ac:dyDescent="0.25">
      <c r="A335" s="68"/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68"/>
      <c r="BZ335" s="68"/>
      <c r="CA335" s="68"/>
      <c r="CB335" s="68"/>
      <c r="CC335" s="68"/>
      <c r="CD335" s="68"/>
      <c r="CE335" s="68"/>
      <c r="CF335" s="68"/>
      <c r="CG335" s="68"/>
      <c r="CH335" s="68"/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</row>
    <row r="336" spans="1:110" x14ac:dyDescent="0.25">
      <c r="A336" s="68"/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</row>
    <row r="337" spans="1:52" x14ac:dyDescent="0.25">
      <c r="A337" s="68"/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</row>
    <row r="338" spans="1:52" x14ac:dyDescent="0.25">
      <c r="A338" s="68"/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</row>
    <row r="339" spans="1:52" x14ac:dyDescent="0.25">
      <c r="A339" s="68"/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</row>
    <row r="340" spans="1:52" x14ac:dyDescent="0.25">
      <c r="A340" s="68"/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</row>
    <row r="341" spans="1:52" x14ac:dyDescent="0.25">
      <c r="A341" s="68"/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</row>
    <row r="342" spans="1:52" x14ac:dyDescent="0.25">
      <c r="A342" s="68"/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</row>
    <row r="343" spans="1:52" x14ac:dyDescent="0.25">
      <c r="A343" s="68"/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</row>
    <row r="344" spans="1:52" x14ac:dyDescent="0.25">
      <c r="A344" s="68"/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</row>
    <row r="345" spans="1:52" x14ac:dyDescent="0.25">
      <c r="A345" s="68"/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</row>
    <row r="346" spans="1:52" x14ac:dyDescent="0.25">
      <c r="A346" s="68"/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</row>
    <row r="347" spans="1:52" x14ac:dyDescent="0.25">
      <c r="A347" s="68"/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</row>
    <row r="348" spans="1:52" x14ac:dyDescent="0.25">
      <c r="A348" s="68"/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</row>
    <row r="349" spans="1:52" x14ac:dyDescent="0.25">
      <c r="A349" s="68"/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</row>
    <row r="350" spans="1:52" x14ac:dyDescent="0.25">
      <c r="A350" s="68"/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</row>
    <row r="351" spans="1:52" x14ac:dyDescent="0.25">
      <c r="A351" s="68"/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</row>
    <row r="352" spans="1:52" x14ac:dyDescent="0.25">
      <c r="A352" s="68"/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</row>
    <row r="353" spans="1:52" x14ac:dyDescent="0.25">
      <c r="A353" s="68"/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</row>
    <row r="354" spans="1:52" x14ac:dyDescent="0.25">
      <c r="A354" s="68"/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</row>
    <row r="355" spans="1:52" x14ac:dyDescent="0.25">
      <c r="A355" s="68"/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</row>
    <row r="356" spans="1:52" x14ac:dyDescent="0.25">
      <c r="A356" s="68"/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</row>
    <row r="357" spans="1:52" x14ac:dyDescent="0.25">
      <c r="A357" s="68"/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</row>
    <row r="358" spans="1:52" x14ac:dyDescent="0.25">
      <c r="A358" s="68"/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</row>
    <row r="359" spans="1:52" x14ac:dyDescent="0.25">
      <c r="A359" s="68"/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</row>
    <row r="360" spans="1:52" x14ac:dyDescent="0.25">
      <c r="A360" s="68"/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</row>
    <row r="361" spans="1:52" x14ac:dyDescent="0.25">
      <c r="A361" s="68"/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</row>
    <row r="362" spans="1:52" x14ac:dyDescent="0.25">
      <c r="A362" s="68"/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</row>
    <row r="363" spans="1:52" x14ac:dyDescent="0.25">
      <c r="A363" s="68"/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</row>
    <row r="364" spans="1:52" x14ac:dyDescent="0.25">
      <c r="A364" s="68"/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</row>
    <row r="365" spans="1:52" x14ac:dyDescent="0.25">
      <c r="A365" s="68"/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</row>
    <row r="366" spans="1:52" x14ac:dyDescent="0.25">
      <c r="A366" s="68"/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</row>
    <row r="367" spans="1:52" x14ac:dyDescent="0.25">
      <c r="A367" s="68"/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</row>
    <row r="368" spans="1:52" x14ac:dyDescent="0.25"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</row>
    <row r="369" spans="6:52" x14ac:dyDescent="0.25"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</row>
    <row r="370" spans="6:52" x14ac:dyDescent="0.25"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</row>
    <row r="371" spans="6:52" x14ac:dyDescent="0.25"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</row>
    <row r="372" spans="6:52" x14ac:dyDescent="0.25"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</row>
    <row r="373" spans="6:52" x14ac:dyDescent="0.25"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</row>
    <row r="374" spans="6:52" x14ac:dyDescent="0.25"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</row>
    <row r="375" spans="6:52" x14ac:dyDescent="0.25"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</row>
    <row r="376" spans="6:52" x14ac:dyDescent="0.25"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</row>
    <row r="377" spans="6:52" x14ac:dyDescent="0.25"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</row>
    <row r="378" spans="6:52" x14ac:dyDescent="0.25"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</row>
    <row r="379" spans="6:52" x14ac:dyDescent="0.25"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</row>
    <row r="380" spans="6:52" x14ac:dyDescent="0.25"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</row>
    <row r="381" spans="6:52" x14ac:dyDescent="0.25"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</row>
    <row r="382" spans="6:52" x14ac:dyDescent="0.25"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</row>
    <row r="383" spans="6:52" x14ac:dyDescent="0.25"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</row>
    <row r="384" spans="6:52" x14ac:dyDescent="0.25"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</row>
    <row r="385" spans="6:52" x14ac:dyDescent="0.25"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</row>
    <row r="386" spans="6:52" x14ac:dyDescent="0.25"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</row>
    <row r="387" spans="6:52" x14ac:dyDescent="0.25"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</row>
    <row r="388" spans="6:52" x14ac:dyDescent="0.25"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</row>
    <row r="389" spans="6:52" x14ac:dyDescent="0.25"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</row>
    <row r="390" spans="6:52" x14ac:dyDescent="0.25"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</row>
    <row r="391" spans="6:52" x14ac:dyDescent="0.25"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</row>
    <row r="392" spans="6:52" x14ac:dyDescent="0.25"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</row>
    <row r="393" spans="6:52" x14ac:dyDescent="0.25"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</row>
    <row r="394" spans="6:52" x14ac:dyDescent="0.25"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</row>
    <row r="395" spans="6:52" x14ac:dyDescent="0.25"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</row>
    <row r="396" spans="6:52" x14ac:dyDescent="0.25"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</row>
    <row r="397" spans="6:52" x14ac:dyDescent="0.25"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</row>
    <row r="398" spans="6:52" x14ac:dyDescent="0.25"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</row>
    <row r="399" spans="6:52" x14ac:dyDescent="0.25"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</row>
    <row r="400" spans="6:52" x14ac:dyDescent="0.25"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</row>
    <row r="401" spans="6:52" x14ac:dyDescent="0.25"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</row>
    <row r="402" spans="6:52" x14ac:dyDescent="0.25"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</row>
    <row r="403" spans="6:52" x14ac:dyDescent="0.25"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</row>
    <row r="404" spans="6:52" x14ac:dyDescent="0.25"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</row>
    <row r="405" spans="6:52" x14ac:dyDescent="0.25"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</row>
    <row r="406" spans="6:52" x14ac:dyDescent="0.25"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</row>
    <row r="407" spans="6:52" x14ac:dyDescent="0.25"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</row>
    <row r="408" spans="6:52" x14ac:dyDescent="0.25"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</row>
    <row r="409" spans="6:52" x14ac:dyDescent="0.25"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</row>
    <row r="410" spans="6:52" x14ac:dyDescent="0.25"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</row>
    <row r="411" spans="6:52" x14ac:dyDescent="0.25"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</row>
    <row r="412" spans="6:52" x14ac:dyDescent="0.25"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</row>
    <row r="413" spans="6:52" x14ac:dyDescent="0.25"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</row>
    <row r="414" spans="6:52" x14ac:dyDescent="0.25"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</row>
    <row r="415" spans="6:52" x14ac:dyDescent="0.25"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</row>
    <row r="416" spans="6:52" x14ac:dyDescent="0.25"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</row>
    <row r="417" spans="6:52" x14ac:dyDescent="0.25"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</row>
    <row r="418" spans="6:52" x14ac:dyDescent="0.25"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</row>
    <row r="419" spans="6:52" x14ac:dyDescent="0.25"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</row>
    <row r="420" spans="6:52" x14ac:dyDescent="0.25"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</row>
    <row r="421" spans="6:52" x14ac:dyDescent="0.25"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</row>
    <row r="422" spans="6:52" x14ac:dyDescent="0.25"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</row>
    <row r="423" spans="6:52" x14ac:dyDescent="0.25"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</row>
    <row r="424" spans="6:52" x14ac:dyDescent="0.25"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</row>
    <row r="425" spans="6:52" x14ac:dyDescent="0.25"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</row>
    <row r="426" spans="6:52" x14ac:dyDescent="0.25"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</row>
    <row r="427" spans="6:52" x14ac:dyDescent="0.25"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</row>
    <row r="428" spans="6:52" x14ac:dyDescent="0.25"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</row>
    <row r="429" spans="6:52" x14ac:dyDescent="0.25"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</row>
    <row r="430" spans="6:52" x14ac:dyDescent="0.25"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</row>
    <row r="431" spans="6:52" x14ac:dyDescent="0.25"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</row>
    <row r="432" spans="6:52" x14ac:dyDescent="0.25"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</row>
    <row r="433" spans="6:52" x14ac:dyDescent="0.25"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</row>
    <row r="434" spans="6:52" x14ac:dyDescent="0.25"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</row>
    <row r="435" spans="6:52" x14ac:dyDescent="0.25"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</row>
    <row r="436" spans="6:52" x14ac:dyDescent="0.25"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</row>
    <row r="437" spans="6:52" x14ac:dyDescent="0.25"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</row>
    <row r="438" spans="6:52" x14ac:dyDescent="0.25"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</row>
    <row r="439" spans="6:52" x14ac:dyDescent="0.25"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</row>
    <row r="440" spans="6:52" x14ac:dyDescent="0.25"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</row>
    <row r="441" spans="6:52" x14ac:dyDescent="0.25"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</row>
    <row r="442" spans="6:52" x14ac:dyDescent="0.25"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</row>
    <row r="443" spans="6:52" x14ac:dyDescent="0.25"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</row>
    <row r="444" spans="6:52" x14ac:dyDescent="0.25"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</row>
    <row r="445" spans="6:52" x14ac:dyDescent="0.25"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</row>
    <row r="446" spans="6:52" x14ac:dyDescent="0.25"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</row>
    <row r="447" spans="6:52" x14ac:dyDescent="0.25"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</row>
    <row r="448" spans="6:52" x14ac:dyDescent="0.25"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</row>
    <row r="449" spans="6:52" x14ac:dyDescent="0.25"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</row>
    <row r="450" spans="6:52" x14ac:dyDescent="0.25"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</row>
  </sheetData>
  <protectedRanges>
    <protectedRange sqref="C64 B60:D62 B54:D58 B48:D52 B44:D46 B39:D42 B31:D37 B26:D29 B20:D24" name="Campos_Pedidos"/>
  </protectedRanges>
  <mergeCells count="53">
    <mergeCell ref="S4:U8"/>
    <mergeCell ref="V4:AB8"/>
    <mergeCell ref="S9:U13"/>
    <mergeCell ref="V9:AB13"/>
    <mergeCell ref="A65:B65"/>
    <mergeCell ref="C65:E65"/>
    <mergeCell ref="C31:D31"/>
    <mergeCell ref="C36:D36"/>
    <mergeCell ref="C40:D40"/>
    <mergeCell ref="C46:D46"/>
    <mergeCell ref="C52:D52"/>
    <mergeCell ref="C50:D50"/>
    <mergeCell ref="C51:D51"/>
    <mergeCell ref="C32:D32"/>
    <mergeCell ref="C39:D39"/>
    <mergeCell ref="C42:D42"/>
    <mergeCell ref="B66:C66"/>
    <mergeCell ref="A67:B67"/>
    <mergeCell ref="C67:E67"/>
    <mergeCell ref="C61:D61"/>
    <mergeCell ref="C62:D62"/>
    <mergeCell ref="C63:E63"/>
    <mergeCell ref="A64:B64"/>
    <mergeCell ref="C64:E64"/>
    <mergeCell ref="C41:D41"/>
    <mergeCell ref="C37:D37"/>
    <mergeCell ref="C35:D35"/>
    <mergeCell ref="C34:D34"/>
    <mergeCell ref="C33:D33"/>
    <mergeCell ref="C60:D60"/>
    <mergeCell ref="C44:D44"/>
    <mergeCell ref="C45:D45"/>
    <mergeCell ref="C48:D48"/>
    <mergeCell ref="C49:D49"/>
    <mergeCell ref="C54:D54"/>
    <mergeCell ref="C55:D55"/>
    <mergeCell ref="C56:D56"/>
    <mergeCell ref="C57:D57"/>
    <mergeCell ref="C58:D58"/>
    <mergeCell ref="B14:E14"/>
    <mergeCell ref="B15:E15"/>
    <mergeCell ref="C24:D24"/>
    <mergeCell ref="C26:D26"/>
    <mergeCell ref="C29:D29"/>
    <mergeCell ref="C27:D27"/>
    <mergeCell ref="A18:E18"/>
    <mergeCell ref="B16:C16"/>
    <mergeCell ref="A17:E17"/>
    <mergeCell ref="C19:D19"/>
    <mergeCell ref="C21:D21"/>
    <mergeCell ref="C22:D22"/>
    <mergeCell ref="C23:D23"/>
    <mergeCell ref="C20:D20"/>
  </mergeCells>
  <dataValidations count="1">
    <dataValidation type="list" allowBlank="1" showInputMessage="1" showErrorMessage="1" sqref="C65:E65" xr:uid="{57D60F40-3549-434A-B0DA-853FCCF71356}">
      <formula1>"DINHEIRO, DÉBITO , CRÉDITO, PIX, PIX+DINHEIRO"</formula1>
    </dataValidation>
  </dataValidations>
  <pageMargins left="0" right="0" top="0" bottom="0" header="0" footer="0"/>
  <pageSetup paperSize="126" scale="44" orientation="portrait" horizontalDpi="20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76A3-B9C8-4065-86A4-7637B05A3734}">
  <sheetPr codeName="Planilha17">
    <tabColor theme="5"/>
  </sheetPr>
  <dimension ref="A1:L205"/>
  <sheetViews>
    <sheetView workbookViewId="0">
      <selection activeCell="B2" sqref="A2:B2"/>
    </sheetView>
  </sheetViews>
  <sheetFormatPr defaultRowHeight="15" x14ac:dyDescent="0.25"/>
  <cols>
    <col min="1" max="1" width="24" style="204" bestFit="1" customWidth="1"/>
    <col min="2" max="2" width="17.5703125" style="204" bestFit="1" customWidth="1"/>
    <col min="3" max="4" width="9.140625" style="204"/>
    <col min="5" max="5" width="26.140625" style="205" bestFit="1" customWidth="1"/>
    <col min="6" max="6" width="15.140625" style="204" bestFit="1" customWidth="1"/>
    <col min="7" max="9" width="9.140625" style="204"/>
    <col min="10" max="10" width="24.85546875" style="212" bestFit="1" customWidth="1"/>
    <col min="11" max="11" width="10.7109375" style="212" bestFit="1" customWidth="1"/>
    <col min="12" max="12" width="12.42578125" style="213" bestFit="1" customWidth="1"/>
    <col min="13" max="16384" width="9.140625" style="204"/>
  </cols>
  <sheetData>
    <row r="1" spans="1:12" ht="20.25" thickTop="1" thickBot="1" x14ac:dyDescent="0.35">
      <c r="A1" s="206" t="s">
        <v>196</v>
      </c>
      <c r="B1" s="207" t="s">
        <v>197</v>
      </c>
      <c r="C1" s="203"/>
      <c r="D1" s="203"/>
      <c r="E1" s="208" t="s">
        <v>461</v>
      </c>
      <c r="F1" s="206" t="s">
        <v>67</v>
      </c>
      <c r="J1" s="475" t="s">
        <v>199</v>
      </c>
      <c r="K1" s="476"/>
      <c r="L1" s="477"/>
    </row>
    <row r="2" spans="1:12" ht="20.25" thickTop="1" thickBot="1" x14ac:dyDescent="0.35">
      <c r="A2" s="209"/>
      <c r="B2" s="257"/>
      <c r="E2" s="210">
        <f>SUM(L$2:L$1048576) + B2</f>
        <v>0</v>
      </c>
      <c r="F2" s="211">
        <v>45350</v>
      </c>
      <c r="J2" s="254"/>
      <c r="K2" s="255"/>
      <c r="L2" s="256"/>
    </row>
    <row r="3" spans="1:12" ht="15.75" thickTop="1" x14ac:dyDescent="0.25">
      <c r="E3" s="204"/>
      <c r="L3" s="212"/>
    </row>
    <row r="4" spans="1:12" x14ac:dyDescent="0.25">
      <c r="E4" s="204"/>
      <c r="L4" s="212"/>
    </row>
    <row r="5" spans="1:12" x14ac:dyDescent="0.25">
      <c r="E5" s="204"/>
      <c r="L5" s="212"/>
    </row>
    <row r="6" spans="1:12" x14ac:dyDescent="0.25">
      <c r="E6" s="204"/>
      <c r="L6" s="212"/>
    </row>
    <row r="7" spans="1:12" x14ac:dyDescent="0.25">
      <c r="L7" s="212"/>
    </row>
    <row r="8" spans="1:12" x14ac:dyDescent="0.25">
      <c r="L8" s="212"/>
    </row>
    <row r="9" spans="1:12" x14ac:dyDescent="0.25">
      <c r="L9" s="212"/>
    </row>
    <row r="10" spans="1:12" x14ac:dyDescent="0.25">
      <c r="L10" s="212"/>
    </row>
    <row r="11" spans="1:12" x14ac:dyDescent="0.25">
      <c r="L11" s="212"/>
    </row>
    <row r="12" spans="1:12" x14ac:dyDescent="0.25">
      <c r="L12" s="212"/>
    </row>
    <row r="13" spans="1:12" x14ac:dyDescent="0.25">
      <c r="L13" s="212"/>
    </row>
    <row r="14" spans="1:12" x14ac:dyDescent="0.25">
      <c r="L14" s="212"/>
    </row>
    <row r="15" spans="1:12" x14ac:dyDescent="0.25">
      <c r="L15" s="212"/>
    </row>
    <row r="16" spans="1:12" x14ac:dyDescent="0.25">
      <c r="L16" s="212"/>
    </row>
    <row r="17" spans="12:12" x14ac:dyDescent="0.25">
      <c r="L17" s="212"/>
    </row>
    <row r="18" spans="12:12" x14ac:dyDescent="0.25">
      <c r="L18" s="212"/>
    </row>
    <row r="19" spans="12:12" x14ac:dyDescent="0.25">
      <c r="L19" s="212"/>
    </row>
    <row r="20" spans="12:12" x14ac:dyDescent="0.25">
      <c r="L20" s="212"/>
    </row>
    <row r="21" spans="12:12" x14ac:dyDescent="0.25">
      <c r="L21" s="212"/>
    </row>
    <row r="22" spans="12:12" x14ac:dyDescent="0.25">
      <c r="L22" s="212"/>
    </row>
    <row r="23" spans="12:12" x14ac:dyDescent="0.25">
      <c r="L23" s="212"/>
    </row>
    <row r="24" spans="12:12" x14ac:dyDescent="0.25">
      <c r="L24" s="212"/>
    </row>
    <row r="25" spans="12:12" x14ac:dyDescent="0.25">
      <c r="L25" s="212"/>
    </row>
    <row r="26" spans="12:12" x14ac:dyDescent="0.25">
      <c r="L26" s="212"/>
    </row>
    <row r="27" spans="12:12" x14ac:dyDescent="0.25">
      <c r="L27" s="212"/>
    </row>
    <row r="28" spans="12:12" x14ac:dyDescent="0.25">
      <c r="L28" s="212"/>
    </row>
    <row r="29" spans="12:12" x14ac:dyDescent="0.25">
      <c r="L29" s="212"/>
    </row>
    <row r="30" spans="12:12" x14ac:dyDescent="0.25">
      <c r="L30" s="212"/>
    </row>
    <row r="31" spans="12:12" x14ac:dyDescent="0.25">
      <c r="L31" s="212"/>
    </row>
    <row r="32" spans="12:12" x14ac:dyDescent="0.25">
      <c r="L32" s="212"/>
    </row>
    <row r="33" spans="12:12" x14ac:dyDescent="0.25">
      <c r="L33" s="212"/>
    </row>
    <row r="34" spans="12:12" x14ac:dyDescent="0.25">
      <c r="L34" s="212"/>
    </row>
    <row r="35" spans="12:12" x14ac:dyDescent="0.25">
      <c r="L35" s="212"/>
    </row>
    <row r="36" spans="12:12" x14ac:dyDescent="0.25">
      <c r="L36" s="212"/>
    </row>
    <row r="37" spans="12:12" x14ac:dyDescent="0.25">
      <c r="L37" s="212"/>
    </row>
    <row r="38" spans="12:12" x14ac:dyDescent="0.25">
      <c r="L38" s="212"/>
    </row>
    <row r="39" spans="12:12" x14ac:dyDescent="0.25">
      <c r="L39" s="212"/>
    </row>
    <row r="40" spans="12:12" x14ac:dyDescent="0.25">
      <c r="L40" s="212"/>
    </row>
    <row r="41" spans="12:12" x14ac:dyDescent="0.25">
      <c r="L41" s="212"/>
    </row>
    <row r="42" spans="12:12" x14ac:dyDescent="0.25">
      <c r="L42" s="212"/>
    </row>
    <row r="43" spans="12:12" x14ac:dyDescent="0.25">
      <c r="L43" s="212"/>
    </row>
    <row r="44" spans="12:12" x14ac:dyDescent="0.25">
      <c r="L44" s="212"/>
    </row>
    <row r="45" spans="12:12" x14ac:dyDescent="0.25">
      <c r="L45" s="212"/>
    </row>
    <row r="46" spans="12:12" x14ac:dyDescent="0.25">
      <c r="L46" s="212"/>
    </row>
    <row r="47" spans="12:12" x14ac:dyDescent="0.25">
      <c r="L47" s="212"/>
    </row>
    <row r="48" spans="12:12" x14ac:dyDescent="0.25">
      <c r="L48" s="212"/>
    </row>
    <row r="49" spans="12:12" x14ac:dyDescent="0.25">
      <c r="L49" s="212"/>
    </row>
    <row r="50" spans="12:12" x14ac:dyDescent="0.25">
      <c r="L50" s="212"/>
    </row>
    <row r="51" spans="12:12" x14ac:dyDescent="0.25">
      <c r="L51" s="212"/>
    </row>
    <row r="52" spans="12:12" x14ac:dyDescent="0.25">
      <c r="L52" s="212"/>
    </row>
    <row r="53" spans="12:12" x14ac:dyDescent="0.25">
      <c r="L53" s="212"/>
    </row>
    <row r="54" spans="12:12" x14ac:dyDescent="0.25">
      <c r="L54" s="212"/>
    </row>
    <row r="55" spans="12:12" x14ac:dyDescent="0.25">
      <c r="L55" s="212"/>
    </row>
    <row r="56" spans="12:12" x14ac:dyDescent="0.25">
      <c r="L56" s="212"/>
    </row>
    <row r="57" spans="12:12" x14ac:dyDescent="0.25">
      <c r="L57" s="212"/>
    </row>
    <row r="58" spans="12:12" x14ac:dyDescent="0.25">
      <c r="L58" s="212"/>
    </row>
    <row r="59" spans="12:12" x14ac:dyDescent="0.25">
      <c r="L59" s="212"/>
    </row>
    <row r="60" spans="12:12" x14ac:dyDescent="0.25">
      <c r="L60" s="212"/>
    </row>
    <row r="61" spans="12:12" x14ac:dyDescent="0.25">
      <c r="L61" s="212"/>
    </row>
    <row r="62" spans="12:12" x14ac:dyDescent="0.25">
      <c r="L62" s="212"/>
    </row>
    <row r="63" spans="12:12" x14ac:dyDescent="0.25">
      <c r="L63" s="212"/>
    </row>
    <row r="64" spans="12:12" x14ac:dyDescent="0.25">
      <c r="L64" s="212"/>
    </row>
    <row r="65" spans="12:12" x14ac:dyDescent="0.25">
      <c r="L65" s="212"/>
    </row>
    <row r="66" spans="12:12" x14ac:dyDescent="0.25">
      <c r="L66" s="212"/>
    </row>
    <row r="67" spans="12:12" x14ac:dyDescent="0.25">
      <c r="L67" s="212"/>
    </row>
    <row r="68" spans="12:12" x14ac:dyDescent="0.25">
      <c r="L68" s="212"/>
    </row>
    <row r="69" spans="12:12" x14ac:dyDescent="0.25">
      <c r="L69" s="212"/>
    </row>
    <row r="70" spans="12:12" x14ac:dyDescent="0.25">
      <c r="L70" s="212"/>
    </row>
    <row r="71" spans="12:12" x14ac:dyDescent="0.25">
      <c r="L71" s="212"/>
    </row>
    <row r="72" spans="12:12" x14ac:dyDescent="0.25">
      <c r="L72" s="212"/>
    </row>
    <row r="73" spans="12:12" x14ac:dyDescent="0.25">
      <c r="L73" s="212"/>
    </row>
    <row r="74" spans="12:12" x14ac:dyDescent="0.25">
      <c r="L74" s="212"/>
    </row>
    <row r="75" spans="12:12" x14ac:dyDescent="0.25">
      <c r="L75" s="212"/>
    </row>
    <row r="76" spans="12:12" x14ac:dyDescent="0.25">
      <c r="L76" s="212"/>
    </row>
    <row r="77" spans="12:12" x14ac:dyDescent="0.25">
      <c r="L77" s="212"/>
    </row>
    <row r="78" spans="12:12" x14ac:dyDescent="0.25">
      <c r="L78" s="212"/>
    </row>
    <row r="79" spans="12:12" x14ac:dyDescent="0.25">
      <c r="L79" s="212"/>
    </row>
    <row r="80" spans="12:12" x14ac:dyDescent="0.25">
      <c r="L80" s="212"/>
    </row>
    <row r="81" spans="12:12" x14ac:dyDescent="0.25">
      <c r="L81" s="212"/>
    </row>
    <row r="82" spans="12:12" x14ac:dyDescent="0.25">
      <c r="L82" s="212"/>
    </row>
    <row r="83" spans="12:12" x14ac:dyDescent="0.25">
      <c r="L83" s="212"/>
    </row>
    <row r="84" spans="12:12" x14ac:dyDescent="0.25">
      <c r="L84" s="212"/>
    </row>
    <row r="85" spans="12:12" x14ac:dyDescent="0.25">
      <c r="L85" s="212"/>
    </row>
    <row r="86" spans="12:12" x14ac:dyDescent="0.25">
      <c r="L86" s="212"/>
    </row>
    <row r="87" spans="12:12" x14ac:dyDescent="0.25">
      <c r="L87" s="212"/>
    </row>
    <row r="88" spans="12:12" x14ac:dyDescent="0.25">
      <c r="L88" s="212"/>
    </row>
    <row r="89" spans="12:12" x14ac:dyDescent="0.25">
      <c r="L89" s="212"/>
    </row>
    <row r="90" spans="12:12" x14ac:dyDescent="0.25">
      <c r="L90" s="212"/>
    </row>
    <row r="91" spans="12:12" x14ac:dyDescent="0.25">
      <c r="L91" s="212"/>
    </row>
    <row r="92" spans="12:12" x14ac:dyDescent="0.25">
      <c r="L92" s="212"/>
    </row>
    <row r="93" spans="12:12" x14ac:dyDescent="0.25">
      <c r="L93" s="212"/>
    </row>
    <row r="94" spans="12:12" x14ac:dyDescent="0.25">
      <c r="L94" s="212"/>
    </row>
    <row r="95" spans="12:12" x14ac:dyDescent="0.25">
      <c r="L95" s="212"/>
    </row>
    <row r="96" spans="12:12" x14ac:dyDescent="0.25">
      <c r="L96" s="212"/>
    </row>
    <row r="97" spans="12:12" x14ac:dyDescent="0.25">
      <c r="L97" s="212"/>
    </row>
    <row r="98" spans="12:12" x14ac:dyDescent="0.25">
      <c r="L98" s="212"/>
    </row>
    <row r="99" spans="12:12" x14ac:dyDescent="0.25">
      <c r="L99" s="212"/>
    </row>
    <row r="100" spans="12:12" x14ac:dyDescent="0.25">
      <c r="L100" s="212"/>
    </row>
    <row r="101" spans="12:12" x14ac:dyDescent="0.25">
      <c r="L101" s="212"/>
    </row>
    <row r="102" spans="12:12" x14ac:dyDescent="0.25">
      <c r="L102" s="212"/>
    </row>
    <row r="103" spans="12:12" x14ac:dyDescent="0.25">
      <c r="L103" s="212"/>
    </row>
    <row r="104" spans="12:12" x14ac:dyDescent="0.25">
      <c r="L104" s="212"/>
    </row>
    <row r="105" spans="12:12" x14ac:dyDescent="0.25">
      <c r="L105" s="212"/>
    </row>
    <row r="106" spans="12:12" x14ac:dyDescent="0.25">
      <c r="L106" s="212"/>
    </row>
    <row r="107" spans="12:12" x14ac:dyDescent="0.25">
      <c r="L107" s="212"/>
    </row>
    <row r="108" spans="12:12" x14ac:dyDescent="0.25">
      <c r="L108" s="212"/>
    </row>
    <row r="109" spans="12:12" x14ac:dyDescent="0.25">
      <c r="L109" s="212"/>
    </row>
    <row r="110" spans="12:12" x14ac:dyDescent="0.25">
      <c r="L110" s="212"/>
    </row>
    <row r="111" spans="12:12" x14ac:dyDescent="0.25">
      <c r="L111" s="212"/>
    </row>
    <row r="112" spans="12:12" x14ac:dyDescent="0.25">
      <c r="L112" s="212"/>
    </row>
    <row r="113" spans="12:12" x14ac:dyDescent="0.25">
      <c r="L113" s="212"/>
    </row>
    <row r="114" spans="12:12" x14ac:dyDescent="0.25">
      <c r="L114" s="212"/>
    </row>
    <row r="115" spans="12:12" x14ac:dyDescent="0.25">
      <c r="L115" s="212"/>
    </row>
    <row r="116" spans="12:12" x14ac:dyDescent="0.25">
      <c r="L116" s="212"/>
    </row>
    <row r="117" spans="12:12" x14ac:dyDescent="0.25">
      <c r="L117" s="212"/>
    </row>
    <row r="118" spans="12:12" x14ac:dyDescent="0.25">
      <c r="L118" s="212"/>
    </row>
    <row r="119" spans="12:12" x14ac:dyDescent="0.25">
      <c r="L119" s="212"/>
    </row>
    <row r="120" spans="12:12" x14ac:dyDescent="0.25">
      <c r="L120" s="212"/>
    </row>
    <row r="121" spans="12:12" x14ac:dyDescent="0.25">
      <c r="L121" s="212"/>
    </row>
    <row r="122" spans="12:12" x14ac:dyDescent="0.25">
      <c r="L122" s="212"/>
    </row>
    <row r="123" spans="12:12" x14ac:dyDescent="0.25">
      <c r="L123" s="212"/>
    </row>
    <row r="124" spans="12:12" x14ac:dyDescent="0.25">
      <c r="L124" s="212"/>
    </row>
    <row r="125" spans="12:12" x14ac:dyDescent="0.25">
      <c r="L125" s="212"/>
    </row>
    <row r="126" spans="12:12" x14ac:dyDescent="0.25">
      <c r="L126" s="212"/>
    </row>
    <row r="127" spans="12:12" x14ac:dyDescent="0.25">
      <c r="L127" s="212"/>
    </row>
    <row r="128" spans="12:12" x14ac:dyDescent="0.25">
      <c r="L128" s="212"/>
    </row>
    <row r="129" spans="12:12" x14ac:dyDescent="0.25">
      <c r="L129" s="212"/>
    </row>
    <row r="130" spans="12:12" x14ac:dyDescent="0.25">
      <c r="L130" s="212"/>
    </row>
    <row r="131" spans="12:12" x14ac:dyDescent="0.25">
      <c r="L131" s="212"/>
    </row>
    <row r="132" spans="12:12" x14ac:dyDescent="0.25">
      <c r="L132" s="212"/>
    </row>
    <row r="133" spans="12:12" x14ac:dyDescent="0.25">
      <c r="L133" s="212"/>
    </row>
    <row r="134" spans="12:12" x14ac:dyDescent="0.25">
      <c r="L134" s="212"/>
    </row>
    <row r="135" spans="12:12" x14ac:dyDescent="0.25">
      <c r="L135" s="212"/>
    </row>
    <row r="136" spans="12:12" x14ac:dyDescent="0.25">
      <c r="L136" s="212"/>
    </row>
    <row r="137" spans="12:12" x14ac:dyDescent="0.25">
      <c r="L137" s="212"/>
    </row>
    <row r="138" spans="12:12" x14ac:dyDescent="0.25">
      <c r="L138" s="212"/>
    </row>
    <row r="139" spans="12:12" x14ac:dyDescent="0.25">
      <c r="L139" s="212"/>
    </row>
    <row r="140" spans="12:12" x14ac:dyDescent="0.25">
      <c r="L140" s="212"/>
    </row>
    <row r="141" spans="12:12" x14ac:dyDescent="0.25">
      <c r="L141" s="212"/>
    </row>
    <row r="142" spans="12:12" x14ac:dyDescent="0.25">
      <c r="L142" s="212"/>
    </row>
    <row r="143" spans="12:12" x14ac:dyDescent="0.25">
      <c r="L143" s="212"/>
    </row>
    <row r="144" spans="12:12" x14ac:dyDescent="0.25">
      <c r="L144" s="212"/>
    </row>
    <row r="145" spans="12:12" x14ac:dyDescent="0.25">
      <c r="L145" s="212"/>
    </row>
    <row r="146" spans="12:12" x14ac:dyDescent="0.25">
      <c r="L146" s="212"/>
    </row>
    <row r="147" spans="12:12" x14ac:dyDescent="0.25">
      <c r="L147" s="212"/>
    </row>
    <row r="148" spans="12:12" x14ac:dyDescent="0.25">
      <c r="L148" s="212"/>
    </row>
    <row r="149" spans="12:12" x14ac:dyDescent="0.25">
      <c r="L149" s="212"/>
    </row>
    <row r="150" spans="12:12" x14ac:dyDescent="0.25">
      <c r="L150" s="212"/>
    </row>
    <row r="151" spans="12:12" x14ac:dyDescent="0.25">
      <c r="L151" s="212"/>
    </row>
    <row r="152" spans="12:12" x14ac:dyDescent="0.25">
      <c r="L152" s="212"/>
    </row>
    <row r="153" spans="12:12" x14ac:dyDescent="0.25">
      <c r="L153" s="212"/>
    </row>
    <row r="154" spans="12:12" x14ac:dyDescent="0.25">
      <c r="L154" s="212"/>
    </row>
    <row r="155" spans="12:12" x14ac:dyDescent="0.25">
      <c r="L155" s="212"/>
    </row>
    <row r="156" spans="12:12" x14ac:dyDescent="0.25">
      <c r="L156" s="212"/>
    </row>
    <row r="157" spans="12:12" x14ac:dyDescent="0.25">
      <c r="L157" s="212"/>
    </row>
    <row r="158" spans="12:12" x14ac:dyDescent="0.25">
      <c r="L158" s="212"/>
    </row>
    <row r="159" spans="12:12" x14ac:dyDescent="0.25">
      <c r="L159" s="212"/>
    </row>
    <row r="160" spans="12:12" x14ac:dyDescent="0.25">
      <c r="L160" s="212"/>
    </row>
    <row r="161" spans="12:12" x14ac:dyDescent="0.25">
      <c r="L161" s="212"/>
    </row>
    <row r="162" spans="12:12" x14ac:dyDescent="0.25">
      <c r="L162" s="212"/>
    </row>
    <row r="163" spans="12:12" x14ac:dyDescent="0.25">
      <c r="L163" s="212"/>
    </row>
    <row r="164" spans="12:12" x14ac:dyDescent="0.25">
      <c r="L164" s="212"/>
    </row>
    <row r="165" spans="12:12" x14ac:dyDescent="0.25">
      <c r="L165" s="212"/>
    </row>
    <row r="166" spans="12:12" x14ac:dyDescent="0.25">
      <c r="L166" s="212"/>
    </row>
    <row r="167" spans="12:12" x14ac:dyDescent="0.25">
      <c r="L167" s="212"/>
    </row>
    <row r="168" spans="12:12" x14ac:dyDescent="0.25">
      <c r="L168" s="212"/>
    </row>
    <row r="169" spans="12:12" x14ac:dyDescent="0.25">
      <c r="L169" s="212"/>
    </row>
    <row r="170" spans="12:12" x14ac:dyDescent="0.25">
      <c r="L170" s="212"/>
    </row>
    <row r="171" spans="12:12" x14ac:dyDescent="0.25">
      <c r="L171" s="212"/>
    </row>
    <row r="172" spans="12:12" x14ac:dyDescent="0.25">
      <c r="L172" s="212"/>
    </row>
    <row r="173" spans="12:12" x14ac:dyDescent="0.25">
      <c r="L173" s="212"/>
    </row>
    <row r="174" spans="12:12" x14ac:dyDescent="0.25">
      <c r="L174" s="212"/>
    </row>
    <row r="175" spans="12:12" x14ac:dyDescent="0.25">
      <c r="L175" s="212"/>
    </row>
    <row r="176" spans="12:12" x14ac:dyDescent="0.25">
      <c r="L176" s="212"/>
    </row>
    <row r="177" spans="12:12" x14ac:dyDescent="0.25">
      <c r="L177" s="212"/>
    </row>
    <row r="178" spans="12:12" x14ac:dyDescent="0.25">
      <c r="L178" s="212"/>
    </row>
    <row r="179" spans="12:12" x14ac:dyDescent="0.25">
      <c r="L179" s="212"/>
    </row>
    <row r="180" spans="12:12" x14ac:dyDescent="0.25">
      <c r="L180" s="212"/>
    </row>
    <row r="181" spans="12:12" x14ac:dyDescent="0.25">
      <c r="L181" s="212"/>
    </row>
    <row r="182" spans="12:12" x14ac:dyDescent="0.25">
      <c r="L182" s="212"/>
    </row>
    <row r="183" spans="12:12" x14ac:dyDescent="0.25">
      <c r="L183" s="212"/>
    </row>
    <row r="184" spans="12:12" x14ac:dyDescent="0.25">
      <c r="L184" s="212"/>
    </row>
    <row r="185" spans="12:12" x14ac:dyDescent="0.25">
      <c r="L185" s="212"/>
    </row>
    <row r="186" spans="12:12" x14ac:dyDescent="0.25">
      <c r="L186" s="212"/>
    </row>
    <row r="187" spans="12:12" x14ac:dyDescent="0.25">
      <c r="L187" s="212"/>
    </row>
    <row r="188" spans="12:12" x14ac:dyDescent="0.25">
      <c r="L188" s="212"/>
    </row>
    <row r="189" spans="12:12" x14ac:dyDescent="0.25">
      <c r="L189" s="212"/>
    </row>
    <row r="190" spans="12:12" x14ac:dyDescent="0.25">
      <c r="L190" s="212"/>
    </row>
    <row r="191" spans="12:12" x14ac:dyDescent="0.25">
      <c r="L191" s="212"/>
    </row>
    <row r="192" spans="12:12" x14ac:dyDescent="0.25">
      <c r="L192" s="212"/>
    </row>
    <row r="193" spans="12:12" x14ac:dyDescent="0.25">
      <c r="L193" s="212"/>
    </row>
    <row r="194" spans="12:12" x14ac:dyDescent="0.25">
      <c r="L194" s="212"/>
    </row>
    <row r="195" spans="12:12" x14ac:dyDescent="0.25">
      <c r="L195" s="212"/>
    </row>
    <row r="196" spans="12:12" x14ac:dyDescent="0.25">
      <c r="L196" s="212"/>
    </row>
    <row r="197" spans="12:12" x14ac:dyDescent="0.25">
      <c r="L197" s="212"/>
    </row>
    <row r="198" spans="12:12" x14ac:dyDescent="0.25">
      <c r="L198" s="212"/>
    </row>
    <row r="199" spans="12:12" x14ac:dyDescent="0.25">
      <c r="L199" s="212"/>
    </row>
    <row r="200" spans="12:12" x14ac:dyDescent="0.25">
      <c r="L200" s="212"/>
    </row>
    <row r="201" spans="12:12" x14ac:dyDescent="0.25">
      <c r="L201" s="212"/>
    </row>
    <row r="202" spans="12:12" x14ac:dyDescent="0.25">
      <c r="L202" s="212"/>
    </row>
    <row r="203" spans="12:12" x14ac:dyDescent="0.25">
      <c r="L203" s="212"/>
    </row>
    <row r="204" spans="12:12" x14ac:dyDescent="0.25">
      <c r="L204" s="212"/>
    </row>
    <row r="205" spans="12:12" x14ac:dyDescent="0.25">
      <c r="L205" s="212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549A-B495-4564-BFE0-CDD9D0C89D0D}">
  <sheetPr codeName="Planilha16">
    <tabColor rgb="FF00B0F0"/>
  </sheetPr>
  <dimension ref="A1:L6"/>
  <sheetViews>
    <sheetView workbookViewId="0">
      <selection activeCell="B2" sqref="A2:B2"/>
    </sheetView>
  </sheetViews>
  <sheetFormatPr defaultRowHeight="15" x14ac:dyDescent="0.25"/>
  <cols>
    <col min="1" max="1" width="24" style="201" bestFit="1" customWidth="1"/>
    <col min="2" max="2" width="17.5703125" style="201" bestFit="1" customWidth="1"/>
    <col min="3" max="4" width="9.140625" style="201"/>
    <col min="5" max="5" width="26.140625" style="202" bestFit="1" customWidth="1"/>
    <col min="6" max="6" width="15.140625" style="201" bestFit="1" customWidth="1"/>
    <col min="7" max="9" width="9.140625" style="201"/>
    <col min="10" max="10" width="24.85546875" style="214" bestFit="1" customWidth="1"/>
    <col min="11" max="11" width="10.7109375" style="214" bestFit="1" customWidth="1"/>
    <col min="12" max="12" width="12.42578125" style="215" bestFit="1" customWidth="1"/>
    <col min="13" max="16384" width="9.140625" style="201"/>
  </cols>
  <sheetData>
    <row r="1" spans="1:12" ht="20.25" thickTop="1" thickBot="1" x14ac:dyDescent="0.35">
      <c r="A1" s="198" t="s">
        <v>196</v>
      </c>
      <c r="B1" s="198" t="s">
        <v>197</v>
      </c>
      <c r="C1" s="199"/>
      <c r="D1" s="199"/>
      <c r="E1" s="200" t="s">
        <v>461</v>
      </c>
      <c r="F1" s="198" t="s">
        <v>67</v>
      </c>
      <c r="J1" s="478" t="s">
        <v>199</v>
      </c>
      <c r="K1" s="478"/>
      <c r="L1" s="478"/>
    </row>
    <row r="2" spans="1:12" ht="20.25" thickTop="1" thickBot="1" x14ac:dyDescent="0.35">
      <c r="A2" s="100"/>
      <c r="B2" s="156"/>
      <c r="E2" s="113">
        <f>B2+SUM(L$89:L$1048576)</f>
        <v>0</v>
      </c>
      <c r="F2" s="100">
        <v>45371</v>
      </c>
      <c r="J2" s="254"/>
      <c r="K2" s="255"/>
      <c r="L2" s="256"/>
    </row>
    <row r="3" spans="1:12" ht="15.75" thickTop="1" x14ac:dyDescent="0.25">
      <c r="E3" s="201"/>
    </row>
    <row r="4" spans="1:12" x14ac:dyDescent="0.25">
      <c r="E4" s="201"/>
    </row>
    <row r="5" spans="1:12" x14ac:dyDescent="0.25">
      <c r="E5" s="201"/>
    </row>
    <row r="6" spans="1:12" x14ac:dyDescent="0.25">
      <c r="E6" s="201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AB93-9A98-4247-BCE5-E7B0C8D765AF}">
  <sheetPr codeName="Planilha10">
    <tabColor rgb="FF00B050"/>
  </sheetPr>
  <dimension ref="A1:L3"/>
  <sheetViews>
    <sheetView workbookViewId="0">
      <selection activeCell="J19" sqref="J19"/>
    </sheetView>
  </sheetViews>
  <sheetFormatPr defaultRowHeight="15" x14ac:dyDescent="0.25"/>
  <cols>
    <col min="1" max="1" width="24" style="61" bestFit="1" customWidth="1"/>
    <col min="2" max="2" width="17.5703125" style="61" bestFit="1" customWidth="1"/>
    <col min="3" max="4" width="9.140625" style="61"/>
    <col min="5" max="5" width="24.85546875" style="114" bestFit="1" customWidth="1"/>
    <col min="6" max="6" width="15.140625" style="61" bestFit="1" customWidth="1"/>
    <col min="7" max="9" width="9.140625" style="61"/>
    <col min="10" max="10" width="24.85546875" style="61" bestFit="1" customWidth="1"/>
    <col min="11" max="11" width="10.7109375" style="61" bestFit="1" customWidth="1"/>
    <col min="12" max="12" width="12.42578125" style="111" bestFit="1" customWidth="1"/>
    <col min="13" max="16384" width="9.140625" style="61"/>
  </cols>
  <sheetData>
    <row r="1" spans="1:12" ht="20.25" thickTop="1" thickBot="1" x14ac:dyDescent="0.35">
      <c r="A1" s="70" t="s">
        <v>196</v>
      </c>
      <c r="B1" s="70" t="s">
        <v>197</v>
      </c>
      <c r="C1" s="65"/>
      <c r="D1" s="65"/>
      <c r="E1" s="112" t="s">
        <v>198</v>
      </c>
      <c r="F1" s="70" t="s">
        <v>67</v>
      </c>
      <c r="J1" s="479" t="s">
        <v>199</v>
      </c>
      <c r="K1" s="479"/>
      <c r="L1" s="479"/>
    </row>
    <row r="2" spans="1:12" ht="20.25" thickTop="1" thickBot="1" x14ac:dyDescent="0.35">
      <c r="A2" s="100"/>
      <c r="B2" s="156"/>
      <c r="E2" s="113"/>
      <c r="F2" s="100"/>
      <c r="J2" s="72"/>
      <c r="K2" s="73"/>
      <c r="L2" s="110"/>
    </row>
    <row r="3" spans="1:12" ht="15.75" thickTop="1" x14ac:dyDescent="0.25"/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C382-C3FE-455F-A351-06D35AB2177B}">
  <sheetPr codeName="Planilha4"/>
  <dimension ref="A1:H53"/>
  <sheetViews>
    <sheetView zoomScale="39" zoomScaleNormal="39" workbookViewId="0">
      <selection activeCell="T36" sqref="T36"/>
    </sheetView>
  </sheetViews>
  <sheetFormatPr defaultRowHeight="28.5" x14ac:dyDescent="0.4"/>
  <cols>
    <col min="1" max="1" width="56.5703125" style="217" bestFit="1" customWidth="1"/>
    <col min="2" max="2" width="14.140625" style="233" bestFit="1" customWidth="1"/>
    <col min="3" max="3" width="20.7109375" style="233" customWidth="1"/>
    <col min="5" max="7" width="9.140625" style="227"/>
    <col min="8" max="8" width="35.28515625" style="228" customWidth="1"/>
  </cols>
  <sheetData>
    <row r="1" spans="1:8" ht="27.75" thickTop="1" thickBot="1" x14ac:dyDescent="0.45">
      <c r="A1" s="486" t="s">
        <v>450</v>
      </c>
      <c r="B1" s="487"/>
      <c r="C1" s="488"/>
      <c r="E1" s="507">
        <v>45897</v>
      </c>
      <c r="F1" s="508"/>
      <c r="G1" s="508"/>
      <c r="H1" s="509"/>
    </row>
    <row r="2" spans="1:8" ht="27.75" thickTop="1" thickBot="1" x14ac:dyDescent="0.45">
      <c r="A2" s="219" t="s">
        <v>97</v>
      </c>
      <c r="B2" s="234" t="s">
        <v>118</v>
      </c>
      <c r="C2" s="231" t="s">
        <v>99</v>
      </c>
      <c r="E2" s="510"/>
      <c r="F2" s="511"/>
      <c r="G2" s="511"/>
      <c r="H2" s="512"/>
    </row>
    <row r="3" spans="1:8" ht="24.75" customHeight="1" thickTop="1" thickBot="1" x14ac:dyDescent="0.45">
      <c r="A3" s="220" t="s">
        <v>440</v>
      </c>
      <c r="B3" s="235">
        <v>0</v>
      </c>
      <c r="C3" s="226">
        <v>0</v>
      </c>
      <c r="E3" s="495" t="s">
        <v>451</v>
      </c>
      <c r="F3" s="496"/>
      <c r="G3" s="497"/>
      <c r="H3" s="513">
        <v>260</v>
      </c>
    </row>
    <row r="4" spans="1:8" ht="24.75" customHeight="1" thickTop="1" thickBot="1" x14ac:dyDescent="0.45">
      <c r="A4" s="221" t="s">
        <v>116</v>
      </c>
      <c r="B4" s="236">
        <v>0</v>
      </c>
      <c r="C4" s="226">
        <v>0</v>
      </c>
      <c r="E4" s="498"/>
      <c r="F4" s="499"/>
      <c r="G4" s="500"/>
      <c r="H4" s="514"/>
    </row>
    <row r="5" spans="1:8" ht="27.75" thickTop="1" thickBot="1" x14ac:dyDescent="0.45">
      <c r="A5" s="222" t="s">
        <v>441</v>
      </c>
      <c r="B5" s="236">
        <v>0</v>
      </c>
      <c r="C5" s="226">
        <v>0</v>
      </c>
      <c r="E5" s="501"/>
      <c r="F5" s="502"/>
      <c r="G5" s="503"/>
      <c r="H5" s="515"/>
    </row>
    <row r="6" spans="1:8" ht="27.75" thickTop="1" thickBot="1" x14ac:dyDescent="0.45">
      <c r="A6" s="222" t="s">
        <v>50</v>
      </c>
      <c r="B6" s="236">
        <v>0</v>
      </c>
      <c r="C6" s="226">
        <v>0</v>
      </c>
      <c r="E6" s="495" t="s">
        <v>452</v>
      </c>
      <c r="F6" s="496"/>
      <c r="G6" s="497"/>
      <c r="H6" s="504">
        <v>104</v>
      </c>
    </row>
    <row r="7" spans="1:8" ht="27.75" thickTop="1" thickBot="1" x14ac:dyDescent="0.45">
      <c r="A7" s="223" t="s">
        <v>431</v>
      </c>
      <c r="B7" s="236">
        <v>0</v>
      </c>
      <c r="C7" s="226">
        <v>0</v>
      </c>
      <c r="E7" s="498"/>
      <c r="F7" s="499"/>
      <c r="G7" s="500"/>
      <c r="H7" s="505"/>
    </row>
    <row r="8" spans="1:8" ht="27.75" thickTop="1" thickBot="1" x14ac:dyDescent="0.45">
      <c r="A8" s="224"/>
      <c r="B8" s="232"/>
      <c r="C8" s="232"/>
      <c r="E8" s="501"/>
      <c r="F8" s="502"/>
      <c r="G8" s="503"/>
      <c r="H8" s="506"/>
    </row>
    <row r="9" spans="1:8" ht="27.75" thickTop="1" thickBot="1" x14ac:dyDescent="0.45">
      <c r="A9" s="223" t="s">
        <v>432</v>
      </c>
      <c r="B9" s="237">
        <v>20</v>
      </c>
      <c r="C9" s="226">
        <v>10</v>
      </c>
      <c r="E9" s="495" t="s">
        <v>454</v>
      </c>
      <c r="F9" s="496"/>
      <c r="G9" s="497"/>
      <c r="H9" s="504">
        <v>2</v>
      </c>
    </row>
    <row r="10" spans="1:8" ht="27.75" thickTop="1" thickBot="1" x14ac:dyDescent="0.45">
      <c r="A10" s="220" t="s">
        <v>433</v>
      </c>
      <c r="B10" s="236">
        <v>0</v>
      </c>
      <c r="C10" s="226">
        <v>0</v>
      </c>
      <c r="E10" s="498"/>
      <c r="F10" s="499"/>
      <c r="G10" s="500"/>
      <c r="H10" s="505"/>
    </row>
    <row r="11" spans="1:8" ht="27.75" thickTop="1" thickBot="1" x14ac:dyDescent="0.45">
      <c r="A11" s="223" t="s">
        <v>434</v>
      </c>
      <c r="B11" s="236">
        <v>0</v>
      </c>
      <c r="C11" s="226">
        <v>0</v>
      </c>
      <c r="E11" s="501"/>
      <c r="F11" s="502"/>
      <c r="G11" s="503"/>
      <c r="H11" s="506"/>
    </row>
    <row r="12" spans="1:8" ht="27.75" thickTop="1" thickBot="1" x14ac:dyDescent="0.45">
      <c r="A12" s="223" t="s">
        <v>435</v>
      </c>
      <c r="B12" s="236">
        <v>0</v>
      </c>
      <c r="C12" s="226">
        <v>0</v>
      </c>
      <c r="E12"/>
      <c r="F12"/>
      <c r="G12"/>
      <c r="H12"/>
    </row>
    <row r="13" spans="1:8" ht="23.25" customHeight="1" thickTop="1" thickBot="1" x14ac:dyDescent="0.45">
      <c r="A13" s="218"/>
      <c r="B13" s="232"/>
      <c r="C13" s="232"/>
      <c r="E13"/>
      <c r="F13"/>
      <c r="G13"/>
      <c r="H13"/>
    </row>
    <row r="14" spans="1:8" ht="26.25" customHeight="1" thickTop="1" thickBot="1" x14ac:dyDescent="0.45">
      <c r="A14" s="223" t="s">
        <v>12</v>
      </c>
      <c r="B14" s="236">
        <v>20</v>
      </c>
      <c r="C14" s="226">
        <v>50</v>
      </c>
      <c r="E14" s="489" t="s">
        <v>453</v>
      </c>
      <c r="F14" s="490"/>
      <c r="G14" s="490"/>
      <c r="H14" s="491"/>
    </row>
    <row r="15" spans="1:8" ht="24.75" customHeight="1" thickTop="1" thickBot="1" x14ac:dyDescent="0.45">
      <c r="A15" s="223" t="s">
        <v>436</v>
      </c>
      <c r="B15" s="236">
        <v>0</v>
      </c>
      <c r="C15" s="226">
        <v>0</v>
      </c>
      <c r="E15" s="492"/>
      <c r="F15" s="493"/>
      <c r="G15" s="493"/>
      <c r="H15" s="494"/>
    </row>
    <row r="16" spans="1:8" ht="24.75" customHeight="1" thickTop="1" thickBot="1" x14ac:dyDescent="0.45">
      <c r="A16" s="225" t="s">
        <v>55</v>
      </c>
      <c r="B16" s="236">
        <v>0</v>
      </c>
      <c r="C16" s="226">
        <v>0</v>
      </c>
      <c r="E16" s="480" t="s">
        <v>58</v>
      </c>
      <c r="F16" s="481"/>
      <c r="G16" s="481"/>
      <c r="H16" s="230" t="s">
        <v>493</v>
      </c>
    </row>
    <row r="17" spans="1:8" ht="27.75" customHeight="1" thickTop="1" thickBot="1" x14ac:dyDescent="0.45">
      <c r="A17" s="223" t="s">
        <v>115</v>
      </c>
      <c r="B17" s="236">
        <v>0</v>
      </c>
      <c r="C17" s="226">
        <v>0</v>
      </c>
      <c r="E17" s="482"/>
      <c r="F17" s="483"/>
      <c r="G17" s="483"/>
      <c r="H17" s="230" t="s">
        <v>494</v>
      </c>
    </row>
    <row r="18" spans="1:8" ht="27.75" customHeight="1" thickTop="1" thickBot="1" x14ac:dyDescent="0.45">
      <c r="A18" s="223" t="s">
        <v>13</v>
      </c>
      <c r="B18" s="236">
        <v>0</v>
      </c>
      <c r="C18" s="226">
        <v>0</v>
      </c>
      <c r="E18" s="480" t="s">
        <v>58</v>
      </c>
      <c r="F18" s="481"/>
      <c r="G18" s="481"/>
      <c r="H18" s="230" t="s">
        <v>493</v>
      </c>
    </row>
    <row r="19" spans="1:8" ht="27.75" customHeight="1" thickTop="1" thickBot="1" x14ac:dyDescent="0.45">
      <c r="A19" s="223" t="s">
        <v>14</v>
      </c>
      <c r="B19" s="236">
        <v>0</v>
      </c>
      <c r="C19" s="226">
        <v>0</v>
      </c>
      <c r="E19" s="484"/>
      <c r="F19" s="485"/>
      <c r="G19" s="485"/>
      <c r="H19" s="229" t="s">
        <v>494</v>
      </c>
    </row>
    <row r="20" spans="1:8" ht="27.75" customHeight="1" thickTop="1" thickBot="1" x14ac:dyDescent="0.45">
      <c r="A20" s="223" t="s">
        <v>51</v>
      </c>
      <c r="B20" s="236">
        <v>40</v>
      </c>
      <c r="C20" s="226">
        <v>100</v>
      </c>
    </row>
    <row r="21" spans="1:8" ht="27.75" customHeight="1" thickTop="1" thickBot="1" x14ac:dyDescent="0.45">
      <c r="A21" s="224"/>
      <c r="B21" s="232"/>
      <c r="C21" s="232"/>
    </row>
    <row r="22" spans="1:8" ht="27.75" customHeight="1" thickTop="1" thickBot="1" x14ac:dyDescent="0.45">
      <c r="A22" s="221" t="s">
        <v>114</v>
      </c>
      <c r="B22" s="236">
        <v>0</v>
      </c>
      <c r="C22" s="226">
        <v>0</v>
      </c>
    </row>
    <row r="23" spans="1:8" ht="27.75" customHeight="1" thickTop="1" thickBot="1" x14ac:dyDescent="0.45">
      <c r="A23" s="221" t="s">
        <v>15</v>
      </c>
      <c r="B23" s="236">
        <v>0</v>
      </c>
      <c r="C23" s="226">
        <v>0</v>
      </c>
    </row>
    <row r="24" spans="1:8" ht="27.75" customHeight="1" thickTop="1" thickBot="1" x14ac:dyDescent="0.45">
      <c r="A24" s="221" t="s">
        <v>17</v>
      </c>
      <c r="B24" s="236">
        <v>0</v>
      </c>
      <c r="C24" s="226">
        <v>0</v>
      </c>
    </row>
    <row r="25" spans="1:8" ht="27.75" customHeight="1" thickTop="1" thickBot="1" x14ac:dyDescent="0.45">
      <c r="A25" s="221" t="s">
        <v>18</v>
      </c>
      <c r="B25" s="236">
        <v>0</v>
      </c>
      <c r="C25" s="226">
        <v>0</v>
      </c>
    </row>
    <row r="26" spans="1:8" ht="27.75" customHeight="1" thickTop="1" thickBot="1" x14ac:dyDescent="0.45">
      <c r="A26" s="218"/>
      <c r="B26" s="232"/>
      <c r="C26" s="232"/>
    </row>
    <row r="27" spans="1:8" ht="27.75" customHeight="1" thickTop="1" thickBot="1" x14ac:dyDescent="0.45">
      <c r="A27" s="221" t="s">
        <v>443</v>
      </c>
      <c r="B27" s="236">
        <v>0</v>
      </c>
      <c r="C27" s="226">
        <v>0</v>
      </c>
    </row>
    <row r="28" spans="1:8" ht="27.75" customHeight="1" thickTop="1" thickBot="1" x14ac:dyDescent="0.45">
      <c r="A28" s="221" t="s">
        <v>444</v>
      </c>
      <c r="B28" s="236">
        <v>0</v>
      </c>
      <c r="C28" s="226">
        <v>0</v>
      </c>
    </row>
    <row r="29" spans="1:8" ht="27.75" customHeight="1" thickTop="1" thickBot="1" x14ac:dyDescent="0.45">
      <c r="A29" s="221" t="s">
        <v>117</v>
      </c>
      <c r="B29" s="236">
        <v>0</v>
      </c>
      <c r="C29" s="226">
        <v>0</v>
      </c>
    </row>
    <row r="30" spans="1:8" ht="27.75" customHeight="1" thickTop="1" thickBot="1" x14ac:dyDescent="0.45">
      <c r="A30" s="218"/>
      <c r="B30" s="232"/>
      <c r="C30" s="232"/>
    </row>
    <row r="31" spans="1:8" ht="27.75" customHeight="1" thickTop="1" thickBot="1" x14ac:dyDescent="0.45">
      <c r="A31" s="221" t="s">
        <v>446</v>
      </c>
      <c r="B31" s="236">
        <v>20</v>
      </c>
      <c r="C31" s="226">
        <v>50</v>
      </c>
    </row>
    <row r="32" spans="1:8" ht="27.75" customHeight="1" thickTop="1" thickBot="1" x14ac:dyDescent="0.45">
      <c r="A32" s="221" t="s">
        <v>447</v>
      </c>
      <c r="B32" s="236">
        <v>20</v>
      </c>
      <c r="C32" s="226">
        <v>50</v>
      </c>
    </row>
    <row r="33" spans="1:3" ht="27.75" customHeight="1" thickTop="1" thickBot="1" x14ac:dyDescent="0.45">
      <c r="A33" s="221" t="s">
        <v>448</v>
      </c>
      <c r="B33" s="236">
        <v>0</v>
      </c>
      <c r="C33" s="226">
        <v>0</v>
      </c>
    </row>
    <row r="34" spans="1:3" ht="27.75" customHeight="1" thickTop="1" thickBot="1" x14ac:dyDescent="0.45">
      <c r="A34" s="221" t="s">
        <v>445</v>
      </c>
      <c r="B34" s="236">
        <v>0</v>
      </c>
      <c r="C34" s="226">
        <v>0</v>
      </c>
    </row>
    <row r="35" spans="1:3" ht="27.75" customHeight="1" thickTop="1" thickBot="1" x14ac:dyDescent="0.45">
      <c r="A35" s="221" t="s">
        <v>23</v>
      </c>
      <c r="B35" s="236">
        <v>0</v>
      </c>
      <c r="C35" s="226">
        <v>0</v>
      </c>
    </row>
    <row r="36" spans="1:3" ht="27.75" customHeight="1" thickTop="1" thickBot="1" x14ac:dyDescent="0.45">
      <c r="A36" s="224"/>
      <c r="B36" s="232"/>
      <c r="C36" s="232"/>
    </row>
    <row r="37" spans="1:3" ht="27.75" customHeight="1" thickTop="1" thickBot="1" x14ac:dyDescent="0.45">
      <c r="A37" s="223" t="s">
        <v>449</v>
      </c>
      <c r="B37" s="235">
        <v>0</v>
      </c>
      <c r="C37" s="226">
        <v>0</v>
      </c>
    </row>
    <row r="38" spans="1:3" ht="27.75" customHeight="1" thickTop="1" thickBot="1" x14ac:dyDescent="0.45">
      <c r="A38" s="223" t="s">
        <v>25</v>
      </c>
      <c r="B38" s="235">
        <v>0</v>
      </c>
      <c r="C38" s="226">
        <v>0</v>
      </c>
    </row>
    <row r="39" spans="1:3" ht="27.75" customHeight="1" thickTop="1" thickBot="1" x14ac:dyDescent="0.45">
      <c r="A39" s="223" t="s">
        <v>26</v>
      </c>
      <c r="B39" s="235">
        <v>0</v>
      </c>
      <c r="C39" s="226">
        <v>0</v>
      </c>
    </row>
    <row r="40" spans="1:3" ht="27.75" customHeight="1" thickTop="1" thickBot="1" x14ac:dyDescent="0.45">
      <c r="A40" s="223" t="s">
        <v>27</v>
      </c>
      <c r="B40" s="235">
        <v>0</v>
      </c>
      <c r="C40" s="226">
        <v>0</v>
      </c>
    </row>
    <row r="41" spans="1:3" ht="27.75" customHeight="1" thickTop="1" thickBot="1" x14ac:dyDescent="0.45">
      <c r="A41" s="223" t="s">
        <v>28</v>
      </c>
      <c r="B41" s="235">
        <v>0</v>
      </c>
      <c r="C41" s="226">
        <v>0</v>
      </c>
    </row>
    <row r="42" spans="1:3" ht="27.75" customHeight="1" thickTop="1" thickBot="1" x14ac:dyDescent="0.45">
      <c r="A42" s="218"/>
      <c r="B42" s="232"/>
      <c r="C42" s="232"/>
    </row>
    <row r="43" spans="1:3" ht="27.75" customHeight="1" thickTop="1" thickBot="1" x14ac:dyDescent="0.45">
      <c r="A43" s="223" t="s">
        <v>52</v>
      </c>
      <c r="B43" s="236">
        <v>0</v>
      </c>
      <c r="C43" s="226">
        <v>0</v>
      </c>
    </row>
    <row r="44" spans="1:3" ht="27.75" customHeight="1" thickTop="1" thickBot="1" x14ac:dyDescent="0.45">
      <c r="A44" s="223" t="s">
        <v>262</v>
      </c>
      <c r="B44" s="236">
        <v>0</v>
      </c>
      <c r="C44" s="226">
        <v>0</v>
      </c>
    </row>
    <row r="45" spans="1:3" ht="30" customHeight="1" thickTop="1" thickBot="1" x14ac:dyDescent="0.45">
      <c r="A45" s="223" t="s">
        <v>92</v>
      </c>
      <c r="B45" s="236">
        <v>0</v>
      </c>
      <c r="C45" s="226">
        <v>0</v>
      </c>
    </row>
    <row r="46" spans="1:3" ht="27.75" customHeight="1" thickTop="1" x14ac:dyDescent="0.4"/>
    <row r="47" spans="1:3" ht="28.5" customHeight="1" x14ac:dyDescent="0.4"/>
    <row r="48" spans="1:3" ht="27.75" customHeight="1" x14ac:dyDescent="0.4"/>
    <row r="49" ht="28.5" customHeight="1" x14ac:dyDescent="0.4"/>
    <row r="50" ht="27.75" customHeight="1" x14ac:dyDescent="0.4"/>
    <row r="51" ht="28.5" customHeight="1" x14ac:dyDescent="0.4"/>
    <row r="52" ht="27" customHeight="1" x14ac:dyDescent="0.4"/>
    <row r="53" ht="28.5" customHeight="1" x14ac:dyDescent="0.4"/>
  </sheetData>
  <protectedRanges>
    <protectedRange sqref="B37:B41 B31:B35 B27:B29 B22:B25 B14:B20 B3:B7 B9:B12 B43:B45" name="Campos_Pedidos_1"/>
  </protectedRanges>
  <mergeCells count="11">
    <mergeCell ref="E16:G17"/>
    <mergeCell ref="E18:G19"/>
    <mergeCell ref="A1:C1"/>
    <mergeCell ref="E14:H15"/>
    <mergeCell ref="E6:G8"/>
    <mergeCell ref="H6:H8"/>
    <mergeCell ref="E9:G11"/>
    <mergeCell ref="H9:H11"/>
    <mergeCell ref="E1:H2"/>
    <mergeCell ref="E3:G5"/>
    <mergeCell ref="H3:H5"/>
  </mergeCells>
  <pageMargins left="0.511811024" right="0.511811024" top="0.78740157499999996" bottom="0.78740157499999996" header="0.31496062000000002" footer="0.31496062000000002"/>
  <pageSetup paperSize="119" scale="53" fitToWidth="0" fitToHeight="0" orientation="portrait" horizontalDpi="203" verticalDpi="20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08778-E369-4D52-B124-9B15F3C9614C}">
  <sheetPr codeName="Planilha9"/>
  <dimension ref="A1:J51"/>
  <sheetViews>
    <sheetView zoomScale="44" zoomScaleNormal="44" workbookViewId="0">
      <selection activeCell="G27" sqref="G27"/>
    </sheetView>
  </sheetViews>
  <sheetFormatPr defaultRowHeight="26.25" x14ac:dyDescent="0.4"/>
  <cols>
    <col min="1" max="1" width="46.5703125" style="158" bestFit="1" customWidth="1"/>
    <col min="2" max="2" width="72.5703125" style="158" bestFit="1" customWidth="1"/>
    <col min="3" max="3" width="76.85546875" style="158" bestFit="1" customWidth="1"/>
    <col min="4" max="4" width="87.28515625" style="158" bestFit="1" customWidth="1"/>
    <col min="5" max="5" width="59.140625" style="158" bestFit="1" customWidth="1"/>
    <col min="6" max="6" width="31.28515625" style="159" bestFit="1" customWidth="1"/>
    <col min="7" max="7" width="24.85546875" style="162" bestFit="1" customWidth="1"/>
    <col min="8" max="8" width="38" style="160" bestFit="1" customWidth="1"/>
    <col min="9" max="9" width="65.7109375" style="319" bestFit="1" customWidth="1"/>
    <col min="10" max="10" width="13" style="161" customWidth="1"/>
  </cols>
  <sheetData>
    <row r="1" spans="1:10" ht="28.5" x14ac:dyDescent="0.45">
      <c r="A1" s="163" t="s">
        <v>3</v>
      </c>
      <c r="B1" s="164" t="s">
        <v>349</v>
      </c>
      <c r="C1" s="164" t="s">
        <v>256</v>
      </c>
      <c r="D1" s="164" t="s">
        <v>190</v>
      </c>
      <c r="E1" s="164" t="s">
        <v>258</v>
      </c>
      <c r="F1" s="165" t="s">
        <v>191</v>
      </c>
      <c r="G1" s="166" t="s">
        <v>192</v>
      </c>
      <c r="H1" s="167" t="s">
        <v>257</v>
      </c>
      <c r="I1" s="164" t="s">
        <v>204</v>
      </c>
      <c r="J1" s="168" t="s">
        <v>259</v>
      </c>
    </row>
    <row r="2" spans="1:10" x14ac:dyDescent="0.4">
      <c r="A2" s="341" t="s">
        <v>58</v>
      </c>
      <c r="B2" s="176"/>
      <c r="C2" s="176"/>
      <c r="D2" s="176"/>
      <c r="E2" s="176"/>
      <c r="F2" s="177"/>
      <c r="G2" s="178">
        <v>0</v>
      </c>
      <c r="H2" s="179">
        <v>0</v>
      </c>
      <c r="I2" s="318"/>
      <c r="J2" s="180"/>
    </row>
    <row r="3" spans="1:10" x14ac:dyDescent="0.4">
      <c r="A3" s="343" t="s">
        <v>381</v>
      </c>
      <c r="B3" s="176"/>
      <c r="C3" s="176"/>
      <c r="D3" s="176"/>
      <c r="E3" s="176"/>
      <c r="F3" s="177"/>
      <c r="G3" s="178">
        <v>0</v>
      </c>
      <c r="H3" s="179">
        <v>0</v>
      </c>
      <c r="I3" s="318"/>
      <c r="J3" s="180"/>
    </row>
    <row r="4" spans="1:10" x14ac:dyDescent="0.4">
      <c r="A4" s="343" t="s">
        <v>238</v>
      </c>
      <c r="B4" s="176"/>
      <c r="C4" s="176"/>
      <c r="D4" s="176"/>
      <c r="E4" s="176"/>
      <c r="F4" s="177"/>
      <c r="G4" s="178">
        <v>0</v>
      </c>
      <c r="H4" s="179">
        <v>0</v>
      </c>
      <c r="I4" s="318"/>
      <c r="J4" s="180"/>
    </row>
    <row r="5" spans="1:10" x14ac:dyDescent="0.4">
      <c r="A5" s="343" t="s">
        <v>285</v>
      </c>
      <c r="B5" s="176"/>
      <c r="C5" s="176"/>
      <c r="D5" s="176"/>
      <c r="E5" s="176"/>
      <c r="F5" s="177"/>
      <c r="G5" s="178">
        <v>0</v>
      </c>
      <c r="H5" s="179">
        <v>0</v>
      </c>
      <c r="I5" s="318"/>
      <c r="J5" s="180"/>
    </row>
    <row r="6" spans="1:10" x14ac:dyDescent="0.4">
      <c r="A6" s="340" t="s">
        <v>482</v>
      </c>
      <c r="B6" s="321"/>
      <c r="C6" s="321"/>
      <c r="D6" s="321"/>
      <c r="E6" s="321"/>
      <c r="F6" s="322"/>
      <c r="G6" s="324">
        <v>0</v>
      </c>
      <c r="H6" s="326">
        <v>0</v>
      </c>
      <c r="I6" s="328"/>
      <c r="J6" s="330"/>
    </row>
    <row r="7" spans="1:10" x14ac:dyDescent="0.4">
      <c r="A7" s="347" t="s">
        <v>427</v>
      </c>
      <c r="B7" s="176"/>
      <c r="C7" s="176"/>
      <c r="D7" s="176"/>
      <c r="E7" s="176"/>
      <c r="F7" s="177"/>
      <c r="G7" s="178">
        <v>0</v>
      </c>
      <c r="H7" s="179">
        <v>0</v>
      </c>
      <c r="I7" s="318"/>
      <c r="J7" s="180"/>
    </row>
    <row r="8" spans="1:10" x14ac:dyDescent="0.4">
      <c r="A8" s="342" t="s">
        <v>220</v>
      </c>
      <c r="B8" s="176"/>
      <c r="C8" s="176"/>
      <c r="D8" s="176"/>
      <c r="E8" s="176"/>
      <c r="F8" s="177"/>
      <c r="G8" s="178">
        <v>0</v>
      </c>
      <c r="H8" s="179">
        <v>0</v>
      </c>
      <c r="I8" s="318"/>
      <c r="J8" s="180"/>
    </row>
    <row r="9" spans="1:10" x14ac:dyDescent="0.4">
      <c r="A9" s="345" t="s">
        <v>483</v>
      </c>
      <c r="B9" s="321"/>
      <c r="C9" s="321"/>
      <c r="D9" s="321"/>
      <c r="E9" s="321"/>
      <c r="F9" s="322"/>
      <c r="G9" s="324">
        <v>0</v>
      </c>
      <c r="H9" s="326">
        <v>0</v>
      </c>
      <c r="I9" s="328"/>
      <c r="J9" s="330"/>
    </row>
    <row r="10" spans="1:10" x14ac:dyDescent="0.4">
      <c r="A10" s="342" t="s">
        <v>237</v>
      </c>
      <c r="B10" s="176"/>
      <c r="C10" s="176"/>
      <c r="D10" s="176"/>
      <c r="E10" s="176"/>
      <c r="F10" s="177"/>
      <c r="G10" s="178">
        <v>0</v>
      </c>
      <c r="H10" s="179">
        <v>0</v>
      </c>
      <c r="I10" s="318"/>
      <c r="J10" s="180"/>
    </row>
    <row r="11" spans="1:10" x14ac:dyDescent="0.4">
      <c r="A11" s="339" t="s">
        <v>90</v>
      </c>
      <c r="B11" s="176"/>
      <c r="C11" s="176"/>
      <c r="D11" s="176"/>
      <c r="E11" s="176"/>
      <c r="F11" s="177"/>
      <c r="G11" s="178">
        <v>0</v>
      </c>
      <c r="H11" s="179">
        <v>0</v>
      </c>
      <c r="I11" s="318"/>
      <c r="J11" s="180"/>
    </row>
    <row r="12" spans="1:10" x14ac:dyDescent="0.4">
      <c r="A12" s="342" t="s">
        <v>382</v>
      </c>
      <c r="B12" s="176"/>
      <c r="C12" s="176"/>
      <c r="D12" s="176"/>
      <c r="E12" s="176"/>
      <c r="F12" s="177"/>
      <c r="G12" s="178">
        <v>0</v>
      </c>
      <c r="H12" s="179">
        <v>0</v>
      </c>
      <c r="I12" s="318"/>
      <c r="J12" s="180"/>
    </row>
    <row r="13" spans="1:10" x14ac:dyDescent="0.4">
      <c r="A13" s="341" t="s">
        <v>294</v>
      </c>
      <c r="B13" s="176"/>
      <c r="C13" s="176"/>
      <c r="D13" s="176"/>
      <c r="E13" s="176"/>
      <c r="F13" s="177"/>
      <c r="G13" s="178">
        <v>0</v>
      </c>
      <c r="H13" s="179">
        <v>0</v>
      </c>
      <c r="I13" s="318"/>
      <c r="J13" s="180"/>
    </row>
    <row r="14" spans="1:10" x14ac:dyDescent="0.4">
      <c r="A14" s="339" t="s">
        <v>93</v>
      </c>
      <c r="B14" s="176"/>
      <c r="C14" s="176"/>
      <c r="D14" s="176"/>
      <c r="E14" s="176"/>
      <c r="F14" s="177"/>
      <c r="G14" s="178">
        <v>0</v>
      </c>
      <c r="H14" s="179">
        <v>0</v>
      </c>
      <c r="I14" s="318"/>
      <c r="J14" s="180"/>
    </row>
    <row r="15" spans="1:10" x14ac:dyDescent="0.4">
      <c r="A15" s="339" t="s">
        <v>59</v>
      </c>
      <c r="B15" s="176"/>
      <c r="C15" s="176"/>
      <c r="D15" s="176"/>
      <c r="E15" s="176"/>
      <c r="F15" s="177"/>
      <c r="G15" s="178">
        <v>0</v>
      </c>
      <c r="H15" s="179">
        <v>0</v>
      </c>
      <c r="I15" s="318"/>
      <c r="J15" s="180"/>
    </row>
    <row r="16" spans="1:10" x14ac:dyDescent="0.4">
      <c r="A16" s="339" t="s">
        <v>439</v>
      </c>
      <c r="B16" s="176"/>
      <c r="C16" s="176"/>
      <c r="D16" s="176"/>
      <c r="E16" s="176"/>
      <c r="F16" s="177"/>
      <c r="G16" s="178">
        <v>0</v>
      </c>
      <c r="H16" s="179">
        <v>0</v>
      </c>
      <c r="I16" s="318"/>
      <c r="J16" s="180"/>
    </row>
    <row r="17" spans="1:10" x14ac:dyDescent="0.4">
      <c r="A17" s="342" t="s">
        <v>261</v>
      </c>
      <c r="B17" s="176"/>
      <c r="C17" s="176"/>
      <c r="D17" s="176"/>
      <c r="E17" s="176"/>
      <c r="F17" s="177"/>
      <c r="G17" s="178">
        <v>0</v>
      </c>
      <c r="H17" s="179">
        <v>0</v>
      </c>
      <c r="I17" s="318"/>
      <c r="J17" s="180"/>
    </row>
    <row r="18" spans="1:10" x14ac:dyDescent="0.4">
      <c r="A18" s="342" t="s">
        <v>236</v>
      </c>
      <c r="B18" s="176"/>
      <c r="C18" s="176"/>
      <c r="D18" s="176"/>
      <c r="E18" s="176"/>
      <c r="F18" s="177"/>
      <c r="G18" s="178">
        <v>0</v>
      </c>
      <c r="H18" s="179">
        <v>0</v>
      </c>
      <c r="I18" s="318"/>
      <c r="J18" s="180"/>
    </row>
    <row r="19" spans="1:10" x14ac:dyDescent="0.4">
      <c r="A19" s="339" t="s">
        <v>172</v>
      </c>
      <c r="B19" s="176"/>
      <c r="C19" s="176"/>
      <c r="D19" s="176"/>
      <c r="E19" s="176"/>
      <c r="F19" s="177"/>
      <c r="G19" s="178">
        <v>0</v>
      </c>
      <c r="H19" s="179">
        <v>0</v>
      </c>
      <c r="I19" s="318"/>
      <c r="J19" s="180"/>
    </row>
    <row r="20" spans="1:10" x14ac:dyDescent="0.4">
      <c r="A20" s="341" t="s">
        <v>229</v>
      </c>
      <c r="B20" s="176"/>
      <c r="C20" s="176"/>
      <c r="D20" s="176"/>
      <c r="E20" s="181"/>
      <c r="F20" s="177"/>
      <c r="G20" s="178">
        <v>0</v>
      </c>
      <c r="H20" s="179">
        <v>0</v>
      </c>
      <c r="I20" s="318"/>
      <c r="J20" s="180"/>
    </row>
    <row r="21" spans="1:10" x14ac:dyDescent="0.4">
      <c r="A21" s="342" t="s">
        <v>480</v>
      </c>
      <c r="B21" s="176"/>
      <c r="C21" s="176"/>
      <c r="D21" s="176"/>
      <c r="E21" s="176"/>
      <c r="F21" s="177"/>
      <c r="G21" s="178">
        <v>0</v>
      </c>
      <c r="H21" s="179">
        <v>0</v>
      </c>
      <c r="I21" s="318"/>
      <c r="J21" s="180"/>
    </row>
    <row r="22" spans="1:10" x14ac:dyDescent="0.4">
      <c r="A22" s="342" t="s">
        <v>481</v>
      </c>
      <c r="B22" s="176"/>
      <c r="C22" s="176"/>
      <c r="D22" s="176"/>
      <c r="E22" s="176"/>
      <c r="F22" s="177"/>
      <c r="G22" s="178">
        <v>0</v>
      </c>
      <c r="H22" s="179">
        <v>0</v>
      </c>
      <c r="I22" s="318"/>
      <c r="J22" s="180"/>
    </row>
    <row r="23" spans="1:10" x14ac:dyDescent="0.4">
      <c r="A23" s="341" t="s">
        <v>57</v>
      </c>
      <c r="B23" s="176"/>
      <c r="C23" s="176"/>
      <c r="D23" s="176"/>
      <c r="E23" s="176"/>
      <c r="F23" s="177"/>
      <c r="G23" s="178">
        <v>0</v>
      </c>
      <c r="H23" s="179">
        <v>0</v>
      </c>
      <c r="I23" s="318"/>
      <c r="J23" s="180"/>
    </row>
    <row r="24" spans="1:10" x14ac:dyDescent="0.4">
      <c r="A24" s="343" t="s">
        <v>484</v>
      </c>
      <c r="B24" s="176"/>
      <c r="C24" s="176"/>
      <c r="D24" s="176"/>
      <c r="E24" s="176"/>
      <c r="F24" s="177"/>
      <c r="G24" s="178">
        <v>0</v>
      </c>
      <c r="H24" s="179">
        <v>0</v>
      </c>
      <c r="I24" s="318"/>
      <c r="J24" s="180"/>
    </row>
    <row r="25" spans="1:10" x14ac:dyDescent="0.4">
      <c r="A25" s="339" t="s">
        <v>88</v>
      </c>
      <c r="B25" s="176"/>
      <c r="C25" s="176"/>
      <c r="D25" s="176"/>
      <c r="E25" s="176"/>
      <c r="F25" s="177"/>
      <c r="G25" s="178">
        <v>0</v>
      </c>
      <c r="H25" s="179">
        <v>0</v>
      </c>
      <c r="I25" s="318"/>
      <c r="J25" s="180"/>
    </row>
    <row r="26" spans="1:10" x14ac:dyDescent="0.4">
      <c r="A26" s="343" t="s">
        <v>60</v>
      </c>
      <c r="B26" s="176"/>
      <c r="C26" s="176"/>
      <c r="D26" s="176"/>
      <c r="E26" s="176"/>
      <c r="F26" s="177"/>
      <c r="G26" s="178">
        <v>0</v>
      </c>
      <c r="H26" s="179">
        <v>0</v>
      </c>
      <c r="I26" s="318"/>
      <c r="J26" s="180"/>
    </row>
    <row r="27" spans="1:10" x14ac:dyDescent="0.4">
      <c r="A27" s="346" t="s">
        <v>407</v>
      </c>
      <c r="B27" s="320"/>
      <c r="C27" s="320"/>
      <c r="D27" s="320"/>
      <c r="E27" s="320"/>
      <c r="F27" s="323"/>
      <c r="G27" s="325">
        <v>0</v>
      </c>
      <c r="H27" s="327">
        <v>0</v>
      </c>
      <c r="I27" s="329"/>
      <c r="J27" s="320"/>
    </row>
    <row r="28" spans="1:10" x14ac:dyDescent="0.4">
      <c r="A28" s="175" t="s">
        <v>397</v>
      </c>
      <c r="B28" s="176"/>
      <c r="C28" s="176"/>
      <c r="D28" s="176"/>
      <c r="E28" s="176"/>
      <c r="F28" s="177"/>
      <c r="G28" s="178">
        <v>0</v>
      </c>
      <c r="H28" s="179">
        <v>0</v>
      </c>
      <c r="I28" s="318"/>
      <c r="J28" s="180"/>
    </row>
    <row r="29" spans="1:10" x14ac:dyDescent="0.4">
      <c r="A29" s="344" t="s">
        <v>61</v>
      </c>
      <c r="B29" s="320"/>
      <c r="C29" s="320"/>
      <c r="D29" s="320"/>
      <c r="E29" s="338"/>
      <c r="F29" s="323"/>
      <c r="G29" s="325">
        <v>0</v>
      </c>
      <c r="H29" s="327">
        <v>0</v>
      </c>
      <c r="I29" s="329"/>
      <c r="J29" s="320"/>
    </row>
    <row r="30" spans="1:10" x14ac:dyDescent="0.4">
      <c r="A30" s="339" t="s">
        <v>328</v>
      </c>
      <c r="B30" s="176"/>
      <c r="C30" s="176"/>
      <c r="D30" s="176"/>
      <c r="E30" s="176"/>
      <c r="F30" s="177"/>
      <c r="G30" s="178">
        <v>0</v>
      </c>
      <c r="H30" s="179">
        <v>0</v>
      </c>
      <c r="I30" s="318"/>
      <c r="J30" s="180"/>
    </row>
    <row r="31" spans="1:10" x14ac:dyDescent="0.4">
      <c r="A31" s="342" t="s">
        <v>91</v>
      </c>
      <c r="B31" s="176"/>
      <c r="C31" s="176"/>
      <c r="D31" s="176"/>
      <c r="E31" s="181"/>
      <c r="F31" s="177"/>
      <c r="G31" s="178">
        <v>0</v>
      </c>
      <c r="H31" s="179">
        <v>0</v>
      </c>
      <c r="I31" s="318"/>
      <c r="J31" s="180"/>
    </row>
    <row r="32" spans="1:10" x14ac:dyDescent="0.4">
      <c r="A32" s="339" t="s">
        <v>113</v>
      </c>
      <c r="B32" s="176"/>
      <c r="C32" s="176"/>
      <c r="D32" s="176"/>
      <c r="E32" s="181"/>
      <c r="F32" s="177"/>
      <c r="G32" s="178">
        <v>0</v>
      </c>
      <c r="H32" s="179">
        <v>0</v>
      </c>
      <c r="I32" s="318"/>
      <c r="J32" s="180"/>
    </row>
    <row r="33" spans="1:10" x14ac:dyDescent="0.4">
      <c r="A33" s="339" t="s">
        <v>54</v>
      </c>
      <c r="B33" s="176"/>
      <c r="C33" s="176"/>
      <c r="D33" s="176"/>
      <c r="E33" s="181"/>
      <c r="F33" s="177"/>
      <c r="G33" s="178">
        <v>0</v>
      </c>
      <c r="H33" s="179">
        <v>0</v>
      </c>
      <c r="I33" s="318"/>
      <c r="J33" s="180"/>
    </row>
    <row r="34" spans="1:10" x14ac:dyDescent="0.4">
      <c r="A34" s="175"/>
      <c r="B34" s="176"/>
      <c r="C34" s="176"/>
      <c r="D34" s="176"/>
      <c r="E34" s="176"/>
      <c r="F34" s="177"/>
      <c r="G34" s="178">
        <v>0</v>
      </c>
      <c r="H34" s="179"/>
      <c r="I34" s="318"/>
      <c r="J34" s="180"/>
    </row>
    <row r="35" spans="1:10" x14ac:dyDescent="0.4">
      <c r="A35" s="175"/>
      <c r="B35" s="176"/>
      <c r="C35" s="176"/>
      <c r="D35" s="176"/>
      <c r="E35" s="176"/>
      <c r="F35" s="177"/>
      <c r="G35" s="178">
        <v>0</v>
      </c>
      <c r="H35" s="179"/>
      <c r="I35" s="318"/>
      <c r="J35" s="180"/>
    </row>
    <row r="36" spans="1:10" x14ac:dyDescent="0.4">
      <c r="A36" s="175"/>
      <c r="B36" s="176"/>
      <c r="C36" s="176"/>
      <c r="D36" s="176"/>
      <c r="E36" s="176"/>
      <c r="F36" s="177"/>
      <c r="G36" s="178">
        <v>0</v>
      </c>
      <c r="H36" s="179"/>
      <c r="I36" s="318"/>
      <c r="J36" s="180"/>
    </row>
    <row r="37" spans="1:10" x14ac:dyDescent="0.4">
      <c r="A37" s="175"/>
      <c r="B37" s="176"/>
      <c r="C37" s="176"/>
      <c r="D37" s="176"/>
      <c r="E37" s="176"/>
      <c r="F37" s="177"/>
      <c r="G37" s="178">
        <v>0</v>
      </c>
      <c r="H37" s="179"/>
      <c r="I37" s="318"/>
      <c r="J37" s="180"/>
    </row>
    <row r="38" spans="1:10" x14ac:dyDescent="0.4">
      <c r="A38" s="175"/>
      <c r="B38" s="176"/>
      <c r="C38" s="176"/>
      <c r="D38" s="176"/>
      <c r="E38" s="176"/>
      <c r="F38" s="177"/>
      <c r="G38" s="178">
        <v>0</v>
      </c>
      <c r="H38" s="179"/>
      <c r="I38" s="318"/>
      <c r="J38" s="180"/>
    </row>
    <row r="39" spans="1:10" x14ac:dyDescent="0.4">
      <c r="A39" s="175"/>
      <c r="B39" s="176"/>
      <c r="C39" s="176"/>
      <c r="D39" s="176"/>
      <c r="E39" s="176"/>
      <c r="F39" s="177"/>
      <c r="G39" s="178">
        <v>0</v>
      </c>
      <c r="H39" s="179"/>
      <c r="I39" s="318"/>
      <c r="J39" s="180"/>
    </row>
    <row r="40" spans="1:10" x14ac:dyDescent="0.4">
      <c r="A40" s="175"/>
      <c r="B40" s="176"/>
      <c r="C40" s="176"/>
      <c r="D40" s="176"/>
      <c r="E40" s="176"/>
      <c r="F40" s="177"/>
      <c r="G40" s="178">
        <v>0</v>
      </c>
      <c r="H40" s="179"/>
      <c r="I40" s="318"/>
      <c r="J40" s="180"/>
    </row>
    <row r="41" spans="1:10" x14ac:dyDescent="0.4">
      <c r="A41" s="175"/>
      <c r="B41" s="176"/>
      <c r="C41" s="176"/>
      <c r="D41" s="176"/>
      <c r="E41" s="176"/>
      <c r="F41" s="177"/>
      <c r="G41" s="178">
        <v>0</v>
      </c>
      <c r="H41" s="179"/>
      <c r="I41" s="318"/>
      <c r="J41" s="180"/>
    </row>
    <row r="42" spans="1:10" x14ac:dyDescent="0.4">
      <c r="A42" s="175"/>
      <c r="B42" s="176"/>
      <c r="C42" s="176"/>
      <c r="D42" s="176"/>
      <c r="E42" s="176"/>
      <c r="F42" s="177"/>
      <c r="G42" s="178">
        <v>0</v>
      </c>
      <c r="H42" s="179"/>
      <c r="I42" s="318"/>
      <c r="J42" s="180"/>
    </row>
    <row r="43" spans="1:10" x14ac:dyDescent="0.4">
      <c r="A43" s="175"/>
      <c r="B43" s="176"/>
      <c r="C43" s="176"/>
      <c r="D43" s="176"/>
      <c r="E43" s="176"/>
      <c r="F43" s="177"/>
      <c r="G43" s="178">
        <v>0</v>
      </c>
      <c r="H43" s="179"/>
      <c r="I43" s="318"/>
      <c r="J43" s="180"/>
    </row>
    <row r="44" spans="1:10" x14ac:dyDescent="0.4">
      <c r="A44" s="175"/>
      <c r="B44" s="176"/>
      <c r="C44" s="176"/>
      <c r="D44" s="176"/>
      <c r="E44" s="176"/>
      <c r="F44" s="177"/>
      <c r="G44" s="178">
        <v>0</v>
      </c>
      <c r="H44" s="179"/>
      <c r="I44" s="318"/>
      <c r="J44" s="180"/>
    </row>
    <row r="45" spans="1:10" x14ac:dyDescent="0.4">
      <c r="A45" s="175"/>
      <c r="B45" s="176"/>
      <c r="C45" s="176"/>
      <c r="D45" s="176"/>
      <c r="E45" s="176"/>
      <c r="F45" s="177"/>
      <c r="G45" s="178">
        <v>0</v>
      </c>
      <c r="H45" s="179"/>
      <c r="I45" s="318"/>
      <c r="J45" s="180"/>
    </row>
    <row r="46" spans="1:10" x14ac:dyDescent="0.4">
      <c r="A46" s="175"/>
      <c r="B46" s="176"/>
      <c r="C46" s="176"/>
      <c r="D46" s="176"/>
      <c r="E46" s="176"/>
      <c r="F46" s="177"/>
      <c r="G46" s="178">
        <v>0</v>
      </c>
      <c r="H46" s="179"/>
      <c r="I46" s="318"/>
      <c r="J46" s="180"/>
    </row>
    <row r="47" spans="1:10" x14ac:dyDescent="0.4">
      <c r="A47" s="175"/>
      <c r="B47" s="176"/>
      <c r="C47" s="176"/>
      <c r="D47" s="176"/>
      <c r="E47" s="176"/>
      <c r="F47" s="177"/>
      <c r="G47" s="178">
        <v>0</v>
      </c>
      <c r="H47" s="179"/>
      <c r="I47" s="318"/>
      <c r="J47" s="180"/>
    </row>
    <row r="48" spans="1:10" x14ac:dyDescent="0.4">
      <c r="A48" s="175"/>
      <c r="B48" s="176"/>
      <c r="C48" s="176"/>
      <c r="D48" s="176"/>
      <c r="E48" s="176"/>
      <c r="F48" s="177"/>
      <c r="G48" s="178">
        <v>0</v>
      </c>
      <c r="H48" s="179"/>
      <c r="I48" s="318"/>
      <c r="J48" s="180"/>
    </row>
    <row r="49" spans="1:10" x14ac:dyDescent="0.4">
      <c r="A49" s="175"/>
      <c r="B49" s="176"/>
      <c r="C49" s="176"/>
      <c r="D49" s="176"/>
      <c r="E49" s="176"/>
      <c r="F49" s="177"/>
      <c r="G49" s="178">
        <v>0</v>
      </c>
      <c r="H49" s="179"/>
      <c r="I49" s="318"/>
      <c r="J49" s="180"/>
    </row>
    <row r="50" spans="1:10" x14ac:dyDescent="0.4">
      <c r="A50" s="175"/>
      <c r="B50" s="176"/>
      <c r="C50" s="176"/>
      <c r="D50" s="176"/>
      <c r="E50" s="176"/>
      <c r="F50" s="177"/>
      <c r="G50" s="178">
        <v>0</v>
      </c>
      <c r="H50" s="179"/>
      <c r="I50" s="318"/>
      <c r="J50" s="180"/>
    </row>
    <row r="51" spans="1:10" x14ac:dyDescent="0.4">
      <c r="A51" s="175"/>
      <c r="B51" s="176"/>
      <c r="C51" s="176"/>
      <c r="D51" s="176"/>
      <c r="E51" s="176"/>
      <c r="F51" s="177"/>
      <c r="G51" s="178">
        <v>0</v>
      </c>
      <c r="H51" s="179"/>
      <c r="I51" s="318"/>
      <c r="J51" s="180"/>
    </row>
  </sheetData>
  <conditionalFormatting sqref="G30:G1048576 G28 G2:G26">
    <cfRule type="cellIs" dxfId="109" priority="1" operator="greaterThan">
      <formula>1000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1B1-7BD4-4934-92BF-E4EF0B242934}">
  <sheetPr codeName="Planilha7"/>
  <dimension ref="A1:G14"/>
  <sheetViews>
    <sheetView workbookViewId="0">
      <selection activeCell="F14" sqref="F14"/>
    </sheetView>
  </sheetViews>
  <sheetFormatPr defaultRowHeight="15" x14ac:dyDescent="0.25"/>
  <cols>
    <col min="1" max="1" width="22.28515625" bestFit="1" customWidth="1"/>
    <col min="2" max="2" width="19.28515625" bestFit="1" customWidth="1"/>
    <col min="3" max="3" width="20.28515625" bestFit="1" customWidth="1"/>
    <col min="4" max="4" width="16.28515625" bestFit="1" customWidth="1"/>
    <col min="5" max="5" width="20.5703125" bestFit="1" customWidth="1"/>
    <col min="6" max="6" width="18.5703125" bestFit="1" customWidth="1"/>
    <col min="7" max="7" width="37" bestFit="1" customWidth="1"/>
  </cols>
  <sheetData>
    <row r="1" spans="1:7" x14ac:dyDescent="0.25">
      <c r="A1" s="36" t="s">
        <v>272</v>
      </c>
      <c r="B1" s="36" t="s">
        <v>77</v>
      </c>
      <c r="C1" s="36" t="s">
        <v>273</v>
      </c>
      <c r="D1" s="36" t="s">
        <v>274</v>
      </c>
      <c r="E1" s="36" t="s">
        <v>78</v>
      </c>
      <c r="F1" s="36" t="s">
        <v>79</v>
      </c>
      <c r="G1" s="36" t="s">
        <v>80</v>
      </c>
    </row>
    <row r="2" spans="1:7" x14ac:dyDescent="0.25">
      <c r="A2" s="2">
        <f>(250/14500)*150</f>
        <v>2.5862068965517242</v>
      </c>
      <c r="B2" s="2">
        <f>(200/500)*10</f>
        <v>4</v>
      </c>
      <c r="C2" s="2">
        <v>21</v>
      </c>
      <c r="D2" s="2">
        <f>2.5/10</f>
        <v>0.25</v>
      </c>
      <c r="E2" s="2">
        <f>17.5/10</f>
        <v>1.75</v>
      </c>
      <c r="F2" s="2">
        <f>SUM(A2:E2)</f>
        <v>29.586206896551722</v>
      </c>
      <c r="G2" s="2">
        <f>F2/70</f>
        <v>0.42266009852216746</v>
      </c>
    </row>
    <row r="4" spans="1:7" x14ac:dyDescent="0.25">
      <c r="A4" s="36" t="s">
        <v>267</v>
      </c>
      <c r="B4" s="36" t="s">
        <v>271</v>
      </c>
      <c r="C4" s="36" t="s">
        <v>268</v>
      </c>
      <c r="D4" s="36" t="s">
        <v>269</v>
      </c>
      <c r="E4" s="36" t="s">
        <v>270</v>
      </c>
      <c r="F4" s="36" t="s">
        <v>79</v>
      </c>
      <c r="G4" s="36" t="s">
        <v>80</v>
      </c>
    </row>
    <row r="5" spans="1:7" x14ac:dyDescent="0.25">
      <c r="A5" s="2">
        <f>(700/14500)*150</f>
        <v>7.2413793103448274</v>
      </c>
      <c r="B5" s="2">
        <f>6/20000*282</f>
        <v>8.4599999999999995E-2</v>
      </c>
      <c r="C5" s="2">
        <v>42</v>
      </c>
      <c r="D5" s="2">
        <f>150/1000*2.5</f>
        <v>0.375</v>
      </c>
      <c r="E5" s="2">
        <f>300/1000*9</f>
        <v>2.6999999999999997</v>
      </c>
      <c r="F5" s="78">
        <f>SUM(A5:E5)</f>
        <v>52.40097931034483</v>
      </c>
      <c r="G5" s="78">
        <f>F5/150</f>
        <v>0.34933986206896556</v>
      </c>
    </row>
    <row r="7" spans="1:7" x14ac:dyDescent="0.25">
      <c r="A7" s="36" t="s">
        <v>275</v>
      </c>
      <c r="B7" s="36" t="s">
        <v>273</v>
      </c>
      <c r="C7" s="36" t="s">
        <v>276</v>
      </c>
      <c r="F7" s="36" t="s">
        <v>79</v>
      </c>
      <c r="G7" s="36" t="s">
        <v>80</v>
      </c>
    </row>
    <row r="8" spans="1:7" x14ac:dyDescent="0.25">
      <c r="A8" s="2">
        <f>15*5</f>
        <v>75</v>
      </c>
      <c r="B8" s="2">
        <v>50</v>
      </c>
      <c r="C8" s="2">
        <f>0.4*37</f>
        <v>14.8</v>
      </c>
      <c r="D8" s="2"/>
      <c r="F8" s="78">
        <f>SUM(A8:E8)</f>
        <v>139.80000000000001</v>
      </c>
      <c r="G8" s="78">
        <f>F8/150</f>
        <v>0.93200000000000005</v>
      </c>
    </row>
    <row r="10" spans="1:7" x14ac:dyDescent="0.25">
      <c r="A10" s="36" t="s">
        <v>281</v>
      </c>
    </row>
    <row r="11" spans="1:7" x14ac:dyDescent="0.25">
      <c r="A11" s="2">
        <f>3*352.92/9360</f>
        <v>0.11311538461538462</v>
      </c>
    </row>
    <row r="13" spans="1:7" x14ac:dyDescent="0.25">
      <c r="A13" s="36" t="s">
        <v>352</v>
      </c>
      <c r="B13" s="36" t="s">
        <v>353</v>
      </c>
      <c r="C13" s="36" t="s">
        <v>354</v>
      </c>
      <c r="D13" s="36" t="s">
        <v>76</v>
      </c>
      <c r="E13" s="36" t="s">
        <v>253</v>
      </c>
      <c r="F13" s="36" t="s">
        <v>355</v>
      </c>
    </row>
    <row r="14" spans="1:7" x14ac:dyDescent="0.25">
      <c r="A14" s="2">
        <v>36</v>
      </c>
      <c r="B14" s="2">
        <v>30</v>
      </c>
      <c r="C14" s="2">
        <v>5</v>
      </c>
      <c r="D14" s="2">
        <v>60</v>
      </c>
      <c r="E14" s="2">
        <v>0.06</v>
      </c>
      <c r="F14" s="78">
        <f>SUM(A14:D14)/690+E14</f>
        <v>0.24985507246376812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7B08-FC8B-4BD9-A191-F4387DA6B762}">
  <sheetPr codeName="Planilha3"/>
  <dimension ref="A1:G115"/>
  <sheetViews>
    <sheetView topLeftCell="A22" zoomScale="85" zoomScaleNormal="85" workbookViewId="0">
      <selection activeCell="G43" sqref="G43"/>
    </sheetView>
  </sheetViews>
  <sheetFormatPr defaultRowHeight="15" x14ac:dyDescent="0.25"/>
  <cols>
    <col min="1" max="1" width="29.140625" style="50" bestFit="1" customWidth="1"/>
    <col min="2" max="2" width="10.7109375" style="106" bestFit="1" customWidth="1"/>
    <col min="3" max="3" width="12.140625" style="42" bestFit="1" customWidth="1"/>
    <col min="5" max="5" width="30" style="36" bestFit="1" customWidth="1"/>
    <col min="6" max="6" width="13.28515625" style="4" bestFit="1" customWidth="1"/>
    <col min="7" max="7" width="12.140625" style="47" bestFit="1" customWidth="1"/>
  </cols>
  <sheetData>
    <row r="1" spans="1:7" x14ac:dyDescent="0.25">
      <c r="A1" s="48" t="s">
        <v>121</v>
      </c>
      <c r="B1" s="49" t="s">
        <v>67</v>
      </c>
      <c r="C1" s="48" t="s">
        <v>122</v>
      </c>
      <c r="E1" s="48" t="s">
        <v>141</v>
      </c>
      <c r="F1" s="49" t="s">
        <v>67</v>
      </c>
      <c r="G1" s="51" t="s">
        <v>122</v>
      </c>
    </row>
    <row r="2" spans="1:7" x14ac:dyDescent="0.25">
      <c r="A2" s="50" t="s">
        <v>123</v>
      </c>
      <c r="B2" s="43">
        <v>26012024</v>
      </c>
      <c r="C2" s="42">
        <v>375</v>
      </c>
      <c r="E2" s="50" t="s">
        <v>142</v>
      </c>
      <c r="F2" s="43">
        <v>27012024</v>
      </c>
      <c r="G2" s="42">
        <v>120</v>
      </c>
    </row>
    <row r="3" spans="1:7" x14ac:dyDescent="0.25">
      <c r="A3" s="50" t="s">
        <v>124</v>
      </c>
      <c r="B3" s="43">
        <v>26012024</v>
      </c>
      <c r="C3" s="42">
        <v>1150</v>
      </c>
      <c r="E3" s="50" t="s">
        <v>143</v>
      </c>
      <c r="F3" s="43">
        <v>26012024</v>
      </c>
      <c r="G3" s="42">
        <v>405</v>
      </c>
    </row>
    <row r="4" spans="1:7" x14ac:dyDescent="0.25">
      <c r="A4" s="50" t="s">
        <v>123</v>
      </c>
      <c r="B4" s="43">
        <v>25012024</v>
      </c>
      <c r="C4" s="42">
        <v>312.5</v>
      </c>
      <c r="E4" s="50" t="s">
        <v>153</v>
      </c>
      <c r="F4" s="43">
        <v>24012024</v>
      </c>
      <c r="G4" s="42">
        <v>400</v>
      </c>
    </row>
    <row r="5" spans="1:7" x14ac:dyDescent="0.25">
      <c r="A5" s="50" t="s">
        <v>125</v>
      </c>
      <c r="B5" s="43">
        <v>25012024</v>
      </c>
      <c r="C5" s="42">
        <v>550</v>
      </c>
      <c r="E5" s="50" t="s">
        <v>144</v>
      </c>
      <c r="F5" s="43">
        <v>24012024</v>
      </c>
      <c r="G5" s="42">
        <v>1316</v>
      </c>
    </row>
    <row r="6" spans="1:7" x14ac:dyDescent="0.25">
      <c r="A6" s="50" t="s">
        <v>123</v>
      </c>
      <c r="B6" s="43">
        <v>24012024</v>
      </c>
      <c r="C6" s="42">
        <v>410</v>
      </c>
      <c r="E6" s="50" t="s">
        <v>145</v>
      </c>
      <c r="F6" s="43">
        <v>24012024</v>
      </c>
      <c r="G6" s="42">
        <v>50</v>
      </c>
    </row>
    <row r="7" spans="1:7" x14ac:dyDescent="0.25">
      <c r="A7" s="50" t="s">
        <v>126</v>
      </c>
      <c r="B7" s="43">
        <v>24012024</v>
      </c>
      <c r="C7" s="42">
        <v>112.5</v>
      </c>
      <c r="E7" s="50" t="s">
        <v>146</v>
      </c>
      <c r="F7" s="43">
        <v>23012024</v>
      </c>
      <c r="G7" s="42">
        <v>600</v>
      </c>
    </row>
    <row r="8" spans="1:7" x14ac:dyDescent="0.25">
      <c r="A8" s="50" t="s">
        <v>127</v>
      </c>
      <c r="B8" s="43">
        <v>24012024</v>
      </c>
      <c r="C8" s="42">
        <v>650</v>
      </c>
      <c r="E8" s="50" t="s">
        <v>147</v>
      </c>
      <c r="F8" s="43">
        <v>22012024</v>
      </c>
      <c r="G8" s="42">
        <v>250</v>
      </c>
    </row>
    <row r="9" spans="1:7" x14ac:dyDescent="0.25">
      <c r="A9" s="50" t="s">
        <v>123</v>
      </c>
      <c r="B9" s="43">
        <v>23012024</v>
      </c>
      <c r="C9" s="42">
        <v>248</v>
      </c>
      <c r="E9" s="50" t="s">
        <v>148</v>
      </c>
      <c r="F9" s="43">
        <v>22012024</v>
      </c>
      <c r="G9" s="42">
        <v>1000</v>
      </c>
    </row>
    <row r="10" spans="1:7" x14ac:dyDescent="0.25">
      <c r="A10" s="50" t="s">
        <v>126</v>
      </c>
      <c r="B10" s="43">
        <v>23012024</v>
      </c>
      <c r="C10" s="42">
        <v>112.5</v>
      </c>
      <c r="E10" s="50" t="s">
        <v>149</v>
      </c>
      <c r="F10" s="43">
        <v>22012024</v>
      </c>
      <c r="G10" s="42">
        <v>150</v>
      </c>
    </row>
    <row r="11" spans="1:7" x14ac:dyDescent="0.25">
      <c r="A11" s="50" t="s">
        <v>125</v>
      </c>
      <c r="B11" s="43">
        <v>23012024</v>
      </c>
      <c r="C11" s="42">
        <v>687.5</v>
      </c>
      <c r="E11" s="50" t="s">
        <v>150</v>
      </c>
      <c r="F11" s="43">
        <v>20012024</v>
      </c>
      <c r="G11" s="42">
        <v>170</v>
      </c>
    </row>
    <row r="12" spans="1:7" x14ac:dyDescent="0.25">
      <c r="A12" s="50" t="s">
        <v>128</v>
      </c>
      <c r="B12" s="43">
        <v>23012024</v>
      </c>
      <c r="C12" s="42">
        <v>275</v>
      </c>
      <c r="E12" s="50" t="s">
        <v>131</v>
      </c>
      <c r="F12" s="43">
        <v>20012024</v>
      </c>
      <c r="G12" s="42">
        <v>1500</v>
      </c>
    </row>
    <row r="13" spans="1:7" x14ac:dyDescent="0.25">
      <c r="A13" s="50" t="s">
        <v>129</v>
      </c>
      <c r="B13" s="43">
        <v>23012024</v>
      </c>
      <c r="C13" s="42">
        <v>675</v>
      </c>
      <c r="E13" s="50" t="s">
        <v>151</v>
      </c>
      <c r="F13" s="43">
        <v>20012024</v>
      </c>
      <c r="G13" s="42">
        <v>1500</v>
      </c>
    </row>
    <row r="14" spans="1:7" x14ac:dyDescent="0.25">
      <c r="A14" s="50" t="s">
        <v>129</v>
      </c>
      <c r="B14" s="43">
        <v>23012024</v>
      </c>
      <c r="C14" s="42">
        <v>2309.5</v>
      </c>
      <c r="E14" s="50" t="s">
        <v>152</v>
      </c>
      <c r="F14" s="43">
        <v>20012024</v>
      </c>
      <c r="G14" s="42">
        <v>600</v>
      </c>
    </row>
    <row r="15" spans="1:7" x14ac:dyDescent="0.25">
      <c r="A15" s="50" t="s">
        <v>130</v>
      </c>
      <c r="B15" s="43">
        <v>23012024</v>
      </c>
      <c r="C15" s="42">
        <v>530</v>
      </c>
      <c r="E15" s="50" t="s">
        <v>153</v>
      </c>
      <c r="F15" s="43">
        <v>20012024</v>
      </c>
      <c r="G15" s="42">
        <v>475</v>
      </c>
    </row>
    <row r="16" spans="1:7" x14ac:dyDescent="0.25">
      <c r="A16" s="50" t="s">
        <v>131</v>
      </c>
      <c r="B16" s="43">
        <v>22012024</v>
      </c>
      <c r="C16" s="42">
        <v>262.5</v>
      </c>
      <c r="E16" s="50" t="s">
        <v>154</v>
      </c>
      <c r="F16" s="43">
        <v>20012024</v>
      </c>
      <c r="G16" s="42">
        <v>350</v>
      </c>
    </row>
    <row r="17" spans="1:7" x14ac:dyDescent="0.25">
      <c r="A17" s="50" t="s">
        <v>123</v>
      </c>
      <c r="B17" s="43">
        <v>22012024</v>
      </c>
      <c r="C17" s="42">
        <v>320</v>
      </c>
      <c r="E17" s="50" t="s">
        <v>146</v>
      </c>
      <c r="F17" s="43">
        <v>20012024</v>
      </c>
      <c r="G17" s="42">
        <v>300</v>
      </c>
    </row>
    <row r="18" spans="1:7" x14ac:dyDescent="0.25">
      <c r="A18" s="50" t="s">
        <v>125</v>
      </c>
      <c r="B18" s="43">
        <v>22012024</v>
      </c>
      <c r="C18" s="42">
        <v>1292.5</v>
      </c>
      <c r="E18" s="50" t="s">
        <v>155</v>
      </c>
      <c r="F18" s="43">
        <v>18012024</v>
      </c>
      <c r="G18" s="42">
        <v>458.7</v>
      </c>
    </row>
    <row r="19" spans="1:7" x14ac:dyDescent="0.25">
      <c r="A19" s="50" t="s">
        <v>132</v>
      </c>
      <c r="B19" s="43">
        <v>22012024</v>
      </c>
      <c r="C19" s="42">
        <v>325</v>
      </c>
      <c r="E19" s="50" t="s">
        <v>146</v>
      </c>
      <c r="F19" s="43">
        <v>16012024</v>
      </c>
      <c r="G19" s="42">
        <v>600</v>
      </c>
    </row>
    <row r="20" spans="1:7" x14ac:dyDescent="0.25">
      <c r="A20" s="50" t="s">
        <v>133</v>
      </c>
      <c r="B20" s="43">
        <v>21012024</v>
      </c>
      <c r="C20" s="42">
        <v>137.5</v>
      </c>
      <c r="E20" s="50" t="s">
        <v>156</v>
      </c>
      <c r="F20" s="43">
        <v>14012024</v>
      </c>
      <c r="G20" s="42">
        <v>50</v>
      </c>
    </row>
    <row r="21" spans="1:7" x14ac:dyDescent="0.25">
      <c r="A21" s="50" t="s">
        <v>133</v>
      </c>
      <c r="B21" s="43">
        <v>21012024</v>
      </c>
      <c r="C21" s="42">
        <v>200</v>
      </c>
      <c r="E21" s="50" t="s">
        <v>150</v>
      </c>
      <c r="F21" s="43">
        <v>13012024</v>
      </c>
      <c r="G21" s="42">
        <v>400</v>
      </c>
    </row>
    <row r="22" spans="1:7" x14ac:dyDescent="0.25">
      <c r="A22" s="50" t="s">
        <v>133</v>
      </c>
      <c r="B22" s="43">
        <v>21012024</v>
      </c>
      <c r="C22" s="42">
        <v>225</v>
      </c>
      <c r="E22" s="50" t="s">
        <v>157</v>
      </c>
      <c r="F22" s="43">
        <v>13012024</v>
      </c>
      <c r="G22" s="42">
        <v>1400</v>
      </c>
    </row>
    <row r="23" spans="1:7" x14ac:dyDescent="0.25">
      <c r="A23" s="50" t="s">
        <v>133</v>
      </c>
      <c r="B23" s="43">
        <v>21012024</v>
      </c>
      <c r="C23" s="42">
        <v>200</v>
      </c>
      <c r="E23" s="50" t="s">
        <v>158</v>
      </c>
      <c r="F23" s="43">
        <v>12012024</v>
      </c>
      <c r="G23" s="42">
        <v>50</v>
      </c>
    </row>
    <row r="24" spans="1:7" x14ac:dyDescent="0.25">
      <c r="A24" s="50" t="s">
        <v>133</v>
      </c>
      <c r="B24" s="43">
        <v>21012024</v>
      </c>
      <c r="C24" s="42">
        <v>212.5</v>
      </c>
      <c r="E24" s="50" t="s">
        <v>153</v>
      </c>
      <c r="F24" s="43">
        <v>11012024</v>
      </c>
      <c r="G24" s="42">
        <v>475</v>
      </c>
    </row>
    <row r="25" spans="1:7" x14ac:dyDescent="0.25">
      <c r="A25" s="50" t="s">
        <v>133</v>
      </c>
      <c r="B25" s="43">
        <v>21012024</v>
      </c>
      <c r="C25" s="42">
        <v>237.5</v>
      </c>
      <c r="E25" s="50" t="s">
        <v>152</v>
      </c>
      <c r="F25" s="43">
        <v>10012024</v>
      </c>
      <c r="G25" s="42">
        <v>150</v>
      </c>
    </row>
    <row r="26" spans="1:7" x14ac:dyDescent="0.25">
      <c r="A26" s="50" t="s">
        <v>123</v>
      </c>
      <c r="B26" s="43">
        <v>21012024</v>
      </c>
      <c r="C26" s="42">
        <v>375</v>
      </c>
      <c r="E26" s="50" t="s">
        <v>131</v>
      </c>
      <c r="F26" s="43">
        <v>10012024</v>
      </c>
      <c r="G26" s="42">
        <v>100</v>
      </c>
    </row>
    <row r="27" spans="1:7" x14ac:dyDescent="0.25">
      <c r="A27" s="50" t="s">
        <v>126</v>
      </c>
      <c r="B27" s="43">
        <v>21012024</v>
      </c>
      <c r="C27" s="42">
        <v>112.5</v>
      </c>
      <c r="E27" s="52" t="s">
        <v>159</v>
      </c>
      <c r="F27" s="53">
        <v>9012024</v>
      </c>
      <c r="G27" s="54">
        <v>8000</v>
      </c>
    </row>
    <row r="28" spans="1:7" x14ac:dyDescent="0.25">
      <c r="A28" s="50" t="s">
        <v>123</v>
      </c>
      <c r="B28" s="43">
        <v>19012024</v>
      </c>
      <c r="C28" s="42">
        <v>375</v>
      </c>
      <c r="E28" s="50" t="s">
        <v>146</v>
      </c>
      <c r="F28" s="43">
        <v>8012024</v>
      </c>
      <c r="G28" s="42">
        <v>860</v>
      </c>
    </row>
    <row r="29" spans="1:7" x14ac:dyDescent="0.25">
      <c r="A29" s="50" t="s">
        <v>124</v>
      </c>
      <c r="B29" s="43">
        <v>19012024</v>
      </c>
      <c r="C29" s="42">
        <v>4750</v>
      </c>
      <c r="E29" s="50" t="s">
        <v>160</v>
      </c>
      <c r="F29" s="43">
        <v>7012024</v>
      </c>
      <c r="G29" s="42">
        <v>600</v>
      </c>
    </row>
    <row r="30" spans="1:7" x14ac:dyDescent="0.25">
      <c r="A30" s="50" t="s">
        <v>126</v>
      </c>
      <c r="B30" s="43">
        <v>18012024</v>
      </c>
      <c r="C30" s="42">
        <v>125</v>
      </c>
      <c r="E30" s="50" t="s">
        <v>152</v>
      </c>
      <c r="F30" s="43">
        <v>3012024</v>
      </c>
      <c r="G30" s="42">
        <v>240</v>
      </c>
    </row>
    <row r="31" spans="1:7" x14ac:dyDescent="0.25">
      <c r="A31" s="50" t="s">
        <v>123</v>
      </c>
      <c r="B31" s="43">
        <v>18012024</v>
      </c>
      <c r="C31" s="42">
        <v>410</v>
      </c>
    </row>
    <row r="32" spans="1:7" ht="15.75" x14ac:dyDescent="0.25">
      <c r="A32" s="50" t="s">
        <v>132</v>
      </c>
      <c r="B32" s="43">
        <v>18012024</v>
      </c>
      <c r="C32" s="42">
        <v>190</v>
      </c>
      <c r="E32" s="38" t="s">
        <v>165</v>
      </c>
      <c r="F32" s="42">
        <f>SUM(C2:C92)</f>
        <v>53815</v>
      </c>
    </row>
    <row r="33" spans="1:7" ht="15.75" x14ac:dyDescent="0.25">
      <c r="A33" s="50" t="s">
        <v>123</v>
      </c>
      <c r="B33" s="43">
        <v>17012024</v>
      </c>
      <c r="C33" s="42">
        <v>325</v>
      </c>
      <c r="E33" s="39" t="s">
        <v>166</v>
      </c>
      <c r="F33" s="42">
        <f>SUM(G2:G30)</f>
        <v>22569.7</v>
      </c>
    </row>
    <row r="34" spans="1:7" ht="15.75" x14ac:dyDescent="0.25">
      <c r="A34" s="50" t="s">
        <v>131</v>
      </c>
      <c r="B34" s="43">
        <v>17012024</v>
      </c>
      <c r="C34" s="42">
        <v>125</v>
      </c>
      <c r="E34" s="40" t="s">
        <v>167</v>
      </c>
      <c r="F34" s="42">
        <f>SUM('Despesas 01012024-01032024'!E2:E34)-120</f>
        <v>16604.82</v>
      </c>
    </row>
    <row r="35" spans="1:7" ht="15.75" x14ac:dyDescent="0.25">
      <c r="A35" s="50" t="s">
        <v>134</v>
      </c>
      <c r="B35" s="43">
        <v>17012024</v>
      </c>
      <c r="C35" s="42">
        <v>2475</v>
      </c>
      <c r="E35" s="40" t="s">
        <v>168</v>
      </c>
      <c r="F35" s="42">
        <f>F33+F34</f>
        <v>39174.520000000004</v>
      </c>
    </row>
    <row r="36" spans="1:7" ht="15.75" x14ac:dyDescent="0.25">
      <c r="A36" s="50" t="s">
        <v>126</v>
      </c>
      <c r="B36" s="43">
        <v>17012024</v>
      </c>
      <c r="C36" s="42">
        <v>32.5</v>
      </c>
      <c r="E36" s="41" t="s">
        <v>169</v>
      </c>
      <c r="F36" s="42">
        <f>F32-F35</f>
        <v>14640.479999999996</v>
      </c>
    </row>
    <row r="37" spans="1:7" x14ac:dyDescent="0.25">
      <c r="A37" s="50" t="s">
        <v>123</v>
      </c>
      <c r="B37" s="43">
        <v>17012024</v>
      </c>
      <c r="C37" s="42">
        <v>350</v>
      </c>
    </row>
    <row r="38" spans="1:7" x14ac:dyDescent="0.25">
      <c r="A38" s="50" t="s">
        <v>125</v>
      </c>
      <c r="B38" s="43">
        <v>16012024</v>
      </c>
      <c r="C38" s="42">
        <v>1348</v>
      </c>
    </row>
    <row r="39" spans="1:7" x14ac:dyDescent="0.25">
      <c r="A39" s="50" t="s">
        <v>132</v>
      </c>
      <c r="B39" s="43">
        <v>16012024</v>
      </c>
      <c r="C39" s="42">
        <v>225</v>
      </c>
      <c r="E39" s="48" t="s">
        <v>141</v>
      </c>
      <c r="F39" s="49" t="s">
        <v>67</v>
      </c>
      <c r="G39" s="51" t="s">
        <v>122</v>
      </c>
    </row>
    <row r="40" spans="1:7" x14ac:dyDescent="0.25">
      <c r="A40" s="50" t="s">
        <v>129</v>
      </c>
      <c r="B40" s="43">
        <v>16012024</v>
      </c>
      <c r="C40" s="42">
        <v>2587.5</v>
      </c>
      <c r="E40" s="50" t="s">
        <v>131</v>
      </c>
      <c r="F40" s="106">
        <v>45327</v>
      </c>
      <c r="G40" s="42">
        <v>1400</v>
      </c>
    </row>
    <row r="41" spans="1:7" x14ac:dyDescent="0.25">
      <c r="A41" s="50" t="s">
        <v>123</v>
      </c>
      <c r="B41" s="43">
        <v>15012024</v>
      </c>
      <c r="C41" s="42">
        <v>600</v>
      </c>
      <c r="E41" s="50" t="s">
        <v>313</v>
      </c>
      <c r="F41" s="106">
        <v>45328</v>
      </c>
      <c r="G41" s="42">
        <v>1500</v>
      </c>
    </row>
    <row r="42" spans="1:7" x14ac:dyDescent="0.25">
      <c r="A42" s="50" t="s">
        <v>131</v>
      </c>
      <c r="B42" s="43">
        <v>15012024</v>
      </c>
      <c r="C42" s="42">
        <v>75</v>
      </c>
      <c r="E42" s="50" t="s">
        <v>314</v>
      </c>
      <c r="F42" s="106">
        <v>45329</v>
      </c>
      <c r="G42" s="42">
        <v>970</v>
      </c>
    </row>
    <row r="43" spans="1:7" x14ac:dyDescent="0.25">
      <c r="A43" s="50" t="s">
        <v>133</v>
      </c>
      <c r="B43" s="43">
        <v>14012024</v>
      </c>
      <c r="C43" s="42">
        <v>235</v>
      </c>
      <c r="E43" s="50" t="s">
        <v>152</v>
      </c>
      <c r="F43" s="106">
        <v>45330</v>
      </c>
      <c r="G43" s="42">
        <v>240</v>
      </c>
    </row>
    <row r="44" spans="1:7" x14ac:dyDescent="0.25">
      <c r="A44" s="50" t="s">
        <v>133</v>
      </c>
      <c r="B44" s="43">
        <v>14012024</v>
      </c>
      <c r="C44" s="42">
        <v>175</v>
      </c>
      <c r="E44" s="50" t="s">
        <v>315</v>
      </c>
      <c r="F44" s="106">
        <v>45330</v>
      </c>
      <c r="G44" s="42">
        <v>475</v>
      </c>
    </row>
    <row r="45" spans="1:7" x14ac:dyDescent="0.25">
      <c r="A45" s="50" t="s">
        <v>133</v>
      </c>
      <c r="B45" s="43">
        <v>14012024</v>
      </c>
      <c r="C45" s="42">
        <v>210</v>
      </c>
      <c r="E45" s="50" t="s">
        <v>316</v>
      </c>
      <c r="F45" s="106">
        <v>45331</v>
      </c>
      <c r="G45" s="42">
        <v>40</v>
      </c>
    </row>
    <row r="46" spans="1:7" x14ac:dyDescent="0.25">
      <c r="A46" s="50" t="s">
        <v>133</v>
      </c>
      <c r="B46" s="43">
        <v>14012024</v>
      </c>
      <c r="C46" s="42">
        <v>262.5</v>
      </c>
      <c r="E46" s="50" t="s">
        <v>317</v>
      </c>
      <c r="F46" s="106">
        <v>45331</v>
      </c>
      <c r="G46" s="42">
        <v>2220</v>
      </c>
    </row>
    <row r="47" spans="1:7" x14ac:dyDescent="0.25">
      <c r="A47" s="50" t="s">
        <v>133</v>
      </c>
      <c r="B47" s="43">
        <v>14012024</v>
      </c>
      <c r="C47" s="42">
        <v>237.5</v>
      </c>
      <c r="E47" s="50" t="s">
        <v>146</v>
      </c>
      <c r="F47" s="106">
        <v>45331</v>
      </c>
      <c r="G47" s="42">
        <v>300</v>
      </c>
    </row>
    <row r="48" spans="1:7" x14ac:dyDescent="0.25">
      <c r="A48" s="50" t="s">
        <v>133</v>
      </c>
      <c r="B48" s="43">
        <v>14012024</v>
      </c>
      <c r="C48" s="42">
        <v>250</v>
      </c>
      <c r="F48" s="107"/>
      <c r="G48" s="108"/>
    </row>
    <row r="49" spans="1:7" ht="15.75" x14ac:dyDescent="0.25">
      <c r="A49" s="50" t="s">
        <v>123</v>
      </c>
      <c r="B49" s="43">
        <v>14012024</v>
      </c>
      <c r="C49" s="42">
        <v>375</v>
      </c>
      <c r="E49" s="38" t="s">
        <v>165</v>
      </c>
      <c r="F49" s="42">
        <f>SUM(C94:C115)</f>
        <v>10814</v>
      </c>
      <c r="G49" s="108"/>
    </row>
    <row r="50" spans="1:7" ht="15.75" x14ac:dyDescent="0.25">
      <c r="A50" s="50" t="s">
        <v>126</v>
      </c>
      <c r="B50" s="43">
        <v>14012024</v>
      </c>
      <c r="C50" s="42">
        <v>175</v>
      </c>
      <c r="E50" s="39" t="s">
        <v>166</v>
      </c>
      <c r="F50" s="42">
        <f>SUM(G40:G47)</f>
        <v>7145</v>
      </c>
    </row>
    <row r="51" spans="1:7" ht="15.75" x14ac:dyDescent="0.25">
      <c r="A51" s="50" t="s">
        <v>123</v>
      </c>
      <c r="B51" s="43">
        <v>12012024</v>
      </c>
      <c r="C51" s="42">
        <v>362.5</v>
      </c>
      <c r="E51" s="41" t="s">
        <v>169</v>
      </c>
      <c r="F51" s="42">
        <f>F49-F50</f>
        <v>3669</v>
      </c>
    </row>
    <row r="52" spans="1:7" x14ac:dyDescent="0.25">
      <c r="A52" s="50" t="s">
        <v>125</v>
      </c>
      <c r="B52" s="43">
        <v>12012024</v>
      </c>
      <c r="C52" s="42">
        <v>137.5</v>
      </c>
      <c r="F52" s="107"/>
    </row>
    <row r="53" spans="1:7" x14ac:dyDescent="0.25">
      <c r="A53" s="50" t="s">
        <v>125</v>
      </c>
      <c r="B53" s="43">
        <v>12012024</v>
      </c>
      <c r="C53" s="42">
        <v>1262.5</v>
      </c>
      <c r="F53" s="107"/>
    </row>
    <row r="54" spans="1:7" x14ac:dyDescent="0.25">
      <c r="A54" s="50" t="s">
        <v>123</v>
      </c>
      <c r="B54" s="43">
        <v>11012024</v>
      </c>
      <c r="C54" s="42">
        <v>425</v>
      </c>
      <c r="F54" s="107"/>
    </row>
    <row r="55" spans="1:7" x14ac:dyDescent="0.25">
      <c r="A55" s="50" t="s">
        <v>130</v>
      </c>
      <c r="B55" s="43">
        <v>11012024</v>
      </c>
      <c r="C55" s="42">
        <v>640</v>
      </c>
      <c r="F55" s="107"/>
    </row>
    <row r="56" spans="1:7" x14ac:dyDescent="0.25">
      <c r="A56" s="50" t="s">
        <v>123</v>
      </c>
      <c r="B56" s="43">
        <v>10012024</v>
      </c>
      <c r="C56" s="42">
        <v>412.5</v>
      </c>
      <c r="F56" s="107"/>
    </row>
    <row r="57" spans="1:7" x14ac:dyDescent="0.25">
      <c r="A57" s="50" t="s">
        <v>135</v>
      </c>
      <c r="B57" s="43">
        <v>10012024</v>
      </c>
      <c r="C57" s="42">
        <v>75</v>
      </c>
      <c r="F57" s="107"/>
    </row>
    <row r="58" spans="1:7" x14ac:dyDescent="0.25">
      <c r="A58" s="50" t="s">
        <v>127</v>
      </c>
      <c r="B58" s="43">
        <v>10012024</v>
      </c>
      <c r="C58" s="42">
        <v>800</v>
      </c>
      <c r="F58" s="107"/>
    </row>
    <row r="59" spans="1:7" x14ac:dyDescent="0.25">
      <c r="A59" s="50" t="s">
        <v>123</v>
      </c>
      <c r="B59" s="43">
        <v>9012024</v>
      </c>
      <c r="C59" s="42">
        <v>287.5</v>
      </c>
      <c r="F59" s="107"/>
    </row>
    <row r="60" spans="1:7" x14ac:dyDescent="0.25">
      <c r="A60" s="50" t="s">
        <v>125</v>
      </c>
      <c r="B60" s="43">
        <v>9012024</v>
      </c>
      <c r="C60" s="42">
        <v>800</v>
      </c>
      <c r="F60" s="107"/>
    </row>
    <row r="61" spans="1:7" x14ac:dyDescent="0.25">
      <c r="A61" s="50" t="s">
        <v>129</v>
      </c>
      <c r="B61" s="43">
        <v>9012024</v>
      </c>
      <c r="C61" s="42">
        <v>2199.5</v>
      </c>
      <c r="F61" s="107"/>
    </row>
    <row r="62" spans="1:7" x14ac:dyDescent="0.25">
      <c r="A62" s="50" t="s">
        <v>136</v>
      </c>
      <c r="B62" s="43">
        <v>8012024</v>
      </c>
      <c r="C62" s="42">
        <v>750</v>
      </c>
      <c r="F62" s="107"/>
    </row>
    <row r="63" spans="1:7" x14ac:dyDescent="0.25">
      <c r="A63" s="50" t="s">
        <v>132</v>
      </c>
      <c r="B63" s="43">
        <v>8012024</v>
      </c>
      <c r="C63" s="42">
        <v>250</v>
      </c>
      <c r="F63" s="107"/>
    </row>
    <row r="64" spans="1:7" x14ac:dyDescent="0.25">
      <c r="A64" s="50" t="s">
        <v>134</v>
      </c>
      <c r="B64" s="43">
        <v>8012024</v>
      </c>
      <c r="C64" s="42">
        <v>1437.5</v>
      </c>
      <c r="F64" s="107"/>
    </row>
    <row r="65" spans="1:6" x14ac:dyDescent="0.25">
      <c r="A65" s="50" t="s">
        <v>124</v>
      </c>
      <c r="B65" s="43">
        <v>7012024</v>
      </c>
      <c r="C65" s="42">
        <v>3600</v>
      </c>
      <c r="F65" s="107"/>
    </row>
    <row r="66" spans="1:6" x14ac:dyDescent="0.25">
      <c r="A66" s="50" t="s">
        <v>133</v>
      </c>
      <c r="B66" s="43">
        <v>7012024</v>
      </c>
      <c r="C66" s="42">
        <v>249</v>
      </c>
      <c r="F66" s="107"/>
    </row>
    <row r="67" spans="1:6" x14ac:dyDescent="0.25">
      <c r="A67" s="50" t="s">
        <v>133</v>
      </c>
      <c r="B67" s="43">
        <v>7012024</v>
      </c>
      <c r="C67" s="42">
        <v>250</v>
      </c>
      <c r="F67" s="107"/>
    </row>
    <row r="68" spans="1:6" x14ac:dyDescent="0.25">
      <c r="A68" s="50" t="s">
        <v>133</v>
      </c>
      <c r="B68" s="43">
        <v>7012024</v>
      </c>
      <c r="C68" s="42">
        <v>187.5</v>
      </c>
      <c r="F68" s="107"/>
    </row>
    <row r="69" spans="1:6" x14ac:dyDescent="0.25">
      <c r="A69" s="50" t="s">
        <v>133</v>
      </c>
      <c r="B69" s="43">
        <v>7012024</v>
      </c>
      <c r="C69" s="42">
        <v>237</v>
      </c>
      <c r="F69" s="107"/>
    </row>
    <row r="70" spans="1:6" x14ac:dyDescent="0.25">
      <c r="A70" s="50" t="s">
        <v>133</v>
      </c>
      <c r="B70" s="43">
        <v>7012024</v>
      </c>
      <c r="C70" s="42">
        <v>237.5</v>
      </c>
      <c r="F70" s="107"/>
    </row>
    <row r="71" spans="1:6" x14ac:dyDescent="0.25">
      <c r="A71" s="50" t="s">
        <v>123</v>
      </c>
      <c r="B71" s="43">
        <v>7012024</v>
      </c>
      <c r="C71" s="42">
        <v>325</v>
      </c>
      <c r="F71" s="107"/>
    </row>
    <row r="72" spans="1:6" x14ac:dyDescent="0.25">
      <c r="A72" s="50" t="s">
        <v>123</v>
      </c>
      <c r="B72" s="43">
        <v>5012024</v>
      </c>
      <c r="C72" s="42">
        <v>295</v>
      </c>
      <c r="F72" s="107"/>
    </row>
    <row r="73" spans="1:6" x14ac:dyDescent="0.25">
      <c r="A73" s="50" t="s">
        <v>125</v>
      </c>
      <c r="B73" s="43">
        <v>5012024</v>
      </c>
      <c r="C73" s="42">
        <v>675</v>
      </c>
      <c r="F73" s="107"/>
    </row>
    <row r="74" spans="1:6" x14ac:dyDescent="0.25">
      <c r="A74" s="50" t="s">
        <v>135</v>
      </c>
      <c r="B74" s="43">
        <v>5012024</v>
      </c>
      <c r="C74" s="42">
        <v>75</v>
      </c>
      <c r="F74" s="107"/>
    </row>
    <row r="75" spans="1:6" x14ac:dyDescent="0.25">
      <c r="A75" s="50" t="s">
        <v>136</v>
      </c>
      <c r="B75" s="43">
        <v>5012024</v>
      </c>
      <c r="C75" s="42">
        <v>425</v>
      </c>
      <c r="F75" s="107"/>
    </row>
    <row r="76" spans="1:6" x14ac:dyDescent="0.25">
      <c r="A76" s="50" t="s">
        <v>137</v>
      </c>
      <c r="B76" s="43">
        <v>5012024</v>
      </c>
      <c r="C76" s="42">
        <v>50</v>
      </c>
      <c r="F76" s="107"/>
    </row>
    <row r="77" spans="1:6" x14ac:dyDescent="0.25">
      <c r="A77" s="50" t="s">
        <v>138</v>
      </c>
      <c r="B77" s="43">
        <v>5012024</v>
      </c>
      <c r="C77" s="42">
        <v>140</v>
      </c>
      <c r="F77" s="107"/>
    </row>
    <row r="78" spans="1:6" x14ac:dyDescent="0.25">
      <c r="A78" s="50" t="s">
        <v>138</v>
      </c>
      <c r="B78" s="43">
        <v>5012024</v>
      </c>
      <c r="C78" s="42">
        <v>140</v>
      </c>
      <c r="F78" s="107"/>
    </row>
    <row r="79" spans="1:6" x14ac:dyDescent="0.25">
      <c r="A79" s="50" t="s">
        <v>138</v>
      </c>
      <c r="B79" s="43">
        <v>5012024</v>
      </c>
      <c r="C79" s="42">
        <v>120</v>
      </c>
      <c r="F79" s="107"/>
    </row>
    <row r="80" spans="1:6" x14ac:dyDescent="0.25">
      <c r="A80" s="50" t="s">
        <v>123</v>
      </c>
      <c r="B80" s="43">
        <v>4012024</v>
      </c>
      <c r="C80" s="42">
        <v>325</v>
      </c>
    </row>
    <row r="81" spans="1:3" x14ac:dyDescent="0.25">
      <c r="A81" s="50" t="s">
        <v>139</v>
      </c>
      <c r="B81" s="43">
        <v>4012024</v>
      </c>
      <c r="C81" s="42">
        <v>1225</v>
      </c>
    </row>
    <row r="82" spans="1:3" x14ac:dyDescent="0.25">
      <c r="A82" s="50" t="s">
        <v>132</v>
      </c>
      <c r="B82" s="43">
        <v>4012024</v>
      </c>
      <c r="C82" s="42">
        <v>600</v>
      </c>
    </row>
    <row r="83" spans="1:3" x14ac:dyDescent="0.25">
      <c r="A83" s="50" t="s">
        <v>136</v>
      </c>
      <c r="B83" s="43">
        <v>3012024</v>
      </c>
      <c r="C83" s="42">
        <v>462.5</v>
      </c>
    </row>
    <row r="84" spans="1:3" x14ac:dyDescent="0.25">
      <c r="A84" s="50" t="s">
        <v>134</v>
      </c>
      <c r="B84" s="43">
        <v>3012024</v>
      </c>
      <c r="C84" s="42">
        <v>3949.5</v>
      </c>
    </row>
    <row r="85" spans="1:3" x14ac:dyDescent="0.25">
      <c r="A85" s="50" t="s">
        <v>127</v>
      </c>
      <c r="B85" s="43">
        <v>3012024</v>
      </c>
      <c r="C85" s="42">
        <v>810</v>
      </c>
    </row>
    <row r="86" spans="1:3" x14ac:dyDescent="0.25">
      <c r="A86" s="50" t="s">
        <v>123</v>
      </c>
      <c r="B86" s="43">
        <v>2012024</v>
      </c>
      <c r="C86" s="42">
        <v>375</v>
      </c>
    </row>
    <row r="87" spans="1:3" x14ac:dyDescent="0.25">
      <c r="A87" s="50" t="s">
        <v>140</v>
      </c>
      <c r="B87" s="43">
        <v>2012024</v>
      </c>
      <c r="C87" s="42">
        <v>75</v>
      </c>
    </row>
    <row r="88" spans="1:3" x14ac:dyDescent="0.25">
      <c r="A88" s="50" t="s">
        <v>123</v>
      </c>
      <c r="B88" s="43">
        <v>1012024</v>
      </c>
      <c r="C88" s="42">
        <v>150</v>
      </c>
    </row>
    <row r="89" spans="1:3" x14ac:dyDescent="0.25">
      <c r="A89" s="50" t="s">
        <v>133</v>
      </c>
      <c r="B89" s="43">
        <v>1012024</v>
      </c>
      <c r="C89" s="42">
        <v>175</v>
      </c>
    </row>
    <row r="90" spans="1:3" x14ac:dyDescent="0.25">
      <c r="A90" s="50" t="s">
        <v>133</v>
      </c>
      <c r="B90" s="43">
        <v>1012024</v>
      </c>
      <c r="C90" s="42">
        <v>212.5</v>
      </c>
    </row>
    <row r="91" spans="1:3" x14ac:dyDescent="0.25">
      <c r="A91" s="50" t="s">
        <v>133</v>
      </c>
      <c r="B91" s="43">
        <v>1012024</v>
      </c>
      <c r="C91" s="42">
        <v>187.5</v>
      </c>
    </row>
    <row r="92" spans="1:3" x14ac:dyDescent="0.25">
      <c r="A92" s="50" t="s">
        <v>133</v>
      </c>
      <c r="B92" s="43">
        <v>1012024</v>
      </c>
      <c r="C92" s="42">
        <v>212</v>
      </c>
    </row>
    <row r="93" spans="1:3" x14ac:dyDescent="0.25">
      <c r="A93" s="103" t="s">
        <v>133</v>
      </c>
      <c r="B93" s="104"/>
      <c r="C93" s="105"/>
    </row>
    <row r="94" spans="1:3" x14ac:dyDescent="0.25">
      <c r="A94" s="122" t="s">
        <v>133</v>
      </c>
      <c r="B94" s="123">
        <v>45326</v>
      </c>
      <c r="C94" s="124">
        <v>150</v>
      </c>
    </row>
    <row r="95" spans="1:3" x14ac:dyDescent="0.25">
      <c r="A95" s="122" t="s">
        <v>133</v>
      </c>
      <c r="B95" s="123">
        <v>45326</v>
      </c>
      <c r="C95" s="124">
        <v>225</v>
      </c>
    </row>
    <row r="96" spans="1:3" x14ac:dyDescent="0.25">
      <c r="A96" s="50" t="s">
        <v>123</v>
      </c>
      <c r="B96" s="106">
        <v>45327</v>
      </c>
      <c r="C96" s="42">
        <v>465</v>
      </c>
    </row>
    <row r="97" spans="1:3" x14ac:dyDescent="0.25">
      <c r="A97" s="122" t="s">
        <v>307</v>
      </c>
      <c r="B97" s="123">
        <v>45327</v>
      </c>
      <c r="C97" s="124">
        <v>125</v>
      </c>
    </row>
    <row r="98" spans="1:3" x14ac:dyDescent="0.25">
      <c r="A98" s="122" t="s">
        <v>308</v>
      </c>
      <c r="B98" s="123">
        <v>45328</v>
      </c>
      <c r="C98" s="124">
        <v>350</v>
      </c>
    </row>
    <row r="99" spans="1:3" x14ac:dyDescent="0.25">
      <c r="A99" s="50" t="s">
        <v>127</v>
      </c>
      <c r="B99" s="106">
        <v>45328</v>
      </c>
      <c r="C99" s="42">
        <v>802</v>
      </c>
    </row>
    <row r="100" spans="1:3" x14ac:dyDescent="0.25">
      <c r="A100" s="122" t="s">
        <v>308</v>
      </c>
      <c r="B100" s="123">
        <v>45328</v>
      </c>
      <c r="C100" s="124">
        <v>137.5</v>
      </c>
    </row>
    <row r="101" spans="1:3" x14ac:dyDescent="0.25">
      <c r="A101" s="50" t="s">
        <v>123</v>
      </c>
      <c r="B101" s="106">
        <v>45328</v>
      </c>
      <c r="C101" s="42">
        <v>462.5</v>
      </c>
    </row>
    <row r="102" spans="1:3" x14ac:dyDescent="0.25">
      <c r="A102" s="122" t="s">
        <v>309</v>
      </c>
      <c r="B102" s="123">
        <v>45329</v>
      </c>
      <c r="C102" s="124">
        <v>2537</v>
      </c>
    </row>
    <row r="103" spans="1:3" x14ac:dyDescent="0.25">
      <c r="A103" s="50" t="s">
        <v>137</v>
      </c>
      <c r="B103" s="106">
        <v>45329</v>
      </c>
      <c r="C103" s="42">
        <v>25</v>
      </c>
    </row>
    <row r="104" spans="1:3" x14ac:dyDescent="0.25">
      <c r="A104" s="50" t="s">
        <v>125</v>
      </c>
      <c r="B104" s="106">
        <v>45329</v>
      </c>
      <c r="C104" s="42">
        <v>1112.5</v>
      </c>
    </row>
    <row r="105" spans="1:3" x14ac:dyDescent="0.25">
      <c r="A105" s="50" t="s">
        <v>123</v>
      </c>
      <c r="B105" s="106">
        <v>45329</v>
      </c>
      <c r="C105" s="42">
        <v>425</v>
      </c>
    </row>
    <row r="106" spans="1:3" x14ac:dyDescent="0.25">
      <c r="A106" s="50" t="s">
        <v>310</v>
      </c>
      <c r="B106" s="106">
        <v>45330</v>
      </c>
      <c r="C106" s="42">
        <v>250</v>
      </c>
    </row>
    <row r="107" spans="1:3" x14ac:dyDescent="0.25">
      <c r="A107" s="50" t="s">
        <v>308</v>
      </c>
      <c r="B107" s="106">
        <v>45330</v>
      </c>
      <c r="C107" s="42">
        <v>212.5</v>
      </c>
    </row>
    <row r="108" spans="1:3" x14ac:dyDescent="0.25">
      <c r="A108" s="50" t="s">
        <v>125</v>
      </c>
      <c r="B108" s="106">
        <v>45330</v>
      </c>
      <c r="C108" s="42">
        <v>1500</v>
      </c>
    </row>
    <row r="109" spans="1:3" x14ac:dyDescent="0.25">
      <c r="A109" s="50" t="s">
        <v>311</v>
      </c>
      <c r="B109" s="106">
        <v>45330</v>
      </c>
      <c r="C109" s="42">
        <v>850</v>
      </c>
    </row>
    <row r="110" spans="1:3" x14ac:dyDescent="0.25">
      <c r="A110" s="50" t="s">
        <v>312</v>
      </c>
      <c r="B110" s="106">
        <v>45330</v>
      </c>
    </row>
    <row r="111" spans="1:3" x14ac:dyDescent="0.25">
      <c r="A111" s="50" t="s">
        <v>312</v>
      </c>
      <c r="B111" s="106">
        <v>45331</v>
      </c>
    </row>
    <row r="112" spans="1:3" x14ac:dyDescent="0.25">
      <c r="A112" s="50" t="s">
        <v>308</v>
      </c>
      <c r="B112" s="106">
        <v>45331</v>
      </c>
      <c r="C112" s="42">
        <v>197.5</v>
      </c>
    </row>
    <row r="113" spans="1:3" x14ac:dyDescent="0.25">
      <c r="A113" s="50" t="s">
        <v>307</v>
      </c>
      <c r="B113" s="106">
        <v>45331</v>
      </c>
      <c r="C113" s="42">
        <v>250</v>
      </c>
    </row>
    <row r="114" spans="1:3" x14ac:dyDescent="0.25">
      <c r="A114" s="50" t="s">
        <v>123</v>
      </c>
      <c r="B114" s="106">
        <v>45331</v>
      </c>
      <c r="C114" s="42">
        <v>537.5</v>
      </c>
    </row>
    <row r="115" spans="1:3" x14ac:dyDescent="0.25">
      <c r="A115" s="50" t="s">
        <v>308</v>
      </c>
      <c r="B115" s="106">
        <v>45332</v>
      </c>
      <c r="C115" s="42">
        <v>200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58DAA-311A-469A-89CF-D5A991D12DF0}">
  <sheetPr codeName="Planilha15"/>
  <dimension ref="A1:F36"/>
  <sheetViews>
    <sheetView topLeftCell="A4" zoomScale="70" zoomScaleNormal="70" workbookViewId="0">
      <selection activeCell="I30" sqref="I30"/>
    </sheetView>
  </sheetViews>
  <sheetFormatPr defaultRowHeight="15" x14ac:dyDescent="0.25"/>
  <cols>
    <col min="1" max="1" width="26.140625" bestFit="1" customWidth="1"/>
    <col min="5" max="5" width="28.140625" bestFit="1" customWidth="1"/>
  </cols>
  <sheetData>
    <row r="1" spans="1:6" x14ac:dyDescent="0.25">
      <c r="A1" s="22" t="str">
        <f>Form_Pedido!A16</f>
        <v>Fogazza de Queijo</v>
      </c>
      <c r="B1" s="22">
        <v>15</v>
      </c>
      <c r="C1" s="22"/>
      <c r="E1" s="22" t="str">
        <f>A1</f>
        <v>Fogazza de Queijo</v>
      </c>
      <c r="F1" s="22">
        <v>10</v>
      </c>
    </row>
    <row r="2" spans="1:6" x14ac:dyDescent="0.25">
      <c r="A2" s="22" t="str">
        <f>Form_Pedido!A17</f>
        <v>Fogazza de Pres. e Queijo</v>
      </c>
      <c r="B2" s="22">
        <v>30</v>
      </c>
      <c r="C2" s="22"/>
      <c r="E2" s="22" t="str">
        <f t="shared" ref="E2:E36" si="0">A2</f>
        <v>Fogazza de Pres. e Queijo</v>
      </c>
      <c r="F2" s="22">
        <v>25</v>
      </c>
    </row>
    <row r="3" spans="1:6" x14ac:dyDescent="0.25">
      <c r="A3" s="22" t="str">
        <f>Form_Pedido!A18</f>
        <v>Fogazza de Calabresa</v>
      </c>
      <c r="B3" s="22">
        <v>10</v>
      </c>
      <c r="C3" s="22"/>
      <c r="E3" s="22" t="str">
        <f t="shared" si="0"/>
        <v>Fogazza de Calabresa</v>
      </c>
      <c r="F3" s="22">
        <v>10</v>
      </c>
    </row>
    <row r="4" spans="1:6" x14ac:dyDescent="0.25">
      <c r="A4" s="22" t="str">
        <f>Form_Pedido!A19</f>
        <v>Fogaza de Frango</v>
      </c>
      <c r="B4" s="22">
        <v>15</v>
      </c>
      <c r="C4" s="22"/>
      <c r="E4" s="22" t="str">
        <f t="shared" si="0"/>
        <v>Fogaza de Frango</v>
      </c>
      <c r="F4" s="22">
        <v>0</v>
      </c>
    </row>
    <row r="5" spans="1:6" x14ac:dyDescent="0.25">
      <c r="A5" s="22"/>
      <c r="B5" s="22"/>
      <c r="C5" s="22"/>
      <c r="E5" s="22"/>
      <c r="F5" s="22"/>
    </row>
    <row r="6" spans="1:6" x14ac:dyDescent="0.25">
      <c r="A6" s="22" t="str">
        <f>Form_Pedido!A27</f>
        <v>Coxinha</v>
      </c>
      <c r="B6" s="22">
        <v>400</v>
      </c>
      <c r="C6" s="22">
        <v>100</v>
      </c>
      <c r="E6" s="22" t="str">
        <f t="shared" si="0"/>
        <v>Coxinha</v>
      </c>
      <c r="F6" s="22">
        <v>260</v>
      </c>
    </row>
    <row r="7" spans="1:6" x14ac:dyDescent="0.25">
      <c r="A7" s="22" t="str">
        <f>Form_Pedido!A29</f>
        <v>Risoli de Queijo</v>
      </c>
      <c r="B7" s="22">
        <v>50</v>
      </c>
      <c r="C7" s="22"/>
      <c r="E7" s="22" t="str">
        <f t="shared" si="0"/>
        <v>Risoli de Queijo</v>
      </c>
      <c r="F7" s="22">
        <v>45</v>
      </c>
    </row>
    <row r="8" spans="1:6" x14ac:dyDescent="0.25">
      <c r="A8" s="22" t="str">
        <f>Form_Pedido!A30</f>
        <v>Risoli de Pres. e Queijo</v>
      </c>
      <c r="B8" s="22">
        <v>100</v>
      </c>
      <c r="C8" s="22"/>
      <c r="E8" s="22" t="str">
        <f t="shared" si="0"/>
        <v>Risoli de Pres. e Queijo</v>
      </c>
      <c r="F8" s="22">
        <v>45</v>
      </c>
    </row>
    <row r="9" spans="1:6" x14ac:dyDescent="0.25">
      <c r="A9" s="22" t="str">
        <f>Form_Pedido!A31</f>
        <v>Bolinho de Carne</v>
      </c>
      <c r="B9" s="22">
        <v>40</v>
      </c>
      <c r="C9" s="22"/>
      <c r="E9" s="22" t="str">
        <f t="shared" si="0"/>
        <v>Bolinho de Carne</v>
      </c>
      <c r="F9" s="22">
        <v>20</v>
      </c>
    </row>
    <row r="10" spans="1:6" x14ac:dyDescent="0.25">
      <c r="A10" s="22" t="str">
        <f>Form_Pedido!A32</f>
        <v>Kibe</v>
      </c>
      <c r="B10" s="22">
        <v>150</v>
      </c>
      <c r="C10" s="22"/>
      <c r="E10" s="22" t="str">
        <f t="shared" si="0"/>
        <v>Kibe</v>
      </c>
      <c r="F10" s="22">
        <v>70</v>
      </c>
    </row>
    <row r="11" spans="1:6" x14ac:dyDescent="0.25">
      <c r="A11" s="22" t="str">
        <f>Form_Pedido!A33</f>
        <v>Enroladinho de Salsicha</v>
      </c>
      <c r="B11" s="22">
        <v>50</v>
      </c>
      <c r="C11" s="22"/>
      <c r="E11" s="22" t="str">
        <f t="shared" si="0"/>
        <v>Enroladinho de Salsicha</v>
      </c>
      <c r="F11" s="22">
        <v>45</v>
      </c>
    </row>
    <row r="12" spans="1:6" x14ac:dyDescent="0.25">
      <c r="A12" s="22"/>
      <c r="B12" s="22"/>
      <c r="C12" s="22"/>
      <c r="E12" s="22"/>
      <c r="F12" s="22"/>
    </row>
    <row r="13" spans="1:6" x14ac:dyDescent="0.25">
      <c r="A13" s="22" t="str">
        <f>Form_Pedido!A35</f>
        <v>Croissants de Pres. e Queijo</v>
      </c>
      <c r="B13" s="22">
        <v>80</v>
      </c>
      <c r="C13" s="22"/>
      <c r="E13" s="22" t="str">
        <f t="shared" si="0"/>
        <v>Croissants de Pres. e Queijo</v>
      </c>
      <c r="F13" s="22">
        <v>35</v>
      </c>
    </row>
    <row r="14" spans="1:6" x14ac:dyDescent="0.25">
      <c r="A14" s="22" t="str">
        <f>Form_Pedido!A36</f>
        <v>Croissants de Queijo</v>
      </c>
      <c r="B14" s="22">
        <v>15</v>
      </c>
      <c r="C14" s="22"/>
      <c r="E14" s="22" t="str">
        <f t="shared" si="0"/>
        <v>Croissants de Queijo</v>
      </c>
      <c r="F14" s="22">
        <v>20</v>
      </c>
    </row>
    <row r="15" spans="1:6" x14ac:dyDescent="0.25">
      <c r="A15" s="22" t="str">
        <f>Form_Pedido!A37</f>
        <v>Croissants de Calabresa</v>
      </c>
      <c r="B15" s="22">
        <v>15</v>
      </c>
      <c r="C15" s="22"/>
      <c r="E15" s="22" t="str">
        <f t="shared" si="0"/>
        <v>Croissants de Calabresa</v>
      </c>
      <c r="F15" s="22">
        <v>5</v>
      </c>
    </row>
    <row r="16" spans="1:6" x14ac:dyDescent="0.25">
      <c r="A16" s="22" t="str">
        <f>Form_Pedido!A38</f>
        <v>Croissants de Frango</v>
      </c>
      <c r="B16" s="22">
        <v>15</v>
      </c>
      <c r="C16" s="22"/>
      <c r="E16" s="22" t="str">
        <f t="shared" si="0"/>
        <v>Croissants de Frango</v>
      </c>
      <c r="F16" s="22">
        <v>5</v>
      </c>
    </row>
    <row r="17" spans="1:6" x14ac:dyDescent="0.25">
      <c r="A17" s="22"/>
      <c r="B17" s="22"/>
      <c r="C17" s="22"/>
      <c r="E17" s="22"/>
      <c r="F17" s="22"/>
    </row>
    <row r="18" spans="1:6" x14ac:dyDescent="0.25">
      <c r="A18" s="22" t="str">
        <f>Form_Pedido!A40</f>
        <v>Enroladinho de Frango</v>
      </c>
      <c r="B18" s="22">
        <v>20</v>
      </c>
      <c r="C18" s="22"/>
      <c r="E18" s="22" t="str">
        <f t="shared" si="0"/>
        <v>Enroladinho de Frango</v>
      </c>
      <c r="F18" s="22">
        <v>15</v>
      </c>
    </row>
    <row r="19" spans="1:6" x14ac:dyDescent="0.25">
      <c r="A19" s="22" t="str">
        <f>Form_Pedido!A41</f>
        <v>Enroladinho de Calabresa</v>
      </c>
      <c r="B19" s="22">
        <v>20</v>
      </c>
      <c r="C19" s="22"/>
      <c r="E19" s="22" t="str">
        <f t="shared" si="0"/>
        <v>Enroladinho de Calabresa</v>
      </c>
      <c r="F19" s="22">
        <v>35</v>
      </c>
    </row>
    <row r="20" spans="1:6" x14ac:dyDescent="0.25">
      <c r="A20" s="22" t="str">
        <f>Form_Pedido!A42</f>
        <v>Enroladinho Pres. e Queijo</v>
      </c>
      <c r="B20" s="22">
        <v>50</v>
      </c>
      <c r="C20" s="22"/>
      <c r="E20" s="22" t="str">
        <f t="shared" si="0"/>
        <v>Enroladinho Pres. e Queijo</v>
      </c>
      <c r="F20" s="22">
        <v>14</v>
      </c>
    </row>
    <row r="21" spans="1:6" x14ac:dyDescent="0.25">
      <c r="A21" s="22"/>
      <c r="B21" s="22"/>
      <c r="C21" s="22"/>
      <c r="E21" s="22"/>
      <c r="F21" s="22"/>
    </row>
    <row r="22" spans="1:6" x14ac:dyDescent="0.25">
      <c r="A22" s="22" t="str">
        <f>Form_Pedido!A44</f>
        <v>Esfihas de Carne</v>
      </c>
      <c r="B22" s="22">
        <v>250</v>
      </c>
      <c r="C22" s="22"/>
      <c r="E22" s="22" t="str">
        <f t="shared" si="0"/>
        <v>Esfihas de Carne</v>
      </c>
      <c r="F22" s="22">
        <v>145</v>
      </c>
    </row>
    <row r="23" spans="1:6" x14ac:dyDescent="0.25">
      <c r="A23" s="22" t="str">
        <f>Form_Pedido!A45</f>
        <v>Esfihas de Queijo</v>
      </c>
      <c r="B23" s="22">
        <v>70</v>
      </c>
      <c r="C23" s="22"/>
      <c r="E23" s="22" t="str">
        <f t="shared" si="0"/>
        <v>Esfihas de Queijo</v>
      </c>
      <c r="F23" s="22">
        <v>10</v>
      </c>
    </row>
    <row r="24" spans="1:6" x14ac:dyDescent="0.25">
      <c r="A24" s="22" t="str">
        <f>Form_Pedido!A46</f>
        <v>Esfihas de Frango</v>
      </c>
      <c r="B24" s="22">
        <v>150</v>
      </c>
      <c r="C24" s="22"/>
      <c r="E24" s="22" t="str">
        <f t="shared" si="0"/>
        <v>Esfihas de Frango</v>
      </c>
      <c r="F24" s="22">
        <v>80</v>
      </c>
    </row>
    <row r="25" spans="1:6" x14ac:dyDescent="0.25">
      <c r="A25" s="22" t="str">
        <f>Form_Pedido!A47</f>
        <v>Esfihas de Calabresa</v>
      </c>
      <c r="B25" s="22">
        <v>150</v>
      </c>
      <c r="C25" s="22"/>
      <c r="E25" s="22" t="str">
        <f t="shared" si="0"/>
        <v>Esfihas de Calabresa</v>
      </c>
      <c r="F25" s="22">
        <v>75</v>
      </c>
    </row>
    <row r="26" spans="1:6" x14ac:dyDescent="0.25">
      <c r="A26" s="22" t="str">
        <f>Form_Pedido!A48</f>
        <v>Salsicha Assada</v>
      </c>
      <c r="B26" s="22">
        <v>80</v>
      </c>
      <c r="C26" s="22"/>
      <c r="E26" s="22" t="str">
        <f t="shared" si="0"/>
        <v>Salsicha Assada</v>
      </c>
      <c r="F26" s="22">
        <v>30</v>
      </c>
    </row>
    <row r="27" spans="1:6" x14ac:dyDescent="0.25">
      <c r="A27" s="22"/>
      <c r="B27" s="22"/>
      <c r="C27" s="22"/>
      <c r="E27" s="22"/>
      <c r="F27" s="22"/>
    </row>
    <row r="28" spans="1:6" x14ac:dyDescent="0.25">
      <c r="A28" s="22" t="str">
        <f>Form_Pedido!A50</f>
        <v>Bauru de Presunto e Queijo</v>
      </c>
      <c r="B28" s="22">
        <v>200</v>
      </c>
      <c r="C28" s="22"/>
      <c r="E28" s="22" t="str">
        <f t="shared" si="0"/>
        <v>Bauru de Presunto e Queijo</v>
      </c>
      <c r="F28" s="22">
        <v>105</v>
      </c>
    </row>
    <row r="29" spans="1:6" x14ac:dyDescent="0.25">
      <c r="A29" s="22" t="str">
        <f>Form_Pedido!A51</f>
        <v>Bauru de Frango</v>
      </c>
      <c r="B29" s="22">
        <v>80</v>
      </c>
      <c r="C29" s="22"/>
      <c r="E29" s="22" t="str">
        <f t="shared" si="0"/>
        <v>Bauru de Frango</v>
      </c>
      <c r="F29" s="22">
        <v>65</v>
      </c>
    </row>
    <row r="30" spans="1:6" x14ac:dyDescent="0.25">
      <c r="A30" s="22" t="str">
        <f>Form_Pedido!A52</f>
        <v>Bauru de Calabresa</v>
      </c>
      <c r="B30" s="22">
        <v>80</v>
      </c>
      <c r="C30" s="22"/>
      <c r="E30" s="22" t="str">
        <f t="shared" si="0"/>
        <v>Bauru de Calabresa</v>
      </c>
      <c r="F30" s="22">
        <v>5</v>
      </c>
    </row>
    <row r="31" spans="1:6" x14ac:dyDescent="0.25">
      <c r="A31" s="22" t="str">
        <f>Form_Pedido!A53</f>
        <v>Empada de Palmito</v>
      </c>
      <c r="B31" s="22"/>
      <c r="C31" s="22"/>
      <c r="E31" s="22" t="str">
        <f t="shared" si="0"/>
        <v>Empada de Palmito</v>
      </c>
      <c r="F31" s="22">
        <v>15</v>
      </c>
    </row>
    <row r="32" spans="1:6" x14ac:dyDescent="0.25">
      <c r="A32" s="22" t="str">
        <f>Form_Pedido!A54</f>
        <v>Empada de Frango</v>
      </c>
      <c r="B32" s="22"/>
      <c r="C32" s="22"/>
      <c r="E32" s="22" t="str">
        <f t="shared" si="0"/>
        <v>Empada de Frango</v>
      </c>
      <c r="F32" s="22">
        <v>40</v>
      </c>
    </row>
    <row r="33" spans="1:6" x14ac:dyDescent="0.25">
      <c r="A33" s="22"/>
      <c r="B33" s="22"/>
      <c r="C33" s="22"/>
      <c r="E33" s="22"/>
      <c r="F33" s="22"/>
    </row>
    <row r="34" spans="1:6" x14ac:dyDescent="0.25">
      <c r="A34" s="22" t="str">
        <f>Form_Pedido!A56</f>
        <v>Hamburgão Cheddar</v>
      </c>
      <c r="B34" s="22">
        <v>200</v>
      </c>
      <c r="C34" s="22"/>
      <c r="E34" s="22" t="str">
        <f t="shared" si="0"/>
        <v>Hamburgão Cheddar</v>
      </c>
      <c r="F34" s="22">
        <v>105</v>
      </c>
    </row>
    <row r="35" spans="1:6" x14ac:dyDescent="0.25">
      <c r="A35" s="22" t="str">
        <f>Form_Pedido!A57</f>
        <v>Pizza de Calabresa</v>
      </c>
      <c r="B35" s="22"/>
      <c r="C35" s="22"/>
      <c r="E35" s="22" t="str">
        <f t="shared" si="0"/>
        <v>Pizza de Calabresa</v>
      </c>
      <c r="F35" s="22">
        <v>15</v>
      </c>
    </row>
    <row r="36" spans="1:6" x14ac:dyDescent="0.25">
      <c r="A36" s="22" t="str">
        <f>Form_Pedido!A58</f>
        <v>Pizza de Frango</v>
      </c>
      <c r="B36" s="22"/>
      <c r="C36" s="22"/>
      <c r="E36" s="22" t="str">
        <f t="shared" si="0"/>
        <v>Pizza de Frango</v>
      </c>
      <c r="F36" s="22">
        <v>5</v>
      </c>
    </row>
  </sheetData>
  <pageMargins left="0.511811024" right="0.511811024" top="0.78740157499999996" bottom="0.78740157499999996" header="0.31496062000000002" footer="0.31496062000000002"/>
  <pageSetup paperSize="11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B98-C19C-4B56-9E5B-3629E27DAE5C}">
  <sheetPr codeName="Planilha14"/>
  <dimension ref="A1:XD342"/>
  <sheetViews>
    <sheetView zoomScale="37" zoomScaleNormal="37" workbookViewId="0">
      <selection activeCell="K32" sqref="K32"/>
    </sheetView>
  </sheetViews>
  <sheetFormatPr defaultRowHeight="15" x14ac:dyDescent="0.25"/>
  <cols>
    <col min="1" max="1" width="71.28515625" bestFit="1" customWidth="1"/>
    <col min="2" max="2" width="34.85546875" bestFit="1" customWidth="1"/>
    <col min="3" max="3" width="41.85546875" bestFit="1" customWidth="1"/>
    <col min="4" max="4" width="9.140625" style="285"/>
    <col min="5" max="5" width="77.28515625" customWidth="1"/>
    <col min="6" max="6" width="25.5703125" customWidth="1"/>
    <col min="7" max="7" width="41.85546875" bestFit="1" customWidth="1"/>
    <col min="8" max="9" width="9.140625" style="285"/>
    <col min="10" max="10" width="19.85546875" style="285" customWidth="1"/>
    <col min="11" max="12" width="9.140625" style="285" customWidth="1"/>
    <col min="13" max="15" width="9.140625" style="285"/>
    <col min="16" max="16" width="23.7109375" style="285" customWidth="1"/>
    <col min="17" max="71" width="9.140625" style="285"/>
    <col min="628" max="628" width="13.28515625" bestFit="1" customWidth="1"/>
  </cols>
  <sheetData>
    <row r="1" spans="1:19" ht="57" customHeight="1" thickTop="1" thickBot="1" x14ac:dyDescent="0.65">
      <c r="A1" s="516" t="s">
        <v>457</v>
      </c>
      <c r="B1" s="517"/>
      <c r="C1" s="518"/>
      <c r="E1" s="288" t="s">
        <v>458</v>
      </c>
      <c r="F1" s="546"/>
      <c r="G1" s="547"/>
    </row>
    <row r="2" spans="1:19" ht="61.5" thickTop="1" thickBot="1" x14ac:dyDescent="0.85">
      <c r="A2" s="273" t="s">
        <v>97</v>
      </c>
      <c r="B2" s="274" t="s">
        <v>118</v>
      </c>
      <c r="C2" s="275" t="s">
        <v>99</v>
      </c>
      <c r="E2" s="287" t="s">
        <v>47</v>
      </c>
      <c r="F2" s="548">
        <v>45897</v>
      </c>
      <c r="G2" s="549"/>
      <c r="J2" s="519"/>
      <c r="K2" s="520"/>
      <c r="L2" s="520"/>
      <c r="M2" s="520"/>
      <c r="N2" s="520"/>
      <c r="O2" s="520"/>
      <c r="P2" s="521"/>
      <c r="Q2" s="525"/>
      <c r="R2" s="526"/>
      <c r="S2" s="527"/>
    </row>
    <row r="3" spans="1:19" ht="36.75" thickTop="1" thickBot="1" x14ac:dyDescent="0.55000000000000004">
      <c r="A3" s="269" t="s">
        <v>440</v>
      </c>
      <c r="B3" s="279">
        <v>30</v>
      </c>
      <c r="C3" s="191">
        <f>B3*2</f>
        <v>60</v>
      </c>
      <c r="E3" s="531"/>
      <c r="F3" s="532"/>
      <c r="G3" s="533"/>
      <c r="J3" s="522"/>
      <c r="K3" s="523"/>
      <c r="L3" s="523"/>
      <c r="M3" s="523"/>
      <c r="N3" s="523"/>
      <c r="O3" s="523"/>
      <c r="P3" s="524"/>
      <c r="Q3" s="528"/>
      <c r="R3" s="529"/>
      <c r="S3" s="530"/>
    </row>
    <row r="4" spans="1:19" ht="36.75" thickTop="1" thickBot="1" x14ac:dyDescent="0.55000000000000004">
      <c r="A4" s="270" t="s">
        <v>116</v>
      </c>
      <c r="B4" s="280">
        <v>0</v>
      </c>
      <c r="C4" s="191">
        <f t="shared" ref="C4:C38" si="0">B4*2</f>
        <v>0</v>
      </c>
      <c r="E4" s="543" t="s">
        <v>460</v>
      </c>
      <c r="F4" s="544"/>
      <c r="G4" s="545"/>
    </row>
    <row r="5" spans="1:19" ht="36.75" thickTop="1" thickBot="1" x14ac:dyDescent="0.55000000000000004">
      <c r="A5" s="271" t="s">
        <v>441</v>
      </c>
      <c r="B5" s="280">
        <v>0</v>
      </c>
      <c r="C5" s="191">
        <f t="shared" si="0"/>
        <v>0</v>
      </c>
      <c r="E5" s="283" t="s">
        <v>97</v>
      </c>
      <c r="F5" s="283" t="s">
        <v>118</v>
      </c>
      <c r="G5" s="284" t="s">
        <v>99</v>
      </c>
      <c r="J5" s="550" t="s">
        <v>479</v>
      </c>
      <c r="K5" s="551"/>
      <c r="L5" s="554">
        <v>45897</v>
      </c>
      <c r="M5" s="555"/>
      <c r="N5" s="555"/>
      <c r="O5" s="556"/>
    </row>
    <row r="6" spans="1:19" ht="36.75" thickTop="1" thickBot="1" x14ac:dyDescent="0.55000000000000004">
      <c r="A6" s="271" t="s">
        <v>50</v>
      </c>
      <c r="B6" s="280">
        <v>0</v>
      </c>
      <c r="C6" s="191">
        <f t="shared" si="0"/>
        <v>0</v>
      </c>
      <c r="E6" s="269" t="s">
        <v>440</v>
      </c>
      <c r="F6" s="276"/>
      <c r="G6" s="191">
        <f>F6*2</f>
        <v>0</v>
      </c>
      <c r="J6" s="552"/>
      <c r="K6" s="553"/>
      <c r="L6" s="557"/>
      <c r="M6" s="558"/>
      <c r="N6" s="558"/>
      <c r="O6" s="559"/>
    </row>
    <row r="7" spans="1:19" ht="36.75" thickTop="1" thickBot="1" x14ac:dyDescent="0.55000000000000004">
      <c r="A7" s="272" t="s">
        <v>431</v>
      </c>
      <c r="B7" s="280">
        <v>0</v>
      </c>
      <c r="C7" s="191">
        <f t="shared" si="0"/>
        <v>0</v>
      </c>
      <c r="E7" s="272" t="s">
        <v>116</v>
      </c>
      <c r="F7" s="276"/>
      <c r="G7" s="191">
        <f>F7*2</f>
        <v>0</v>
      </c>
    </row>
    <row r="8" spans="1:19" ht="36.75" thickTop="1" thickBot="1" x14ac:dyDescent="0.55000000000000004">
      <c r="A8" s="272" t="s">
        <v>432</v>
      </c>
      <c r="B8" s="281">
        <v>0</v>
      </c>
      <c r="C8" s="191">
        <f t="shared" si="0"/>
        <v>0</v>
      </c>
      <c r="E8" s="269" t="s">
        <v>441</v>
      </c>
      <c r="F8" s="276"/>
      <c r="G8" s="191">
        <f>F8*2</f>
        <v>0</v>
      </c>
    </row>
    <row r="9" spans="1:19" ht="36.75" thickTop="1" thickBot="1" x14ac:dyDescent="0.55000000000000004">
      <c r="A9" s="269" t="s">
        <v>433</v>
      </c>
      <c r="B9" s="280">
        <v>0</v>
      </c>
      <c r="C9" s="191">
        <f t="shared" si="0"/>
        <v>0</v>
      </c>
      <c r="E9" s="269" t="s">
        <v>50</v>
      </c>
      <c r="F9" s="276"/>
      <c r="G9" s="191">
        <f>F9*2</f>
        <v>0</v>
      </c>
    </row>
    <row r="10" spans="1:19" ht="36.75" thickTop="1" thickBot="1" x14ac:dyDescent="0.55000000000000004">
      <c r="A10" s="272" t="s">
        <v>434</v>
      </c>
      <c r="B10" s="280">
        <v>0</v>
      </c>
      <c r="C10" s="191">
        <f t="shared" si="0"/>
        <v>0</v>
      </c>
      <c r="E10" s="272" t="s">
        <v>431</v>
      </c>
      <c r="F10" s="276"/>
      <c r="G10" s="191">
        <f>F10*2</f>
        <v>0</v>
      </c>
    </row>
    <row r="11" spans="1:19" ht="36.75" thickTop="1" thickBot="1" x14ac:dyDescent="0.55000000000000004">
      <c r="A11" s="272" t="s">
        <v>435</v>
      </c>
      <c r="B11" s="280">
        <v>0</v>
      </c>
      <c r="C11" s="191">
        <f t="shared" si="0"/>
        <v>0</v>
      </c>
      <c r="E11" s="272" t="s">
        <v>432</v>
      </c>
      <c r="F11" s="277"/>
      <c r="G11" s="191">
        <f>F11*0.4</f>
        <v>0</v>
      </c>
    </row>
    <row r="12" spans="1:19" ht="36.75" thickTop="1" thickBot="1" x14ac:dyDescent="0.55000000000000004">
      <c r="A12" s="270" t="s">
        <v>12</v>
      </c>
      <c r="B12" s="280">
        <v>10</v>
      </c>
      <c r="C12" s="191">
        <f t="shared" si="0"/>
        <v>20</v>
      </c>
      <c r="E12" s="269" t="s">
        <v>433</v>
      </c>
      <c r="F12" s="276"/>
      <c r="G12" s="191">
        <f>F12*0.4</f>
        <v>0</v>
      </c>
    </row>
    <row r="13" spans="1:19" ht="36.75" thickTop="1" thickBot="1" x14ac:dyDescent="0.55000000000000004">
      <c r="A13" s="270" t="s">
        <v>436</v>
      </c>
      <c r="B13" s="280">
        <v>0</v>
      </c>
      <c r="C13" s="191">
        <f t="shared" si="0"/>
        <v>0</v>
      </c>
      <c r="E13" s="272" t="s">
        <v>434</v>
      </c>
      <c r="F13" s="276"/>
      <c r="G13" s="191">
        <f>F13*0.4</f>
        <v>0</v>
      </c>
    </row>
    <row r="14" spans="1:19" ht="36.75" thickTop="1" thickBot="1" x14ac:dyDescent="0.55000000000000004">
      <c r="A14" s="270" t="s">
        <v>55</v>
      </c>
      <c r="B14" s="280">
        <v>20</v>
      </c>
      <c r="C14" s="191">
        <f t="shared" si="0"/>
        <v>40</v>
      </c>
      <c r="E14" s="272" t="s">
        <v>435</v>
      </c>
      <c r="F14" s="276"/>
      <c r="G14" s="191">
        <f>F14*0.4</f>
        <v>0</v>
      </c>
    </row>
    <row r="15" spans="1:19" ht="36.75" thickTop="1" thickBot="1" x14ac:dyDescent="0.55000000000000004">
      <c r="A15" s="270" t="s">
        <v>115</v>
      </c>
      <c r="B15" s="280">
        <v>0</v>
      </c>
      <c r="C15" s="191">
        <f t="shared" si="0"/>
        <v>0</v>
      </c>
      <c r="E15" s="272" t="s">
        <v>12</v>
      </c>
      <c r="F15" s="276"/>
      <c r="G15" s="191">
        <f t="shared" ref="G15:G42" si="1">F15*2</f>
        <v>0</v>
      </c>
    </row>
    <row r="16" spans="1:19" ht="36.75" thickTop="1" thickBot="1" x14ac:dyDescent="0.55000000000000004">
      <c r="A16" s="270" t="s">
        <v>13</v>
      </c>
      <c r="B16" s="280">
        <v>0</v>
      </c>
      <c r="C16" s="191">
        <f t="shared" si="0"/>
        <v>0</v>
      </c>
      <c r="E16" s="272" t="s">
        <v>436</v>
      </c>
      <c r="F16" s="276"/>
      <c r="G16" s="191">
        <f t="shared" si="1"/>
        <v>0</v>
      </c>
    </row>
    <row r="17" spans="1:628" ht="36.75" thickTop="1" thickBot="1" x14ac:dyDescent="0.55000000000000004">
      <c r="A17" s="270" t="s">
        <v>14</v>
      </c>
      <c r="B17" s="280">
        <v>0</v>
      </c>
      <c r="C17" s="191">
        <f t="shared" si="0"/>
        <v>0</v>
      </c>
      <c r="E17" s="272" t="s">
        <v>55</v>
      </c>
      <c r="F17" s="276"/>
      <c r="G17" s="191">
        <f t="shared" si="1"/>
        <v>0</v>
      </c>
    </row>
    <row r="18" spans="1:628" ht="36.75" thickTop="1" thickBot="1" x14ac:dyDescent="0.55000000000000004">
      <c r="A18" s="271" t="s">
        <v>51</v>
      </c>
      <c r="B18" s="282">
        <v>20</v>
      </c>
      <c r="C18" s="191">
        <f t="shared" si="0"/>
        <v>40</v>
      </c>
      <c r="E18" s="272" t="s">
        <v>115</v>
      </c>
      <c r="F18" s="276"/>
      <c r="G18" s="191">
        <f t="shared" si="1"/>
        <v>0</v>
      </c>
    </row>
    <row r="19" spans="1:628" ht="36.75" thickTop="1" thickBot="1" x14ac:dyDescent="0.55000000000000004">
      <c r="A19" s="270" t="s">
        <v>114</v>
      </c>
      <c r="B19" s="280">
        <v>0</v>
      </c>
      <c r="C19" s="191">
        <f t="shared" si="0"/>
        <v>0</v>
      </c>
      <c r="E19" s="272" t="s">
        <v>13</v>
      </c>
      <c r="F19" s="276"/>
      <c r="G19" s="191">
        <f t="shared" si="1"/>
        <v>0</v>
      </c>
    </row>
    <row r="20" spans="1:628" ht="36.75" thickTop="1" thickBot="1" x14ac:dyDescent="0.55000000000000004">
      <c r="A20" s="270" t="s">
        <v>15</v>
      </c>
      <c r="B20" s="280">
        <v>0</v>
      </c>
      <c r="C20" s="191">
        <f t="shared" si="0"/>
        <v>0</v>
      </c>
      <c r="E20" s="272" t="s">
        <v>14</v>
      </c>
      <c r="F20" s="276"/>
      <c r="G20" s="191">
        <f t="shared" si="1"/>
        <v>0</v>
      </c>
    </row>
    <row r="21" spans="1:628" ht="36.75" thickTop="1" thickBot="1" x14ac:dyDescent="0.55000000000000004">
      <c r="A21" s="270" t="s">
        <v>17</v>
      </c>
      <c r="B21" s="280">
        <v>0</v>
      </c>
      <c r="C21" s="191">
        <f t="shared" si="0"/>
        <v>0</v>
      </c>
      <c r="E21" s="269" t="s">
        <v>51</v>
      </c>
      <c r="F21" s="278"/>
      <c r="G21" s="191">
        <f t="shared" si="1"/>
        <v>0</v>
      </c>
      <c r="AT21" s="314"/>
      <c r="XD21" s="99" t="s">
        <v>478</v>
      </c>
    </row>
    <row r="22" spans="1:628" ht="36.75" thickTop="1" thickBot="1" x14ac:dyDescent="0.55000000000000004">
      <c r="A22" s="270" t="s">
        <v>18</v>
      </c>
      <c r="B22" s="280">
        <v>0</v>
      </c>
      <c r="C22" s="191">
        <f t="shared" si="0"/>
        <v>0</v>
      </c>
      <c r="E22" s="272" t="s">
        <v>114</v>
      </c>
      <c r="F22" s="276"/>
      <c r="G22" s="191">
        <f t="shared" si="1"/>
        <v>0</v>
      </c>
    </row>
    <row r="23" spans="1:628" ht="36.75" thickTop="1" thickBot="1" x14ac:dyDescent="0.55000000000000004">
      <c r="A23" s="270" t="s">
        <v>443</v>
      </c>
      <c r="B23" s="280">
        <v>0</v>
      </c>
      <c r="C23" s="191">
        <f t="shared" si="0"/>
        <v>0</v>
      </c>
      <c r="E23" s="272" t="s">
        <v>15</v>
      </c>
      <c r="F23" s="276"/>
      <c r="G23" s="191">
        <f t="shared" si="1"/>
        <v>0</v>
      </c>
    </row>
    <row r="24" spans="1:628" ht="36.75" thickTop="1" thickBot="1" x14ac:dyDescent="0.55000000000000004">
      <c r="A24" s="270" t="s">
        <v>444</v>
      </c>
      <c r="B24" s="280">
        <v>0</v>
      </c>
      <c r="C24" s="191">
        <f t="shared" si="0"/>
        <v>0</v>
      </c>
      <c r="E24" s="272" t="s">
        <v>17</v>
      </c>
      <c r="F24" s="276"/>
      <c r="G24" s="191">
        <f t="shared" si="1"/>
        <v>0</v>
      </c>
    </row>
    <row r="25" spans="1:628" ht="36.75" thickTop="1" thickBot="1" x14ac:dyDescent="0.55000000000000004">
      <c r="A25" s="270" t="s">
        <v>117</v>
      </c>
      <c r="B25" s="280">
        <v>0</v>
      </c>
      <c r="C25" s="191">
        <f t="shared" si="0"/>
        <v>0</v>
      </c>
      <c r="E25" s="272" t="s">
        <v>18</v>
      </c>
      <c r="F25" s="276"/>
      <c r="G25" s="191">
        <f t="shared" si="1"/>
        <v>0</v>
      </c>
    </row>
    <row r="26" spans="1:628" ht="36.75" thickTop="1" thickBot="1" x14ac:dyDescent="0.55000000000000004">
      <c r="A26" s="270" t="s">
        <v>446</v>
      </c>
      <c r="B26" s="280">
        <v>0</v>
      </c>
      <c r="C26" s="191">
        <f t="shared" si="0"/>
        <v>0</v>
      </c>
      <c r="E26" s="272" t="s">
        <v>443</v>
      </c>
      <c r="F26" s="276"/>
      <c r="G26" s="191">
        <f t="shared" si="1"/>
        <v>0</v>
      </c>
    </row>
    <row r="27" spans="1:628" ht="36.75" thickTop="1" thickBot="1" x14ac:dyDescent="0.55000000000000004">
      <c r="A27" s="270" t="s">
        <v>447</v>
      </c>
      <c r="B27" s="280">
        <v>0</v>
      </c>
      <c r="C27" s="191">
        <f t="shared" si="0"/>
        <v>0</v>
      </c>
      <c r="E27" s="272" t="s">
        <v>444</v>
      </c>
      <c r="F27" s="276"/>
      <c r="G27" s="191">
        <f t="shared" si="1"/>
        <v>0</v>
      </c>
    </row>
    <row r="28" spans="1:628" ht="36.75" thickTop="1" thickBot="1" x14ac:dyDescent="0.55000000000000004">
      <c r="A28" s="270" t="s">
        <v>448</v>
      </c>
      <c r="B28" s="280">
        <v>0</v>
      </c>
      <c r="C28" s="191">
        <f t="shared" si="0"/>
        <v>0</v>
      </c>
      <c r="E28" s="272" t="s">
        <v>117</v>
      </c>
      <c r="F28" s="276"/>
      <c r="G28" s="191">
        <f t="shared" si="1"/>
        <v>0</v>
      </c>
    </row>
    <row r="29" spans="1:628" ht="36.75" thickTop="1" thickBot="1" x14ac:dyDescent="0.55000000000000004">
      <c r="A29" s="270" t="s">
        <v>445</v>
      </c>
      <c r="B29" s="280">
        <v>0</v>
      </c>
      <c r="C29" s="191">
        <f t="shared" si="0"/>
        <v>0</v>
      </c>
      <c r="E29" s="272" t="s">
        <v>446</v>
      </c>
      <c r="F29" s="276"/>
      <c r="G29" s="191">
        <f t="shared" si="1"/>
        <v>0</v>
      </c>
    </row>
    <row r="30" spans="1:628" ht="36.75" thickTop="1" thickBot="1" x14ac:dyDescent="0.55000000000000004">
      <c r="A30" s="270" t="s">
        <v>23</v>
      </c>
      <c r="B30" s="280">
        <v>0</v>
      </c>
      <c r="C30" s="191">
        <f t="shared" si="0"/>
        <v>0</v>
      </c>
      <c r="E30" s="272" t="s">
        <v>447</v>
      </c>
      <c r="F30" s="276"/>
      <c r="G30" s="191">
        <f t="shared" si="1"/>
        <v>0</v>
      </c>
    </row>
    <row r="31" spans="1:628" ht="36.75" thickTop="1" thickBot="1" x14ac:dyDescent="0.55000000000000004">
      <c r="A31" s="272" t="s">
        <v>449</v>
      </c>
      <c r="B31" s="279">
        <v>0</v>
      </c>
      <c r="C31" s="191">
        <f t="shared" si="0"/>
        <v>0</v>
      </c>
      <c r="E31" s="272" t="s">
        <v>448</v>
      </c>
      <c r="F31" s="276"/>
      <c r="G31" s="191">
        <f t="shared" si="1"/>
        <v>0</v>
      </c>
    </row>
    <row r="32" spans="1:628" ht="36.75" thickTop="1" thickBot="1" x14ac:dyDescent="0.55000000000000004">
      <c r="A32" s="272" t="s">
        <v>25</v>
      </c>
      <c r="B32" s="279">
        <v>0</v>
      </c>
      <c r="C32" s="191">
        <f t="shared" si="0"/>
        <v>0</v>
      </c>
      <c r="E32" s="272" t="s">
        <v>445</v>
      </c>
      <c r="F32" s="276"/>
      <c r="G32" s="191">
        <f t="shared" si="1"/>
        <v>0</v>
      </c>
    </row>
    <row r="33" spans="1:7" ht="36.75" thickTop="1" thickBot="1" x14ac:dyDescent="0.55000000000000004">
      <c r="A33" s="272" t="s">
        <v>26</v>
      </c>
      <c r="B33" s="279">
        <v>0</v>
      </c>
      <c r="C33" s="191">
        <f t="shared" si="0"/>
        <v>0</v>
      </c>
      <c r="E33" s="272" t="s">
        <v>23</v>
      </c>
      <c r="F33" s="276"/>
      <c r="G33" s="191">
        <f t="shared" si="1"/>
        <v>0</v>
      </c>
    </row>
    <row r="34" spans="1:7" ht="36.75" thickTop="1" thickBot="1" x14ac:dyDescent="0.55000000000000004">
      <c r="A34" s="272" t="s">
        <v>27</v>
      </c>
      <c r="B34" s="279">
        <v>0</v>
      </c>
      <c r="C34" s="191">
        <f t="shared" si="0"/>
        <v>0</v>
      </c>
      <c r="E34" s="272" t="s">
        <v>449</v>
      </c>
      <c r="F34" s="276"/>
      <c r="G34" s="191">
        <f t="shared" si="1"/>
        <v>0</v>
      </c>
    </row>
    <row r="35" spans="1:7" ht="36.75" thickTop="1" thickBot="1" x14ac:dyDescent="0.55000000000000004">
      <c r="A35" s="272" t="s">
        <v>28</v>
      </c>
      <c r="B35" s="279">
        <v>0</v>
      </c>
      <c r="C35" s="191">
        <f t="shared" si="0"/>
        <v>0</v>
      </c>
      <c r="E35" s="272" t="s">
        <v>25</v>
      </c>
      <c r="F35" s="276"/>
      <c r="G35" s="191">
        <f t="shared" si="1"/>
        <v>0</v>
      </c>
    </row>
    <row r="36" spans="1:7" ht="36.75" thickTop="1" thickBot="1" x14ac:dyDescent="0.55000000000000004">
      <c r="A36" s="272" t="s">
        <v>52</v>
      </c>
      <c r="B36" s="280">
        <v>0</v>
      </c>
      <c r="C36" s="191">
        <f t="shared" si="0"/>
        <v>0</v>
      </c>
      <c r="E36" s="272" t="s">
        <v>26</v>
      </c>
      <c r="F36" s="276"/>
      <c r="G36" s="191">
        <f t="shared" si="1"/>
        <v>0</v>
      </c>
    </row>
    <row r="37" spans="1:7" ht="36.75" thickTop="1" thickBot="1" x14ac:dyDescent="0.55000000000000004">
      <c r="A37" s="272" t="s">
        <v>262</v>
      </c>
      <c r="B37" s="280">
        <v>0</v>
      </c>
      <c r="C37" s="191">
        <f t="shared" si="0"/>
        <v>0</v>
      </c>
      <c r="E37" s="272" t="s">
        <v>27</v>
      </c>
      <c r="F37" s="276"/>
      <c r="G37" s="191">
        <f t="shared" si="1"/>
        <v>0</v>
      </c>
    </row>
    <row r="38" spans="1:7" ht="36.75" thickTop="1" thickBot="1" x14ac:dyDescent="0.55000000000000004">
      <c r="A38" s="272" t="s">
        <v>92</v>
      </c>
      <c r="B38" s="280">
        <v>0</v>
      </c>
      <c r="C38" s="191">
        <f t="shared" si="0"/>
        <v>0</v>
      </c>
      <c r="E38" s="272" t="s">
        <v>28</v>
      </c>
      <c r="F38" s="276"/>
      <c r="G38" s="191">
        <f t="shared" si="1"/>
        <v>0</v>
      </c>
    </row>
    <row r="39" spans="1:7" ht="48" thickTop="1" thickBot="1" x14ac:dyDescent="0.55000000000000004">
      <c r="A39" s="290" t="s">
        <v>45</v>
      </c>
      <c r="B39" s="291">
        <f>SUM(B12:B38) + SUM(B8:B11)/5 + SUM(B3:B7)</f>
        <v>80</v>
      </c>
      <c r="C39" s="292">
        <f>B39*2</f>
        <v>160</v>
      </c>
      <c r="E39" s="272" t="s">
        <v>52</v>
      </c>
      <c r="F39" s="276"/>
      <c r="G39" s="191">
        <f t="shared" si="1"/>
        <v>0</v>
      </c>
    </row>
    <row r="40" spans="1:7" ht="35.25" thickTop="1" thickBot="1" x14ac:dyDescent="0.55000000000000004">
      <c r="A40" s="285"/>
      <c r="B40" s="285"/>
      <c r="C40" s="285"/>
      <c r="E40" s="272" t="s">
        <v>262</v>
      </c>
      <c r="F40" s="276"/>
      <c r="G40" s="191">
        <f t="shared" si="1"/>
        <v>0</v>
      </c>
    </row>
    <row r="41" spans="1:7" ht="35.25" thickTop="1" thickBot="1" x14ac:dyDescent="0.55000000000000004">
      <c r="A41" s="285"/>
      <c r="B41" s="285"/>
      <c r="C41" s="285"/>
      <c r="E41" s="272" t="s">
        <v>92</v>
      </c>
      <c r="F41" s="277"/>
      <c r="G41" s="286">
        <f t="shared" si="1"/>
        <v>0</v>
      </c>
    </row>
    <row r="42" spans="1:7" ht="15.75" thickTop="1" x14ac:dyDescent="0.25">
      <c r="A42" s="285"/>
      <c r="B42" s="285"/>
      <c r="C42" s="285"/>
      <c r="E42" s="534" t="s">
        <v>45</v>
      </c>
      <c r="F42" s="537">
        <f>SUM(F15:F41) + SUM(F11:F14)/5 + SUM(F6:F10)</f>
        <v>0</v>
      </c>
      <c r="G42" s="540">
        <f t="shared" si="1"/>
        <v>0</v>
      </c>
    </row>
    <row r="43" spans="1:7" x14ac:dyDescent="0.25">
      <c r="A43" s="285"/>
      <c r="B43" s="285"/>
      <c r="C43" s="285"/>
      <c r="E43" s="535"/>
      <c r="F43" s="538"/>
      <c r="G43" s="541"/>
    </row>
    <row r="44" spans="1:7" ht="15.75" thickBot="1" x14ac:dyDescent="0.3">
      <c r="A44" s="285"/>
      <c r="B44" s="285"/>
      <c r="C44" s="285"/>
      <c r="E44" s="536"/>
      <c r="F44" s="539"/>
      <c r="G44" s="542"/>
    </row>
    <row r="45" spans="1:7" ht="15.75" thickTop="1" x14ac:dyDescent="0.25">
      <c r="A45" s="285"/>
      <c r="B45" s="285"/>
      <c r="C45" s="285"/>
      <c r="E45" s="285"/>
      <c r="F45" s="285"/>
      <c r="G45" s="285"/>
    </row>
    <row r="46" spans="1:7" x14ac:dyDescent="0.25">
      <c r="A46" s="285"/>
      <c r="B46" s="285"/>
      <c r="C46" s="285"/>
      <c r="E46" s="285"/>
      <c r="F46" s="285"/>
      <c r="G46" s="285"/>
    </row>
    <row r="47" spans="1:7" x14ac:dyDescent="0.25">
      <c r="A47" s="285"/>
      <c r="B47" s="285"/>
      <c r="C47" s="285"/>
      <c r="E47" s="285"/>
      <c r="F47" s="285"/>
      <c r="G47" s="285"/>
    </row>
    <row r="48" spans="1:7" x14ac:dyDescent="0.25">
      <c r="A48" s="285"/>
      <c r="B48" s="285"/>
      <c r="C48" s="285"/>
      <c r="E48" s="285"/>
      <c r="F48" s="285"/>
      <c r="G48" s="285"/>
    </row>
    <row r="49" spans="1:7" x14ac:dyDescent="0.25">
      <c r="A49" s="285"/>
      <c r="B49" s="285"/>
      <c r="C49" s="285"/>
      <c r="E49" s="285"/>
      <c r="F49" s="285"/>
      <c r="G49" s="285"/>
    </row>
    <row r="50" spans="1:7" x14ac:dyDescent="0.25">
      <c r="A50" s="285"/>
      <c r="B50" s="285"/>
      <c r="C50" s="285"/>
      <c r="E50" s="285"/>
      <c r="F50" s="285"/>
      <c r="G50" s="285"/>
    </row>
    <row r="51" spans="1:7" x14ac:dyDescent="0.25">
      <c r="A51" s="285"/>
      <c r="B51" s="285"/>
      <c r="C51" s="285"/>
      <c r="E51" s="285"/>
      <c r="F51" s="285"/>
      <c r="G51" s="285"/>
    </row>
    <row r="52" spans="1:7" x14ac:dyDescent="0.25">
      <c r="A52" s="285"/>
      <c r="B52" s="285"/>
      <c r="C52" s="285"/>
      <c r="E52" s="285"/>
      <c r="F52" s="285"/>
      <c r="G52" s="285"/>
    </row>
    <row r="53" spans="1:7" x14ac:dyDescent="0.25">
      <c r="A53" s="285"/>
      <c r="B53" s="285"/>
      <c r="C53" s="285"/>
      <c r="E53" s="285"/>
      <c r="F53" s="285"/>
      <c r="G53" s="285"/>
    </row>
    <row r="54" spans="1:7" x14ac:dyDescent="0.25">
      <c r="A54" s="285"/>
      <c r="B54" s="285"/>
      <c r="C54" s="285"/>
      <c r="E54" s="285"/>
      <c r="F54" s="285"/>
      <c r="G54" s="285"/>
    </row>
    <row r="55" spans="1:7" x14ac:dyDescent="0.25">
      <c r="A55" s="285"/>
      <c r="B55" s="285"/>
      <c r="C55" s="285"/>
      <c r="E55" s="285"/>
      <c r="F55" s="285"/>
      <c r="G55" s="285"/>
    </row>
    <row r="56" spans="1:7" x14ac:dyDescent="0.25">
      <c r="A56" s="285"/>
      <c r="B56" s="285"/>
      <c r="C56" s="285"/>
      <c r="E56" s="285"/>
      <c r="F56" s="285"/>
      <c r="G56" s="285"/>
    </row>
    <row r="57" spans="1:7" x14ac:dyDescent="0.25">
      <c r="A57" s="285"/>
      <c r="B57" s="285"/>
      <c r="C57" s="285"/>
      <c r="E57" s="285"/>
      <c r="F57" s="285"/>
      <c r="G57" s="285"/>
    </row>
    <row r="58" spans="1:7" x14ac:dyDescent="0.25">
      <c r="A58" s="285"/>
      <c r="B58" s="285"/>
      <c r="C58" s="285"/>
      <c r="E58" s="285"/>
      <c r="F58" s="285"/>
      <c r="G58" s="285"/>
    </row>
    <row r="59" spans="1:7" x14ac:dyDescent="0.25">
      <c r="A59" s="285"/>
      <c r="B59" s="285"/>
      <c r="C59" s="285"/>
      <c r="E59" s="285"/>
      <c r="F59" s="285"/>
      <c r="G59" s="285"/>
    </row>
    <row r="60" spans="1:7" x14ac:dyDescent="0.25">
      <c r="A60" s="285"/>
      <c r="B60" s="285"/>
      <c r="C60" s="285"/>
      <c r="E60" s="285"/>
      <c r="F60" s="285"/>
      <c r="G60" s="285"/>
    </row>
    <row r="61" spans="1:7" x14ac:dyDescent="0.25">
      <c r="A61" s="285"/>
      <c r="B61" s="285"/>
      <c r="C61" s="285"/>
      <c r="E61" s="285"/>
      <c r="F61" s="285"/>
      <c r="G61" s="285"/>
    </row>
    <row r="62" spans="1:7" x14ac:dyDescent="0.25">
      <c r="A62" s="285"/>
      <c r="B62" s="285"/>
      <c r="C62" s="285"/>
      <c r="E62" s="285"/>
      <c r="F62" s="285"/>
      <c r="G62" s="285"/>
    </row>
    <row r="63" spans="1:7" x14ac:dyDescent="0.25">
      <c r="A63" s="285"/>
      <c r="B63" s="285"/>
      <c r="C63" s="285"/>
      <c r="E63" s="285"/>
      <c r="F63" s="285"/>
      <c r="G63" s="285"/>
    </row>
    <row r="64" spans="1:7" x14ac:dyDescent="0.25">
      <c r="A64" s="285"/>
      <c r="B64" s="285"/>
      <c r="C64" s="285"/>
      <c r="E64" s="285"/>
      <c r="F64" s="285"/>
      <c r="G64" s="285"/>
    </row>
    <row r="65" spans="1:7" x14ac:dyDescent="0.25">
      <c r="A65" s="285"/>
      <c r="B65" s="285"/>
      <c r="C65" s="285"/>
      <c r="E65" s="285"/>
      <c r="F65" s="285"/>
      <c r="G65" s="285"/>
    </row>
    <row r="66" spans="1:7" x14ac:dyDescent="0.25">
      <c r="A66" s="285"/>
      <c r="B66" s="285"/>
      <c r="C66" s="285"/>
      <c r="E66" s="285"/>
      <c r="F66" s="285"/>
      <c r="G66" s="285"/>
    </row>
    <row r="67" spans="1:7" x14ac:dyDescent="0.25">
      <c r="A67" s="285"/>
      <c r="B67" s="285"/>
      <c r="C67" s="285"/>
      <c r="E67" s="285"/>
      <c r="F67" s="285"/>
      <c r="G67" s="285"/>
    </row>
    <row r="68" spans="1:7" x14ac:dyDescent="0.25">
      <c r="A68" s="285"/>
      <c r="B68" s="285"/>
      <c r="C68" s="285"/>
      <c r="E68" s="285"/>
      <c r="F68" s="285"/>
      <c r="G68" s="285"/>
    </row>
    <row r="69" spans="1:7" x14ac:dyDescent="0.25">
      <c r="A69" s="285"/>
      <c r="B69" s="285"/>
      <c r="C69" s="285"/>
      <c r="E69" s="285"/>
      <c r="F69" s="285"/>
      <c r="G69" s="285"/>
    </row>
    <row r="70" spans="1:7" x14ac:dyDescent="0.25">
      <c r="A70" s="285"/>
      <c r="B70" s="285"/>
      <c r="C70" s="285"/>
      <c r="E70" s="285"/>
      <c r="F70" s="285"/>
      <c r="G70" s="285"/>
    </row>
    <row r="71" spans="1:7" x14ac:dyDescent="0.25">
      <c r="A71" s="285"/>
      <c r="B71" s="285"/>
      <c r="C71" s="285"/>
      <c r="E71" s="285"/>
      <c r="F71" s="285"/>
      <c r="G71" s="285"/>
    </row>
    <row r="72" spans="1:7" x14ac:dyDescent="0.25">
      <c r="A72" s="285"/>
      <c r="B72" s="285"/>
      <c r="C72" s="285"/>
      <c r="E72" s="285"/>
      <c r="F72" s="285"/>
      <c r="G72" s="285"/>
    </row>
    <row r="73" spans="1:7" x14ac:dyDescent="0.25">
      <c r="A73" s="285"/>
      <c r="B73" s="285"/>
      <c r="C73" s="285"/>
      <c r="E73" s="285"/>
      <c r="F73" s="285"/>
      <c r="G73" s="285"/>
    </row>
    <row r="74" spans="1:7" x14ac:dyDescent="0.25">
      <c r="A74" s="285"/>
      <c r="B74" s="285"/>
      <c r="C74" s="285"/>
      <c r="E74" s="285"/>
      <c r="F74" s="285"/>
      <c r="G74" s="285"/>
    </row>
    <row r="75" spans="1:7" x14ac:dyDescent="0.25">
      <c r="A75" s="285"/>
      <c r="B75" s="285"/>
      <c r="C75" s="285"/>
      <c r="E75" s="285"/>
      <c r="F75" s="285"/>
      <c r="G75" s="285"/>
    </row>
    <row r="76" spans="1:7" x14ac:dyDescent="0.25">
      <c r="A76" s="285"/>
      <c r="B76" s="285"/>
      <c r="C76" s="285"/>
      <c r="E76" s="285"/>
      <c r="F76" s="285"/>
      <c r="G76" s="285"/>
    </row>
    <row r="77" spans="1:7" x14ac:dyDescent="0.25">
      <c r="A77" s="285"/>
      <c r="B77" s="285"/>
      <c r="C77" s="285"/>
      <c r="E77" s="285"/>
      <c r="F77" s="285"/>
      <c r="G77" s="285"/>
    </row>
    <row r="78" spans="1:7" x14ac:dyDescent="0.25">
      <c r="A78" s="285"/>
      <c r="B78" s="285"/>
      <c r="C78" s="285"/>
      <c r="E78" s="285"/>
      <c r="F78" s="285"/>
      <c r="G78" s="285"/>
    </row>
    <row r="79" spans="1:7" x14ac:dyDescent="0.25">
      <c r="A79" s="285"/>
      <c r="B79" s="285"/>
      <c r="C79" s="285"/>
      <c r="E79" s="285"/>
      <c r="F79" s="285"/>
      <c r="G79" s="285"/>
    </row>
    <row r="80" spans="1:7" x14ac:dyDescent="0.25">
      <c r="A80" s="285"/>
      <c r="B80" s="285"/>
      <c r="C80" s="285"/>
      <c r="E80" s="285"/>
      <c r="F80" s="285"/>
      <c r="G80" s="285"/>
    </row>
    <row r="81" spans="1:7" x14ac:dyDescent="0.25">
      <c r="A81" s="285"/>
      <c r="B81" s="285"/>
      <c r="C81" s="285"/>
      <c r="E81" s="285"/>
      <c r="F81" s="285"/>
      <c r="G81" s="285"/>
    </row>
    <row r="82" spans="1:7" x14ac:dyDescent="0.25">
      <c r="A82" s="285"/>
      <c r="B82" s="285"/>
      <c r="C82" s="285"/>
      <c r="E82" s="285"/>
      <c r="F82" s="285"/>
      <c r="G82" s="285"/>
    </row>
    <row r="83" spans="1:7" x14ac:dyDescent="0.25">
      <c r="A83" s="285"/>
      <c r="B83" s="285"/>
      <c r="C83" s="285"/>
      <c r="E83" s="285"/>
      <c r="F83" s="285"/>
      <c r="G83" s="285"/>
    </row>
    <row r="84" spans="1:7" x14ac:dyDescent="0.25">
      <c r="A84" s="285"/>
      <c r="B84" s="285"/>
      <c r="C84" s="285"/>
      <c r="E84" s="285"/>
      <c r="F84" s="285"/>
      <c r="G84" s="285"/>
    </row>
    <row r="85" spans="1:7" x14ac:dyDescent="0.25">
      <c r="A85" s="285"/>
      <c r="B85" s="285"/>
      <c r="C85" s="285"/>
      <c r="E85" s="285"/>
      <c r="F85" s="285"/>
      <c r="G85" s="285"/>
    </row>
    <row r="86" spans="1:7" x14ac:dyDescent="0.25">
      <c r="A86" s="285"/>
      <c r="B86" s="285"/>
      <c r="C86" s="285"/>
      <c r="E86" s="285"/>
      <c r="F86" s="285"/>
      <c r="G86" s="285"/>
    </row>
    <row r="87" spans="1:7" x14ac:dyDescent="0.25">
      <c r="A87" s="285"/>
      <c r="B87" s="285"/>
      <c r="C87" s="285"/>
      <c r="E87" s="285"/>
      <c r="F87" s="285"/>
      <c r="G87" s="285"/>
    </row>
    <row r="88" spans="1:7" x14ac:dyDescent="0.25">
      <c r="A88" s="285"/>
      <c r="B88" s="285"/>
      <c r="C88" s="285"/>
      <c r="E88" s="285"/>
      <c r="F88" s="285"/>
      <c r="G88" s="285"/>
    </row>
    <row r="89" spans="1:7" x14ac:dyDescent="0.25">
      <c r="A89" s="285"/>
      <c r="B89" s="285"/>
      <c r="C89" s="285"/>
      <c r="E89" s="285"/>
      <c r="F89" s="285"/>
      <c r="G89" s="285"/>
    </row>
    <row r="90" spans="1:7" x14ac:dyDescent="0.25">
      <c r="A90" s="285"/>
      <c r="B90" s="285"/>
      <c r="C90" s="285"/>
      <c r="E90" s="285"/>
      <c r="F90" s="285"/>
      <c r="G90" s="285"/>
    </row>
    <row r="91" spans="1:7" x14ac:dyDescent="0.25">
      <c r="A91" s="285"/>
      <c r="B91" s="285"/>
      <c r="C91" s="285"/>
      <c r="E91" s="285"/>
      <c r="F91" s="285"/>
      <c r="G91" s="285"/>
    </row>
    <row r="92" spans="1:7" x14ac:dyDescent="0.25">
      <c r="A92" s="285"/>
      <c r="B92" s="285"/>
      <c r="C92" s="285"/>
      <c r="E92" s="285"/>
      <c r="F92" s="285"/>
      <c r="G92" s="285"/>
    </row>
    <row r="93" spans="1:7" x14ac:dyDescent="0.25">
      <c r="A93" s="285"/>
      <c r="B93" s="285"/>
      <c r="C93" s="285"/>
      <c r="E93" s="285"/>
      <c r="F93" s="285"/>
      <c r="G93" s="285"/>
    </row>
    <row r="94" spans="1:7" x14ac:dyDescent="0.25">
      <c r="A94" s="285"/>
      <c r="B94" s="285"/>
      <c r="C94" s="285"/>
      <c r="E94" s="285"/>
      <c r="F94" s="285"/>
      <c r="G94" s="285"/>
    </row>
    <row r="95" spans="1:7" x14ac:dyDescent="0.25">
      <c r="A95" s="285"/>
      <c r="B95" s="285"/>
      <c r="C95" s="285"/>
      <c r="E95" s="285"/>
      <c r="F95" s="285"/>
      <c r="G95" s="285"/>
    </row>
    <row r="96" spans="1:7" x14ac:dyDescent="0.25">
      <c r="A96" s="285"/>
      <c r="B96" s="285"/>
      <c r="C96" s="285"/>
      <c r="E96" s="285"/>
      <c r="F96" s="285"/>
      <c r="G96" s="285"/>
    </row>
    <row r="97" spans="1:7" x14ac:dyDescent="0.25">
      <c r="A97" s="285"/>
      <c r="B97" s="285"/>
      <c r="C97" s="285"/>
      <c r="E97" s="285"/>
      <c r="F97" s="285"/>
      <c r="G97" s="285"/>
    </row>
    <row r="98" spans="1:7" x14ac:dyDescent="0.25">
      <c r="A98" s="285"/>
      <c r="B98" s="285"/>
      <c r="C98" s="285"/>
      <c r="E98" s="285"/>
      <c r="F98" s="285"/>
      <c r="G98" s="285"/>
    </row>
    <row r="99" spans="1:7" x14ac:dyDescent="0.25">
      <c r="A99" s="285"/>
      <c r="B99" s="285"/>
      <c r="C99" s="285"/>
      <c r="E99" s="285"/>
      <c r="F99" s="285"/>
      <c r="G99" s="285"/>
    </row>
    <row r="100" spans="1:7" x14ac:dyDescent="0.25">
      <c r="A100" s="285"/>
      <c r="B100" s="285"/>
      <c r="C100" s="285">
        <v>2.5</v>
      </c>
      <c r="E100" s="285"/>
      <c r="F100" s="285"/>
      <c r="G100" s="285"/>
    </row>
    <row r="101" spans="1:7" x14ac:dyDescent="0.25">
      <c r="A101" s="285"/>
      <c r="B101" s="285"/>
      <c r="C101" s="285"/>
      <c r="E101" s="285"/>
      <c r="F101" s="285"/>
      <c r="G101" s="285"/>
    </row>
    <row r="102" spans="1:7" x14ac:dyDescent="0.25">
      <c r="A102" s="285"/>
      <c r="B102" s="285"/>
      <c r="C102" s="285"/>
      <c r="E102" s="285"/>
      <c r="F102" s="285"/>
      <c r="G102" s="285"/>
    </row>
    <row r="103" spans="1:7" x14ac:dyDescent="0.25">
      <c r="A103" s="285"/>
      <c r="B103" s="285"/>
      <c r="C103" s="285"/>
      <c r="E103" s="285"/>
      <c r="F103" s="285"/>
      <c r="G103" s="285"/>
    </row>
    <row r="104" spans="1:7" x14ac:dyDescent="0.25">
      <c r="A104" s="285"/>
      <c r="B104" s="285"/>
      <c r="C104" s="285"/>
      <c r="E104" s="285"/>
      <c r="F104" s="285"/>
      <c r="G104" s="285"/>
    </row>
    <row r="105" spans="1:7" x14ac:dyDescent="0.25">
      <c r="A105" s="285"/>
      <c r="B105" s="285"/>
      <c r="C105" s="285"/>
      <c r="E105" s="285"/>
      <c r="F105" s="285"/>
      <c r="G105" s="285"/>
    </row>
    <row r="106" spans="1:7" x14ac:dyDescent="0.25">
      <c r="A106" s="285"/>
      <c r="B106" s="285"/>
      <c r="C106" s="285"/>
      <c r="E106" s="285"/>
      <c r="F106" s="285"/>
      <c r="G106" s="285"/>
    </row>
    <row r="107" spans="1:7" x14ac:dyDescent="0.25">
      <c r="A107" s="285"/>
      <c r="B107" s="285"/>
      <c r="C107" s="285"/>
      <c r="E107" s="285"/>
      <c r="F107" s="285"/>
      <c r="G107" s="285"/>
    </row>
    <row r="108" spans="1:7" x14ac:dyDescent="0.25">
      <c r="A108" s="285"/>
      <c r="B108" s="285"/>
      <c r="C108" s="285"/>
      <c r="E108" s="285"/>
      <c r="F108" s="285"/>
      <c r="G108" s="285"/>
    </row>
    <row r="109" spans="1:7" x14ac:dyDescent="0.25">
      <c r="A109" s="285"/>
      <c r="B109" s="285"/>
      <c r="C109" s="285"/>
      <c r="E109" s="285"/>
      <c r="F109" s="285"/>
      <c r="G109" s="285"/>
    </row>
    <row r="110" spans="1:7" x14ac:dyDescent="0.25">
      <c r="A110" s="285"/>
      <c r="B110" s="285"/>
      <c r="C110" s="285"/>
      <c r="E110" s="285"/>
      <c r="F110" s="285"/>
      <c r="G110" s="285"/>
    </row>
    <row r="111" spans="1:7" x14ac:dyDescent="0.25">
      <c r="A111" s="285"/>
      <c r="B111" s="285"/>
      <c r="C111" s="285"/>
      <c r="E111" s="285"/>
      <c r="F111" s="285"/>
      <c r="G111" s="285"/>
    </row>
    <row r="112" spans="1:7" x14ac:dyDescent="0.25">
      <c r="A112" s="285"/>
      <c r="B112" s="285"/>
      <c r="C112" s="285"/>
      <c r="E112" s="285"/>
      <c r="F112" s="285"/>
      <c r="G112" s="285"/>
    </row>
    <row r="113" spans="1:7" x14ac:dyDescent="0.25">
      <c r="A113" s="285"/>
      <c r="B113" s="285"/>
      <c r="C113" s="285"/>
      <c r="E113" s="285"/>
      <c r="F113" s="285"/>
      <c r="G113" s="285"/>
    </row>
    <row r="114" spans="1:7" x14ac:dyDescent="0.25">
      <c r="A114" s="285"/>
      <c r="B114" s="285"/>
      <c r="C114" s="285"/>
      <c r="E114" s="285"/>
      <c r="F114" s="285"/>
      <c r="G114" s="285"/>
    </row>
    <row r="115" spans="1:7" x14ac:dyDescent="0.25">
      <c r="A115" s="285"/>
      <c r="B115" s="285"/>
      <c r="C115" s="285"/>
      <c r="E115" s="285"/>
      <c r="F115" s="285"/>
      <c r="G115" s="285"/>
    </row>
    <row r="116" spans="1:7" x14ac:dyDescent="0.25">
      <c r="A116" s="285"/>
      <c r="B116" s="285"/>
      <c r="C116" s="285"/>
      <c r="E116" s="285"/>
      <c r="F116" s="285"/>
      <c r="G116" s="285"/>
    </row>
    <row r="117" spans="1:7" x14ac:dyDescent="0.25">
      <c r="A117" s="285"/>
      <c r="B117" s="285"/>
      <c r="C117" s="285"/>
      <c r="E117" s="285"/>
      <c r="F117" s="285"/>
      <c r="G117" s="285"/>
    </row>
    <row r="118" spans="1:7" x14ac:dyDescent="0.25">
      <c r="A118" s="285"/>
      <c r="B118" s="285"/>
      <c r="C118" s="285"/>
      <c r="E118" s="285"/>
      <c r="F118" s="285"/>
      <c r="G118" s="285"/>
    </row>
    <row r="119" spans="1:7" x14ac:dyDescent="0.25">
      <c r="A119" s="285"/>
      <c r="B119" s="285"/>
      <c r="C119" s="285"/>
      <c r="E119" s="285"/>
      <c r="F119" s="285"/>
      <c r="G119" s="285"/>
    </row>
    <row r="120" spans="1:7" x14ac:dyDescent="0.25">
      <c r="A120" s="285"/>
      <c r="B120" s="285"/>
      <c r="C120" s="285"/>
      <c r="E120" s="285"/>
      <c r="F120" s="285"/>
      <c r="G120" s="285"/>
    </row>
    <row r="121" spans="1:7" x14ac:dyDescent="0.25">
      <c r="A121" s="285"/>
      <c r="B121" s="285"/>
      <c r="C121" s="285"/>
      <c r="E121" s="285"/>
      <c r="F121" s="285"/>
      <c r="G121" s="285"/>
    </row>
    <row r="122" spans="1:7" x14ac:dyDescent="0.25">
      <c r="A122" s="285"/>
      <c r="B122" s="285"/>
      <c r="C122" s="285"/>
      <c r="E122" s="285"/>
      <c r="F122" s="285"/>
      <c r="G122" s="285"/>
    </row>
    <row r="123" spans="1:7" x14ac:dyDescent="0.25">
      <c r="A123" s="285"/>
      <c r="B123" s="285"/>
      <c r="C123" s="285"/>
      <c r="E123" s="285"/>
      <c r="F123" s="285"/>
      <c r="G123" s="285"/>
    </row>
    <row r="124" spans="1:7" x14ac:dyDescent="0.25">
      <c r="A124" s="285"/>
      <c r="B124" s="285"/>
      <c r="C124" s="285"/>
      <c r="E124" s="285"/>
      <c r="F124" s="285"/>
      <c r="G124" s="285"/>
    </row>
    <row r="125" spans="1:7" x14ac:dyDescent="0.25">
      <c r="A125" s="285"/>
      <c r="B125" s="285"/>
      <c r="C125" s="285"/>
      <c r="E125" s="285"/>
      <c r="F125" s="285"/>
      <c r="G125" s="285"/>
    </row>
    <row r="126" spans="1:7" x14ac:dyDescent="0.25">
      <c r="A126" s="285"/>
      <c r="B126" s="285"/>
      <c r="C126" s="285"/>
      <c r="E126" s="285"/>
      <c r="F126" s="285"/>
      <c r="G126" s="285"/>
    </row>
    <row r="127" spans="1:7" x14ac:dyDescent="0.25">
      <c r="A127" s="285"/>
      <c r="B127" s="285"/>
      <c r="C127" s="285"/>
      <c r="E127" s="285"/>
      <c r="F127" s="285"/>
      <c r="G127" s="285"/>
    </row>
    <row r="128" spans="1:7" x14ac:dyDescent="0.25">
      <c r="A128" s="285"/>
      <c r="B128" s="285"/>
      <c r="C128" s="285"/>
      <c r="E128" s="285"/>
      <c r="F128" s="285"/>
      <c r="G128" s="285"/>
    </row>
    <row r="129" spans="1:7" x14ac:dyDescent="0.25">
      <c r="A129" s="285"/>
      <c r="B129" s="285"/>
      <c r="C129" s="285"/>
      <c r="E129" s="285"/>
      <c r="F129" s="285"/>
      <c r="G129" s="285"/>
    </row>
    <row r="130" spans="1:7" x14ac:dyDescent="0.25">
      <c r="A130" s="285"/>
      <c r="B130" s="285"/>
      <c r="C130" s="285"/>
      <c r="E130" s="285"/>
      <c r="F130" s="285"/>
      <c r="G130" s="285"/>
    </row>
    <row r="131" spans="1:7" x14ac:dyDescent="0.25">
      <c r="A131" s="285"/>
      <c r="B131" s="285"/>
      <c r="C131" s="285"/>
      <c r="E131" s="285"/>
      <c r="F131" s="285"/>
      <c r="G131" s="285"/>
    </row>
    <row r="132" spans="1:7" x14ac:dyDescent="0.25">
      <c r="A132" s="285"/>
      <c r="B132" s="285"/>
      <c r="C132" s="285"/>
      <c r="E132" s="285"/>
      <c r="F132" s="285"/>
      <c r="G132" s="285"/>
    </row>
    <row r="133" spans="1:7" x14ac:dyDescent="0.25">
      <c r="A133" s="285"/>
      <c r="B133" s="285"/>
      <c r="C133" s="285"/>
      <c r="E133" s="285"/>
      <c r="F133" s="285"/>
      <c r="G133" s="285"/>
    </row>
    <row r="134" spans="1:7" x14ac:dyDescent="0.25">
      <c r="A134" s="285"/>
      <c r="B134" s="285"/>
      <c r="C134" s="285"/>
      <c r="E134" s="285"/>
      <c r="F134" s="285"/>
      <c r="G134" s="285"/>
    </row>
    <row r="135" spans="1:7" x14ac:dyDescent="0.25">
      <c r="A135" s="285"/>
      <c r="B135" s="285"/>
      <c r="C135" s="285"/>
      <c r="E135" s="285"/>
      <c r="F135" s="285"/>
      <c r="G135" s="285"/>
    </row>
    <row r="136" spans="1:7" x14ac:dyDescent="0.25">
      <c r="A136" s="285"/>
      <c r="B136" s="285"/>
      <c r="C136" s="285"/>
      <c r="E136" s="285"/>
      <c r="F136" s="285"/>
      <c r="G136" s="285"/>
    </row>
    <row r="137" spans="1:7" x14ac:dyDescent="0.25">
      <c r="A137" s="285"/>
      <c r="B137" s="285"/>
      <c r="C137" s="285"/>
      <c r="E137" s="285"/>
      <c r="F137" s="285"/>
      <c r="G137" s="285"/>
    </row>
    <row r="138" spans="1:7" x14ac:dyDescent="0.25">
      <c r="A138" s="285"/>
      <c r="B138" s="285"/>
      <c r="C138" s="285"/>
      <c r="E138" s="285"/>
      <c r="F138" s="285"/>
      <c r="G138" s="285"/>
    </row>
    <row r="139" spans="1:7" x14ac:dyDescent="0.25">
      <c r="A139" s="285"/>
      <c r="B139" s="285"/>
      <c r="C139" s="285"/>
      <c r="E139" s="285"/>
      <c r="F139" s="285"/>
      <c r="G139" s="285"/>
    </row>
    <row r="140" spans="1:7" x14ac:dyDescent="0.25">
      <c r="A140" s="285"/>
      <c r="B140" s="285"/>
      <c r="C140" s="285"/>
      <c r="E140" s="285"/>
      <c r="F140" s="285"/>
      <c r="G140" s="285"/>
    </row>
    <row r="141" spans="1:7" x14ac:dyDescent="0.25">
      <c r="A141" s="285"/>
      <c r="B141" s="285"/>
      <c r="C141" s="285"/>
      <c r="E141" s="285"/>
      <c r="F141" s="285"/>
      <c r="G141" s="285"/>
    </row>
    <row r="142" spans="1:7" x14ac:dyDescent="0.25">
      <c r="A142" s="285"/>
      <c r="B142" s="285"/>
      <c r="C142" s="285"/>
      <c r="E142" s="285"/>
      <c r="F142" s="285"/>
      <c r="G142" s="285"/>
    </row>
    <row r="143" spans="1:7" x14ac:dyDescent="0.25">
      <c r="A143" s="285"/>
      <c r="B143" s="285"/>
      <c r="C143" s="285"/>
      <c r="E143" s="285"/>
      <c r="F143" s="285"/>
      <c r="G143" s="285"/>
    </row>
    <row r="144" spans="1:7" x14ac:dyDescent="0.25">
      <c r="A144" s="285"/>
      <c r="B144" s="285"/>
      <c r="C144" s="285"/>
      <c r="E144" s="285"/>
      <c r="F144" s="285"/>
      <c r="G144" s="285"/>
    </row>
    <row r="145" spans="1:7" x14ac:dyDescent="0.25">
      <c r="A145" s="285"/>
      <c r="B145" s="285"/>
      <c r="C145" s="285"/>
      <c r="E145" s="285"/>
      <c r="F145" s="285"/>
      <c r="G145" s="285"/>
    </row>
    <row r="146" spans="1:7" x14ac:dyDescent="0.25">
      <c r="A146" s="285"/>
      <c r="B146" s="285"/>
      <c r="C146" s="285"/>
      <c r="E146" s="285"/>
      <c r="F146" s="285"/>
      <c r="G146" s="285"/>
    </row>
    <row r="147" spans="1:7" x14ac:dyDescent="0.25">
      <c r="A147" s="285"/>
      <c r="B147" s="285"/>
      <c r="C147" s="285"/>
      <c r="E147" s="285"/>
      <c r="F147" s="285"/>
      <c r="G147" s="285"/>
    </row>
    <row r="148" spans="1:7" x14ac:dyDescent="0.25">
      <c r="A148" s="285"/>
      <c r="B148" s="285"/>
      <c r="C148" s="285"/>
      <c r="E148" s="285"/>
      <c r="F148" s="285"/>
      <c r="G148" s="285"/>
    </row>
    <row r="149" spans="1:7" x14ac:dyDescent="0.25">
      <c r="A149" s="285"/>
      <c r="B149" s="285"/>
      <c r="C149" s="285"/>
      <c r="E149" s="285"/>
      <c r="F149" s="285"/>
      <c r="G149" s="285"/>
    </row>
    <row r="150" spans="1:7" x14ac:dyDescent="0.25">
      <c r="A150" s="285"/>
      <c r="B150" s="285"/>
      <c r="C150" s="285"/>
      <c r="E150" s="285"/>
      <c r="F150" s="285"/>
      <c r="G150" s="285"/>
    </row>
    <row r="151" spans="1:7" x14ac:dyDescent="0.25">
      <c r="A151" s="285"/>
      <c r="B151" s="285"/>
      <c r="C151" s="285"/>
      <c r="E151" s="285"/>
      <c r="F151" s="285"/>
      <c r="G151" s="285"/>
    </row>
    <row r="152" spans="1:7" x14ac:dyDescent="0.25">
      <c r="A152" s="285"/>
      <c r="B152" s="285"/>
      <c r="C152" s="285"/>
      <c r="E152" s="285"/>
      <c r="F152" s="285"/>
      <c r="G152" s="285"/>
    </row>
    <row r="153" spans="1:7" x14ac:dyDescent="0.25">
      <c r="A153" s="285"/>
      <c r="B153" s="285"/>
      <c r="C153" s="285"/>
      <c r="E153" s="285"/>
      <c r="F153" s="285"/>
      <c r="G153" s="285"/>
    </row>
    <row r="154" spans="1:7" x14ac:dyDescent="0.25">
      <c r="A154" s="285"/>
      <c r="B154" s="285"/>
      <c r="C154" s="285"/>
      <c r="E154" s="285"/>
      <c r="F154" s="285"/>
      <c r="G154" s="285"/>
    </row>
    <row r="155" spans="1:7" x14ac:dyDescent="0.25">
      <c r="A155" s="285"/>
      <c r="B155" s="285"/>
      <c r="C155" s="285"/>
      <c r="E155" s="285"/>
      <c r="F155" s="285"/>
      <c r="G155" s="285"/>
    </row>
    <row r="156" spans="1:7" x14ac:dyDescent="0.25">
      <c r="A156" s="285"/>
      <c r="B156" s="285"/>
      <c r="C156" s="285"/>
      <c r="E156" s="285"/>
      <c r="F156" s="285"/>
      <c r="G156" s="285"/>
    </row>
    <row r="157" spans="1:7" x14ac:dyDescent="0.25">
      <c r="A157" s="285"/>
      <c r="B157" s="285"/>
      <c r="C157" s="285"/>
      <c r="E157" s="285"/>
      <c r="F157" s="285"/>
      <c r="G157" s="285"/>
    </row>
    <row r="158" spans="1:7" x14ac:dyDescent="0.25">
      <c r="A158" s="285"/>
      <c r="B158" s="285"/>
      <c r="C158" s="285"/>
      <c r="E158" s="285"/>
      <c r="F158" s="285"/>
      <c r="G158" s="285"/>
    </row>
    <row r="159" spans="1:7" x14ac:dyDescent="0.25">
      <c r="A159" s="285"/>
      <c r="B159" s="285"/>
      <c r="C159" s="285"/>
      <c r="E159" s="285"/>
      <c r="F159" s="285"/>
      <c r="G159" s="285"/>
    </row>
    <row r="160" spans="1:7" x14ac:dyDescent="0.25">
      <c r="A160" s="285"/>
      <c r="B160" s="285"/>
      <c r="C160" s="285"/>
      <c r="E160" s="285"/>
      <c r="F160" s="285"/>
      <c r="G160" s="285"/>
    </row>
    <row r="161" spans="1:7" x14ac:dyDescent="0.25">
      <c r="A161" s="285"/>
      <c r="B161" s="285"/>
      <c r="C161" s="285"/>
      <c r="E161" s="285"/>
      <c r="F161" s="285"/>
      <c r="G161" s="285"/>
    </row>
    <row r="162" spans="1:7" x14ac:dyDescent="0.25">
      <c r="A162" s="285"/>
      <c r="B162" s="285"/>
      <c r="C162" s="285"/>
      <c r="E162" s="285"/>
      <c r="F162" s="285"/>
      <c r="G162" s="285"/>
    </row>
    <row r="163" spans="1:7" x14ac:dyDescent="0.25">
      <c r="A163" s="285"/>
      <c r="B163" s="285"/>
      <c r="C163" s="285"/>
      <c r="E163" s="285"/>
      <c r="F163" s="285"/>
      <c r="G163" s="285"/>
    </row>
    <row r="164" spans="1:7" x14ac:dyDescent="0.25">
      <c r="A164" s="285"/>
      <c r="B164" s="285"/>
      <c r="C164" s="285"/>
      <c r="E164" s="285"/>
      <c r="F164" s="285"/>
      <c r="G164" s="285"/>
    </row>
    <row r="165" spans="1:7" x14ac:dyDescent="0.25">
      <c r="A165" s="285"/>
      <c r="B165" s="285"/>
      <c r="C165" s="285"/>
      <c r="E165" s="285"/>
      <c r="F165" s="285"/>
      <c r="G165" s="285"/>
    </row>
    <row r="166" spans="1:7" x14ac:dyDescent="0.25">
      <c r="A166" s="285"/>
      <c r="B166" s="285"/>
      <c r="C166" s="285"/>
      <c r="E166" s="285"/>
      <c r="F166" s="285"/>
      <c r="G166" s="285"/>
    </row>
    <row r="167" spans="1:7" x14ac:dyDescent="0.25">
      <c r="A167" s="285"/>
      <c r="B167" s="285"/>
      <c r="C167" s="285"/>
      <c r="E167" s="285"/>
      <c r="F167" s="285"/>
      <c r="G167" s="285"/>
    </row>
    <row r="168" spans="1:7" x14ac:dyDescent="0.25">
      <c r="A168" s="285"/>
      <c r="B168" s="285"/>
      <c r="C168" s="285"/>
      <c r="E168" s="285"/>
      <c r="F168" s="285"/>
      <c r="G168" s="285"/>
    </row>
    <row r="169" spans="1:7" x14ac:dyDescent="0.25">
      <c r="A169" s="285"/>
      <c r="B169" s="285"/>
      <c r="C169" s="285"/>
      <c r="E169" s="285"/>
      <c r="F169" s="285"/>
      <c r="G169" s="285"/>
    </row>
    <row r="170" spans="1:7" x14ac:dyDescent="0.25">
      <c r="A170" s="285"/>
      <c r="B170" s="285"/>
      <c r="C170" s="285"/>
      <c r="E170" s="285"/>
      <c r="F170" s="285"/>
      <c r="G170" s="285"/>
    </row>
    <row r="171" spans="1:7" x14ac:dyDescent="0.25">
      <c r="A171" s="285"/>
      <c r="B171" s="285"/>
      <c r="C171" s="285"/>
      <c r="E171" s="285"/>
      <c r="F171" s="285"/>
      <c r="G171" s="285"/>
    </row>
    <row r="172" spans="1:7" x14ac:dyDescent="0.25">
      <c r="A172" s="285"/>
      <c r="B172" s="285"/>
      <c r="C172" s="285"/>
      <c r="E172" s="285"/>
      <c r="F172" s="285"/>
      <c r="G172" s="285"/>
    </row>
    <row r="173" spans="1:7" x14ac:dyDescent="0.25">
      <c r="A173" s="285"/>
      <c r="B173" s="285"/>
      <c r="C173" s="285"/>
      <c r="E173" s="285"/>
      <c r="F173" s="285"/>
      <c r="G173" s="285"/>
    </row>
    <row r="174" spans="1:7" x14ac:dyDescent="0.25">
      <c r="A174" s="285"/>
      <c r="B174" s="285"/>
      <c r="C174" s="285"/>
      <c r="E174" s="285"/>
      <c r="F174" s="285"/>
      <c r="G174" s="285"/>
    </row>
    <row r="175" spans="1:7" x14ac:dyDescent="0.25">
      <c r="A175" s="285"/>
      <c r="B175" s="285"/>
      <c r="C175" s="285"/>
      <c r="E175" s="285"/>
      <c r="F175" s="285"/>
      <c r="G175" s="285"/>
    </row>
    <row r="176" spans="1:7" x14ac:dyDescent="0.25">
      <c r="A176" s="285"/>
      <c r="B176" s="285"/>
      <c r="C176" s="285"/>
      <c r="E176" s="285"/>
      <c r="F176" s="285"/>
      <c r="G176" s="285"/>
    </row>
    <row r="177" spans="1:7" x14ac:dyDescent="0.25">
      <c r="A177" s="285"/>
      <c r="B177" s="285"/>
      <c r="C177" s="285"/>
      <c r="E177" s="285"/>
      <c r="F177" s="285"/>
      <c r="G177" s="285"/>
    </row>
    <row r="178" spans="1:7" x14ac:dyDescent="0.25">
      <c r="A178" s="285"/>
      <c r="B178" s="285"/>
      <c r="C178" s="285"/>
      <c r="E178" s="285"/>
      <c r="F178" s="285"/>
      <c r="G178" s="285"/>
    </row>
    <row r="179" spans="1:7" x14ac:dyDescent="0.25">
      <c r="A179" s="285"/>
      <c r="B179" s="285"/>
      <c r="C179" s="285"/>
      <c r="E179" s="285"/>
      <c r="F179" s="285"/>
      <c r="G179" s="285"/>
    </row>
    <row r="180" spans="1:7" x14ac:dyDescent="0.25">
      <c r="A180" s="285"/>
      <c r="B180" s="285"/>
      <c r="C180" s="285"/>
      <c r="E180" s="285"/>
      <c r="F180" s="285"/>
      <c r="G180" s="285"/>
    </row>
    <row r="181" spans="1:7" x14ac:dyDescent="0.25">
      <c r="A181" s="285"/>
      <c r="B181" s="285"/>
      <c r="C181" s="285"/>
      <c r="E181" s="285"/>
      <c r="F181" s="285"/>
      <c r="G181" s="285"/>
    </row>
    <row r="182" spans="1:7" x14ac:dyDescent="0.25">
      <c r="A182" s="285"/>
      <c r="B182" s="285"/>
      <c r="C182" s="285"/>
      <c r="E182" s="285"/>
      <c r="F182" s="285"/>
      <c r="G182" s="285"/>
    </row>
    <row r="183" spans="1:7" x14ac:dyDescent="0.25">
      <c r="A183" s="285"/>
      <c r="B183" s="285"/>
      <c r="C183" s="285"/>
      <c r="E183" s="285"/>
      <c r="F183" s="285"/>
      <c r="G183" s="285"/>
    </row>
    <row r="184" spans="1:7" x14ac:dyDescent="0.25">
      <c r="A184" s="285"/>
      <c r="B184" s="285"/>
      <c r="C184" s="285"/>
      <c r="E184" s="285"/>
      <c r="F184" s="285"/>
      <c r="G184" s="285"/>
    </row>
    <row r="185" spans="1:7" x14ac:dyDescent="0.25">
      <c r="A185" s="285"/>
      <c r="B185" s="285"/>
      <c r="C185" s="285"/>
      <c r="E185" s="285"/>
      <c r="F185" s="285"/>
      <c r="G185" s="285"/>
    </row>
    <row r="186" spans="1:7" x14ac:dyDescent="0.25">
      <c r="A186" s="285"/>
      <c r="B186" s="285"/>
      <c r="C186" s="285"/>
      <c r="E186" s="285"/>
      <c r="F186" s="285"/>
      <c r="G186" s="285"/>
    </row>
    <row r="187" spans="1:7" x14ac:dyDescent="0.25">
      <c r="A187" s="285"/>
      <c r="B187" s="285"/>
      <c r="C187" s="285"/>
      <c r="E187" s="285"/>
      <c r="F187" s="285"/>
      <c r="G187" s="285"/>
    </row>
    <row r="188" spans="1:7" x14ac:dyDescent="0.25">
      <c r="A188" s="285"/>
      <c r="B188" s="285"/>
      <c r="C188" s="285"/>
      <c r="E188" s="285"/>
      <c r="F188" s="285"/>
      <c r="G188" s="285"/>
    </row>
    <row r="189" spans="1:7" x14ac:dyDescent="0.25">
      <c r="A189" s="285"/>
      <c r="B189" s="285"/>
      <c r="C189" s="285"/>
      <c r="E189" s="285"/>
      <c r="F189" s="285"/>
      <c r="G189" s="285"/>
    </row>
    <row r="190" spans="1:7" x14ac:dyDescent="0.25">
      <c r="A190" s="285"/>
      <c r="B190" s="285"/>
      <c r="C190" s="285"/>
      <c r="E190" s="285"/>
      <c r="F190" s="285"/>
      <c r="G190" s="285"/>
    </row>
    <row r="191" spans="1:7" x14ac:dyDescent="0.25">
      <c r="A191" s="285"/>
      <c r="B191" s="285"/>
      <c r="C191" s="285"/>
      <c r="E191" s="285"/>
      <c r="F191" s="285"/>
      <c r="G191" s="285"/>
    </row>
    <row r="192" spans="1:7" x14ac:dyDescent="0.25">
      <c r="A192" s="285"/>
      <c r="B192" s="285"/>
      <c r="C192" s="285"/>
      <c r="E192" s="285"/>
      <c r="F192" s="285"/>
      <c r="G192" s="285"/>
    </row>
    <row r="193" spans="1:7" x14ac:dyDescent="0.25">
      <c r="A193" s="285"/>
      <c r="B193" s="285"/>
      <c r="C193" s="285"/>
      <c r="E193" s="285"/>
      <c r="F193" s="285"/>
      <c r="G193" s="285"/>
    </row>
    <row r="194" spans="1:7" x14ac:dyDescent="0.25">
      <c r="A194" s="285"/>
      <c r="B194" s="285"/>
      <c r="C194" s="285"/>
      <c r="E194" s="285"/>
      <c r="F194" s="285"/>
      <c r="G194" s="285"/>
    </row>
    <row r="195" spans="1:7" x14ac:dyDescent="0.25">
      <c r="A195" s="285"/>
      <c r="B195" s="285"/>
      <c r="C195" s="285"/>
      <c r="E195" s="285"/>
      <c r="F195" s="285"/>
      <c r="G195" s="285"/>
    </row>
    <row r="196" spans="1:7" x14ac:dyDescent="0.25">
      <c r="A196" s="285"/>
      <c r="B196" s="285"/>
      <c r="C196" s="285"/>
      <c r="E196" s="285"/>
      <c r="F196" s="285"/>
      <c r="G196" s="285"/>
    </row>
    <row r="197" spans="1:7" x14ac:dyDescent="0.25">
      <c r="A197" s="285"/>
      <c r="B197" s="285"/>
      <c r="C197" s="285"/>
      <c r="E197" s="285"/>
      <c r="F197" s="285"/>
      <c r="G197" s="285"/>
    </row>
    <row r="198" spans="1:7" x14ac:dyDescent="0.25">
      <c r="A198" s="285"/>
      <c r="B198" s="285"/>
      <c r="C198" s="285"/>
      <c r="E198" s="285"/>
      <c r="F198" s="285"/>
      <c r="G198" s="285"/>
    </row>
    <row r="199" spans="1:7" x14ac:dyDescent="0.25">
      <c r="A199" s="285"/>
      <c r="B199" s="285"/>
      <c r="C199" s="285"/>
      <c r="E199" s="285"/>
      <c r="F199" s="285"/>
      <c r="G199" s="285"/>
    </row>
    <row r="200" spans="1:7" x14ac:dyDescent="0.25">
      <c r="A200" s="285"/>
      <c r="B200" s="285"/>
      <c r="C200" s="285"/>
      <c r="E200" s="285"/>
      <c r="F200" s="285"/>
      <c r="G200" s="285"/>
    </row>
    <row r="201" spans="1:7" x14ac:dyDescent="0.25">
      <c r="A201" s="285"/>
      <c r="B201" s="285"/>
      <c r="C201" s="285"/>
      <c r="E201" s="285"/>
      <c r="F201" s="285"/>
      <c r="G201" s="285"/>
    </row>
    <row r="202" spans="1:7" x14ac:dyDescent="0.25">
      <c r="A202" s="285"/>
      <c r="B202" s="285"/>
      <c r="C202" s="285"/>
      <c r="E202" s="285"/>
      <c r="F202" s="285"/>
      <c r="G202" s="285"/>
    </row>
    <row r="203" spans="1:7" x14ac:dyDescent="0.25">
      <c r="A203" s="285"/>
      <c r="B203" s="285"/>
      <c r="C203" s="285"/>
      <c r="E203" s="285"/>
      <c r="F203" s="285"/>
      <c r="G203" s="285"/>
    </row>
    <row r="204" spans="1:7" x14ac:dyDescent="0.25">
      <c r="A204" s="285"/>
      <c r="B204" s="285"/>
      <c r="C204" s="285"/>
      <c r="E204" s="285"/>
      <c r="F204" s="285"/>
      <c r="G204" s="285"/>
    </row>
    <row r="205" spans="1:7" x14ac:dyDescent="0.25">
      <c r="A205" s="285"/>
      <c r="B205" s="285"/>
      <c r="C205" s="285"/>
      <c r="E205" s="285"/>
      <c r="F205" s="285"/>
      <c r="G205" s="285"/>
    </row>
    <row r="206" spans="1:7" x14ac:dyDescent="0.25">
      <c r="A206" s="285"/>
      <c r="B206" s="285"/>
      <c r="C206" s="285"/>
      <c r="E206" s="285"/>
      <c r="F206" s="285"/>
      <c r="G206" s="285"/>
    </row>
    <row r="207" spans="1:7" x14ac:dyDescent="0.25">
      <c r="A207" s="285"/>
      <c r="B207" s="285"/>
      <c r="C207" s="285"/>
      <c r="E207" s="285"/>
      <c r="F207" s="285"/>
      <c r="G207" s="285"/>
    </row>
    <row r="208" spans="1:7" x14ac:dyDescent="0.25">
      <c r="A208" s="285"/>
      <c r="B208" s="285"/>
      <c r="C208" s="285"/>
      <c r="E208" s="285"/>
      <c r="F208" s="285"/>
      <c r="G208" s="285"/>
    </row>
    <row r="209" spans="1:7" x14ac:dyDescent="0.25">
      <c r="A209" s="285"/>
      <c r="B209" s="285"/>
      <c r="C209" s="285"/>
      <c r="E209" s="285"/>
      <c r="F209" s="285"/>
      <c r="G209" s="285"/>
    </row>
    <row r="210" spans="1:7" x14ac:dyDescent="0.25">
      <c r="A210" s="285"/>
      <c r="B210" s="285"/>
      <c r="C210" s="285"/>
      <c r="E210" s="285"/>
      <c r="F210" s="285"/>
      <c r="G210" s="285"/>
    </row>
    <row r="211" spans="1:7" x14ac:dyDescent="0.25">
      <c r="A211" s="285"/>
      <c r="B211" s="285"/>
      <c r="C211" s="285"/>
      <c r="E211" s="285"/>
      <c r="F211" s="285"/>
      <c r="G211" s="285"/>
    </row>
    <row r="212" spans="1:7" x14ac:dyDescent="0.25">
      <c r="A212" s="285"/>
      <c r="B212" s="285"/>
      <c r="C212" s="285"/>
      <c r="E212" s="285"/>
      <c r="F212" s="285"/>
      <c r="G212" s="285"/>
    </row>
    <row r="213" spans="1:7" x14ac:dyDescent="0.25">
      <c r="A213" s="285"/>
      <c r="B213" s="285"/>
      <c r="C213" s="285"/>
      <c r="E213" s="285"/>
      <c r="F213" s="285"/>
      <c r="G213" s="285"/>
    </row>
    <row r="214" spans="1:7" x14ac:dyDescent="0.25">
      <c r="A214" s="285"/>
      <c r="B214" s="285"/>
      <c r="C214" s="285"/>
      <c r="E214" s="285"/>
      <c r="F214" s="285"/>
      <c r="G214" s="285"/>
    </row>
    <row r="215" spans="1:7" x14ac:dyDescent="0.25">
      <c r="A215" s="285"/>
      <c r="B215" s="285"/>
      <c r="C215" s="285"/>
      <c r="E215" s="285"/>
      <c r="F215" s="285"/>
      <c r="G215" s="285"/>
    </row>
    <row r="216" spans="1:7" x14ac:dyDescent="0.25">
      <c r="A216" s="285"/>
      <c r="B216" s="285"/>
      <c r="C216" s="285"/>
      <c r="E216" s="285"/>
      <c r="F216" s="285"/>
      <c r="G216" s="285"/>
    </row>
    <row r="217" spans="1:7" x14ac:dyDescent="0.25">
      <c r="A217" s="285"/>
      <c r="B217" s="285"/>
      <c r="C217" s="285"/>
      <c r="E217" s="285"/>
      <c r="F217" s="285"/>
      <c r="G217" s="285"/>
    </row>
    <row r="218" spans="1:7" x14ac:dyDescent="0.25">
      <c r="A218" s="285"/>
      <c r="B218" s="285"/>
      <c r="C218" s="285"/>
      <c r="E218" s="285"/>
      <c r="F218" s="285"/>
      <c r="G218" s="285"/>
    </row>
    <row r="219" spans="1:7" x14ac:dyDescent="0.25">
      <c r="A219" s="285"/>
      <c r="B219" s="285"/>
      <c r="C219" s="285"/>
      <c r="E219" s="285"/>
      <c r="F219" s="285"/>
      <c r="G219" s="285"/>
    </row>
    <row r="220" spans="1:7" x14ac:dyDescent="0.25">
      <c r="A220" s="285"/>
      <c r="B220" s="285"/>
      <c r="C220" s="285"/>
      <c r="E220" s="285"/>
      <c r="F220" s="285"/>
      <c r="G220" s="285"/>
    </row>
    <row r="221" spans="1:7" x14ac:dyDescent="0.25">
      <c r="A221" s="285"/>
      <c r="B221" s="285"/>
      <c r="C221" s="285"/>
      <c r="E221" s="285"/>
      <c r="F221" s="285"/>
      <c r="G221" s="285"/>
    </row>
    <row r="222" spans="1:7" x14ac:dyDescent="0.25">
      <c r="A222" s="285"/>
      <c r="B222" s="285"/>
      <c r="C222" s="285"/>
      <c r="E222" s="285"/>
      <c r="F222" s="285"/>
      <c r="G222" s="285"/>
    </row>
    <row r="223" spans="1:7" x14ac:dyDescent="0.25">
      <c r="A223" s="285"/>
      <c r="B223" s="285"/>
      <c r="C223" s="285"/>
      <c r="E223" s="285"/>
      <c r="F223" s="285"/>
      <c r="G223" s="285"/>
    </row>
    <row r="224" spans="1:7" x14ac:dyDescent="0.25">
      <c r="A224" s="285"/>
      <c r="B224" s="285"/>
      <c r="C224" s="285"/>
      <c r="E224" s="285"/>
      <c r="F224" s="285"/>
      <c r="G224" s="285"/>
    </row>
    <row r="225" spans="1:7" x14ac:dyDescent="0.25">
      <c r="A225" s="285"/>
      <c r="B225" s="285"/>
      <c r="C225" s="285"/>
      <c r="E225" s="285"/>
      <c r="F225" s="285"/>
      <c r="G225" s="285"/>
    </row>
    <row r="226" spans="1:7" x14ac:dyDescent="0.25">
      <c r="A226" s="285"/>
      <c r="B226" s="285"/>
      <c r="C226" s="285"/>
      <c r="E226" s="285"/>
      <c r="F226" s="285"/>
      <c r="G226" s="285"/>
    </row>
    <row r="227" spans="1:7" x14ac:dyDescent="0.25">
      <c r="A227" s="285"/>
      <c r="B227" s="285"/>
      <c r="C227" s="285"/>
      <c r="E227" s="285"/>
      <c r="F227" s="285"/>
      <c r="G227" s="285"/>
    </row>
    <row r="228" spans="1:7" x14ac:dyDescent="0.25">
      <c r="A228" s="285"/>
      <c r="B228" s="285"/>
      <c r="C228" s="285"/>
      <c r="E228" s="285"/>
      <c r="F228" s="285"/>
      <c r="G228" s="285"/>
    </row>
    <row r="229" spans="1:7" x14ac:dyDescent="0.25">
      <c r="A229" s="285"/>
      <c r="B229" s="285"/>
      <c r="C229" s="285"/>
      <c r="E229" s="285"/>
      <c r="F229" s="285"/>
      <c r="G229" s="285"/>
    </row>
    <row r="230" spans="1:7" x14ac:dyDescent="0.25">
      <c r="A230" s="285"/>
      <c r="B230" s="285"/>
      <c r="C230" s="285"/>
      <c r="E230" s="285"/>
      <c r="F230" s="285"/>
      <c r="G230" s="285"/>
    </row>
    <row r="231" spans="1:7" x14ac:dyDescent="0.25">
      <c r="A231" s="285"/>
      <c r="B231" s="285"/>
      <c r="C231" s="285"/>
      <c r="E231" s="285"/>
      <c r="F231" s="285"/>
      <c r="G231" s="285"/>
    </row>
    <row r="232" spans="1:7" x14ac:dyDescent="0.25">
      <c r="A232" s="285"/>
      <c r="B232" s="285"/>
      <c r="C232" s="285"/>
      <c r="E232" s="285"/>
      <c r="F232" s="285"/>
      <c r="G232" s="285"/>
    </row>
    <row r="233" spans="1:7" x14ac:dyDescent="0.25">
      <c r="A233" s="285"/>
      <c r="B233" s="285"/>
      <c r="C233" s="285"/>
      <c r="E233" s="285"/>
      <c r="F233" s="285"/>
      <c r="G233" s="285"/>
    </row>
    <row r="234" spans="1:7" x14ac:dyDescent="0.25">
      <c r="A234" s="285"/>
      <c r="B234" s="285"/>
      <c r="C234" s="285"/>
      <c r="E234" s="285"/>
      <c r="F234" s="285"/>
      <c r="G234" s="285"/>
    </row>
    <row r="235" spans="1:7" x14ac:dyDescent="0.25">
      <c r="A235" s="285"/>
      <c r="B235" s="285"/>
      <c r="C235" s="285"/>
      <c r="E235" s="285"/>
      <c r="F235" s="285"/>
      <c r="G235" s="285"/>
    </row>
    <row r="236" spans="1:7" x14ac:dyDescent="0.25">
      <c r="A236" s="285"/>
      <c r="B236" s="285"/>
      <c r="C236" s="285"/>
      <c r="E236" s="285"/>
      <c r="F236" s="285"/>
      <c r="G236" s="285"/>
    </row>
    <row r="237" spans="1:7" x14ac:dyDescent="0.25">
      <c r="A237" s="285"/>
      <c r="B237" s="285"/>
      <c r="C237" s="285"/>
      <c r="E237" s="285"/>
      <c r="F237" s="285"/>
      <c r="G237" s="285"/>
    </row>
    <row r="238" spans="1:7" x14ac:dyDescent="0.25">
      <c r="A238" s="285"/>
      <c r="B238" s="285"/>
      <c r="C238" s="285"/>
      <c r="E238" s="285"/>
      <c r="F238" s="285"/>
      <c r="G238" s="285"/>
    </row>
    <row r="239" spans="1:7" x14ac:dyDescent="0.25">
      <c r="A239" s="285"/>
      <c r="B239" s="285"/>
      <c r="C239" s="285"/>
      <c r="E239" s="285"/>
      <c r="F239" s="285"/>
      <c r="G239" s="285"/>
    </row>
    <row r="240" spans="1:7" x14ac:dyDescent="0.25">
      <c r="A240" s="285"/>
      <c r="B240" s="285"/>
      <c r="C240" s="285"/>
      <c r="E240" s="285"/>
      <c r="F240" s="285"/>
      <c r="G240" s="285"/>
    </row>
    <row r="241" spans="1:7" x14ac:dyDescent="0.25">
      <c r="A241" s="285"/>
      <c r="B241" s="285"/>
      <c r="C241" s="285"/>
      <c r="E241" s="285"/>
      <c r="F241" s="285"/>
      <c r="G241" s="285"/>
    </row>
    <row r="242" spans="1:7" x14ac:dyDescent="0.25">
      <c r="A242" s="285"/>
      <c r="B242" s="285"/>
      <c r="C242" s="285"/>
      <c r="E242" s="285"/>
      <c r="F242" s="285"/>
      <c r="G242" s="285"/>
    </row>
    <row r="243" spans="1:7" x14ac:dyDescent="0.25">
      <c r="A243" s="285"/>
      <c r="B243" s="285"/>
      <c r="C243" s="285"/>
      <c r="E243" s="285"/>
      <c r="F243" s="285"/>
      <c r="G243" s="285"/>
    </row>
    <row r="244" spans="1:7" x14ac:dyDescent="0.25">
      <c r="A244" s="285"/>
      <c r="B244" s="285"/>
      <c r="C244" s="285"/>
      <c r="E244" s="285"/>
      <c r="F244" s="285"/>
      <c r="G244" s="285"/>
    </row>
    <row r="245" spans="1:7" x14ac:dyDescent="0.25">
      <c r="A245" s="285"/>
      <c r="B245" s="285"/>
      <c r="C245" s="285"/>
      <c r="E245" s="285"/>
      <c r="F245" s="285"/>
      <c r="G245" s="285"/>
    </row>
    <row r="246" spans="1:7" x14ac:dyDescent="0.25">
      <c r="A246" s="285"/>
      <c r="B246" s="285"/>
      <c r="C246" s="285"/>
      <c r="E246" s="285"/>
      <c r="F246" s="285"/>
      <c r="G246" s="285"/>
    </row>
    <row r="247" spans="1:7" x14ac:dyDescent="0.25">
      <c r="A247" s="285"/>
      <c r="B247" s="285"/>
      <c r="C247" s="285"/>
      <c r="E247" s="285"/>
      <c r="F247" s="285"/>
      <c r="G247" s="285"/>
    </row>
    <row r="248" spans="1:7" x14ac:dyDescent="0.25">
      <c r="A248" s="285"/>
      <c r="B248" s="285"/>
      <c r="C248" s="285"/>
      <c r="E248" s="285"/>
      <c r="F248" s="285"/>
      <c r="G248" s="285"/>
    </row>
    <row r="249" spans="1:7" x14ac:dyDescent="0.25">
      <c r="A249" s="285"/>
      <c r="B249" s="285"/>
      <c r="C249" s="285"/>
      <c r="E249" s="285"/>
      <c r="F249" s="285"/>
      <c r="G249" s="285"/>
    </row>
    <row r="250" spans="1:7" x14ac:dyDescent="0.25">
      <c r="A250" s="285"/>
      <c r="B250" s="285"/>
      <c r="C250" s="285"/>
      <c r="E250" s="285"/>
      <c r="F250" s="285"/>
      <c r="G250" s="285"/>
    </row>
    <row r="251" spans="1:7" x14ac:dyDescent="0.25">
      <c r="A251" s="285"/>
      <c r="B251" s="285"/>
      <c r="C251" s="285"/>
      <c r="E251" s="285"/>
      <c r="F251" s="285"/>
      <c r="G251" s="285"/>
    </row>
    <row r="252" spans="1:7" x14ac:dyDescent="0.25">
      <c r="A252" s="285"/>
      <c r="B252" s="285"/>
      <c r="C252" s="285"/>
      <c r="E252" s="285"/>
      <c r="F252" s="285"/>
      <c r="G252" s="285"/>
    </row>
    <row r="253" spans="1:7" x14ac:dyDescent="0.25">
      <c r="A253" s="285"/>
      <c r="B253" s="285"/>
      <c r="C253" s="285"/>
      <c r="E253" s="285"/>
      <c r="F253" s="285"/>
      <c r="G253" s="285"/>
    </row>
    <row r="254" spans="1:7" x14ac:dyDescent="0.25">
      <c r="A254" s="285"/>
      <c r="B254" s="285"/>
      <c r="C254" s="285"/>
      <c r="E254" s="285"/>
      <c r="F254" s="285"/>
      <c r="G254" s="285"/>
    </row>
    <row r="255" spans="1:7" x14ac:dyDescent="0.25">
      <c r="A255" s="285"/>
      <c r="B255" s="285"/>
      <c r="C255" s="285"/>
      <c r="E255" s="285"/>
      <c r="F255" s="285"/>
      <c r="G255" s="285"/>
    </row>
    <row r="256" spans="1:7" x14ac:dyDescent="0.25">
      <c r="A256" s="285"/>
      <c r="B256" s="285"/>
      <c r="C256" s="285"/>
      <c r="E256" s="285"/>
      <c r="F256" s="285"/>
      <c r="G256" s="285"/>
    </row>
    <row r="257" spans="1:7" x14ac:dyDescent="0.25">
      <c r="A257" s="285"/>
      <c r="B257" s="285"/>
      <c r="C257" s="285"/>
      <c r="E257" s="285"/>
      <c r="F257" s="285"/>
      <c r="G257" s="285"/>
    </row>
    <row r="258" spans="1:7" x14ac:dyDescent="0.25">
      <c r="A258" s="285"/>
      <c r="B258" s="285"/>
      <c r="C258" s="285"/>
      <c r="E258" s="285"/>
      <c r="F258" s="285"/>
      <c r="G258" s="285"/>
    </row>
    <row r="259" spans="1:7" x14ac:dyDescent="0.25">
      <c r="A259" s="285"/>
      <c r="B259" s="285"/>
      <c r="C259" s="285"/>
      <c r="E259" s="285"/>
      <c r="F259" s="285"/>
      <c r="G259" s="285"/>
    </row>
    <row r="260" spans="1:7" x14ac:dyDescent="0.25">
      <c r="A260" s="285"/>
      <c r="B260" s="285"/>
      <c r="C260" s="285"/>
      <c r="E260" s="285"/>
      <c r="F260" s="285"/>
      <c r="G260" s="285"/>
    </row>
    <row r="261" spans="1:7" x14ac:dyDescent="0.25">
      <c r="A261" s="285"/>
      <c r="B261" s="285"/>
      <c r="C261" s="285"/>
      <c r="E261" s="285"/>
      <c r="F261" s="285"/>
      <c r="G261" s="285"/>
    </row>
    <row r="262" spans="1:7" x14ac:dyDescent="0.25">
      <c r="A262" s="285"/>
      <c r="B262" s="285"/>
      <c r="C262" s="285"/>
      <c r="E262" s="285"/>
      <c r="F262" s="285"/>
      <c r="G262" s="285"/>
    </row>
    <row r="263" spans="1:7" x14ac:dyDescent="0.25">
      <c r="A263" s="285"/>
      <c r="B263" s="285"/>
      <c r="C263" s="285"/>
      <c r="E263" s="285"/>
      <c r="F263" s="285"/>
      <c r="G263" s="285"/>
    </row>
    <row r="264" spans="1:7" x14ac:dyDescent="0.25">
      <c r="A264" s="285"/>
      <c r="B264" s="285"/>
      <c r="C264" s="285"/>
      <c r="E264" s="285"/>
      <c r="F264" s="285"/>
      <c r="G264" s="285"/>
    </row>
    <row r="265" spans="1:7" x14ac:dyDescent="0.25">
      <c r="A265" s="285"/>
      <c r="B265" s="285"/>
      <c r="C265" s="285"/>
      <c r="E265" s="285"/>
      <c r="F265" s="285"/>
      <c r="G265" s="285"/>
    </row>
    <row r="266" spans="1:7" x14ac:dyDescent="0.25">
      <c r="A266" s="285"/>
      <c r="B266" s="285"/>
      <c r="C266" s="285"/>
      <c r="E266" s="285"/>
      <c r="F266" s="285"/>
      <c r="G266" s="285"/>
    </row>
    <row r="267" spans="1:7" x14ac:dyDescent="0.25">
      <c r="A267" s="285"/>
      <c r="B267" s="285"/>
      <c r="C267" s="285"/>
      <c r="E267" s="285"/>
      <c r="F267" s="285"/>
      <c r="G267" s="285"/>
    </row>
    <row r="268" spans="1:7" x14ac:dyDescent="0.25">
      <c r="A268" s="285"/>
      <c r="B268" s="285"/>
      <c r="C268" s="285"/>
      <c r="E268" s="285"/>
      <c r="F268" s="285"/>
      <c r="G268" s="285"/>
    </row>
    <row r="269" spans="1:7" x14ac:dyDescent="0.25">
      <c r="A269" s="285"/>
      <c r="B269" s="285"/>
      <c r="C269" s="285"/>
      <c r="E269" s="285"/>
      <c r="F269" s="285"/>
      <c r="G269" s="285"/>
    </row>
    <row r="270" spans="1:7" x14ac:dyDescent="0.25">
      <c r="A270" s="285"/>
      <c r="B270" s="285"/>
      <c r="C270" s="285"/>
      <c r="E270" s="285"/>
      <c r="F270" s="285"/>
      <c r="G270" s="285"/>
    </row>
    <row r="271" spans="1:7" x14ac:dyDescent="0.25">
      <c r="A271" s="285"/>
      <c r="B271" s="285"/>
      <c r="C271" s="285"/>
      <c r="E271" s="285"/>
      <c r="F271" s="285"/>
      <c r="G271" s="285"/>
    </row>
    <row r="272" spans="1:7" x14ac:dyDescent="0.25">
      <c r="A272" s="285"/>
      <c r="B272" s="285"/>
      <c r="C272" s="285"/>
      <c r="E272" s="285"/>
      <c r="F272" s="285"/>
      <c r="G272" s="285"/>
    </row>
    <row r="273" spans="1:7" x14ac:dyDescent="0.25">
      <c r="A273" s="285"/>
      <c r="B273" s="285"/>
      <c r="C273" s="285"/>
      <c r="E273" s="285"/>
      <c r="F273" s="285"/>
      <c r="G273" s="285"/>
    </row>
    <row r="274" spans="1:7" x14ac:dyDescent="0.25">
      <c r="A274" s="285"/>
      <c r="B274" s="285"/>
      <c r="C274" s="285"/>
      <c r="E274" s="285"/>
      <c r="F274" s="285"/>
      <c r="G274" s="285"/>
    </row>
    <row r="275" spans="1:7" x14ac:dyDescent="0.25">
      <c r="A275" s="285"/>
      <c r="B275" s="285"/>
      <c r="C275" s="285"/>
      <c r="E275" s="285"/>
      <c r="F275" s="285"/>
      <c r="G275" s="285"/>
    </row>
    <row r="276" spans="1:7" x14ac:dyDescent="0.25">
      <c r="A276" s="285"/>
      <c r="B276" s="285"/>
      <c r="C276" s="285"/>
      <c r="E276" s="285"/>
      <c r="F276" s="285"/>
      <c r="G276" s="285"/>
    </row>
    <row r="277" spans="1:7" x14ac:dyDescent="0.25">
      <c r="A277" s="285"/>
      <c r="B277" s="285"/>
      <c r="C277" s="285"/>
      <c r="E277" s="285"/>
      <c r="F277" s="285"/>
      <c r="G277" s="285"/>
    </row>
    <row r="278" spans="1:7" x14ac:dyDescent="0.25">
      <c r="A278" s="285"/>
      <c r="B278" s="285"/>
      <c r="C278" s="285"/>
      <c r="E278" s="285"/>
      <c r="F278" s="285"/>
      <c r="G278" s="285"/>
    </row>
    <row r="279" spans="1:7" x14ac:dyDescent="0.25">
      <c r="A279" s="285"/>
      <c r="B279" s="285"/>
      <c r="C279" s="285"/>
      <c r="E279" s="285"/>
      <c r="F279" s="285"/>
      <c r="G279" s="285"/>
    </row>
    <row r="280" spans="1:7" x14ac:dyDescent="0.25">
      <c r="A280" s="285"/>
      <c r="B280" s="285"/>
      <c r="C280" s="285"/>
      <c r="E280" s="285"/>
      <c r="F280" s="285"/>
      <c r="G280" s="285"/>
    </row>
    <row r="281" spans="1:7" x14ac:dyDescent="0.25">
      <c r="A281" s="285"/>
      <c r="B281" s="285"/>
      <c r="C281" s="285"/>
      <c r="E281" s="285"/>
      <c r="F281" s="285"/>
      <c r="G281" s="285"/>
    </row>
    <row r="282" spans="1:7" x14ac:dyDescent="0.25">
      <c r="A282" s="285"/>
      <c r="B282" s="285"/>
      <c r="C282" s="285"/>
      <c r="E282" s="285"/>
      <c r="F282" s="285"/>
      <c r="G282" s="285"/>
    </row>
    <row r="283" spans="1:7" x14ac:dyDescent="0.25">
      <c r="A283" s="285"/>
      <c r="B283" s="285"/>
      <c r="C283" s="285"/>
      <c r="E283" s="285"/>
      <c r="F283" s="285"/>
      <c r="G283" s="285"/>
    </row>
    <row r="284" spans="1:7" x14ac:dyDescent="0.25">
      <c r="A284" s="285"/>
      <c r="B284" s="285"/>
      <c r="C284" s="285"/>
      <c r="E284" s="285"/>
      <c r="F284" s="285"/>
      <c r="G284" s="285"/>
    </row>
    <row r="285" spans="1:7" x14ac:dyDescent="0.25">
      <c r="A285" s="285"/>
      <c r="B285" s="285"/>
      <c r="C285" s="285"/>
      <c r="E285" s="285"/>
      <c r="F285" s="285"/>
      <c r="G285" s="285"/>
    </row>
    <row r="286" spans="1:7" x14ac:dyDescent="0.25">
      <c r="A286" s="285"/>
      <c r="B286" s="285"/>
      <c r="C286" s="285"/>
      <c r="E286" s="285"/>
      <c r="F286" s="285"/>
      <c r="G286" s="285"/>
    </row>
    <row r="287" spans="1:7" x14ac:dyDescent="0.25">
      <c r="A287" s="285"/>
      <c r="B287" s="285"/>
      <c r="C287" s="285"/>
      <c r="E287" s="285"/>
      <c r="F287" s="285"/>
      <c r="G287" s="285"/>
    </row>
    <row r="288" spans="1:7" x14ac:dyDescent="0.25">
      <c r="A288" s="285"/>
      <c r="B288" s="285"/>
      <c r="C288" s="285"/>
      <c r="E288" s="285"/>
      <c r="F288" s="285"/>
      <c r="G288" s="285"/>
    </row>
    <row r="289" spans="1:7" x14ac:dyDescent="0.25">
      <c r="A289" s="285"/>
      <c r="B289" s="285"/>
      <c r="C289" s="285"/>
      <c r="E289" s="285"/>
      <c r="F289" s="285"/>
      <c r="G289" s="285"/>
    </row>
    <row r="290" spans="1:7" x14ac:dyDescent="0.25">
      <c r="A290" s="285"/>
      <c r="B290" s="285"/>
      <c r="C290" s="285"/>
      <c r="E290" s="285"/>
      <c r="F290" s="285"/>
      <c r="G290" s="285"/>
    </row>
    <row r="291" spans="1:7" x14ac:dyDescent="0.25">
      <c r="A291" s="285"/>
      <c r="B291" s="285"/>
      <c r="C291" s="285"/>
      <c r="E291" s="285"/>
      <c r="F291" s="285"/>
      <c r="G291" s="285"/>
    </row>
    <row r="292" spans="1:7" x14ac:dyDescent="0.25">
      <c r="A292" s="285"/>
      <c r="B292" s="285"/>
      <c r="C292" s="285"/>
      <c r="E292" s="285"/>
      <c r="F292" s="285"/>
      <c r="G292" s="285"/>
    </row>
    <row r="293" spans="1:7" x14ac:dyDescent="0.25">
      <c r="A293" s="285"/>
      <c r="B293" s="285"/>
      <c r="C293" s="285"/>
      <c r="E293" s="285"/>
      <c r="F293" s="285"/>
      <c r="G293" s="285"/>
    </row>
    <row r="294" spans="1:7" x14ac:dyDescent="0.25">
      <c r="A294" s="285"/>
      <c r="B294" s="285"/>
      <c r="C294" s="285"/>
      <c r="E294" s="285"/>
      <c r="F294" s="285"/>
      <c r="G294" s="285"/>
    </row>
    <row r="295" spans="1:7" x14ac:dyDescent="0.25">
      <c r="A295" s="285"/>
      <c r="B295" s="285"/>
      <c r="C295" s="285"/>
      <c r="E295" s="285"/>
      <c r="F295" s="285"/>
      <c r="G295" s="285"/>
    </row>
    <row r="296" spans="1:7" x14ac:dyDescent="0.25">
      <c r="A296" s="285"/>
      <c r="B296" s="285"/>
      <c r="C296" s="285"/>
      <c r="E296" s="285"/>
      <c r="F296" s="285"/>
      <c r="G296" s="285"/>
    </row>
    <row r="297" spans="1:7" x14ac:dyDescent="0.25">
      <c r="A297" s="285"/>
      <c r="B297" s="285"/>
      <c r="C297" s="285"/>
      <c r="E297" s="285"/>
      <c r="F297" s="285"/>
      <c r="G297" s="285"/>
    </row>
    <row r="298" spans="1:7" x14ac:dyDescent="0.25">
      <c r="A298" s="285"/>
      <c r="B298" s="285"/>
      <c r="C298" s="285"/>
      <c r="E298" s="285"/>
      <c r="F298" s="285"/>
      <c r="G298" s="285"/>
    </row>
    <row r="299" spans="1:7" x14ac:dyDescent="0.25">
      <c r="A299" s="285"/>
      <c r="B299" s="285"/>
      <c r="C299" s="285"/>
      <c r="E299" s="285"/>
      <c r="F299" s="285"/>
      <c r="G299" s="285"/>
    </row>
    <row r="300" spans="1:7" x14ac:dyDescent="0.25">
      <c r="A300" s="285"/>
      <c r="B300" s="285"/>
      <c r="C300" s="285"/>
      <c r="E300" s="285"/>
      <c r="F300" s="285"/>
      <c r="G300" s="285"/>
    </row>
    <row r="301" spans="1:7" x14ac:dyDescent="0.25">
      <c r="A301" s="285"/>
      <c r="B301" s="285"/>
      <c r="C301" s="285"/>
      <c r="E301" s="285"/>
      <c r="F301" s="285"/>
      <c r="G301" s="285"/>
    </row>
    <row r="302" spans="1:7" x14ac:dyDescent="0.25">
      <c r="A302" s="285"/>
      <c r="B302" s="285"/>
      <c r="C302" s="285"/>
      <c r="E302" s="285"/>
      <c r="F302" s="285"/>
      <c r="G302" s="285"/>
    </row>
    <row r="303" spans="1:7" x14ac:dyDescent="0.25">
      <c r="A303" s="285"/>
      <c r="B303" s="285"/>
      <c r="C303" s="285"/>
      <c r="E303" s="285"/>
      <c r="F303" s="285"/>
      <c r="G303" s="285"/>
    </row>
    <row r="304" spans="1:7" x14ac:dyDescent="0.25">
      <c r="A304" s="285"/>
      <c r="B304" s="285"/>
      <c r="C304" s="285"/>
      <c r="E304" s="285"/>
      <c r="F304" s="285"/>
      <c r="G304" s="285"/>
    </row>
    <row r="305" spans="1:7" x14ac:dyDescent="0.25">
      <c r="A305" s="285"/>
      <c r="B305" s="285"/>
      <c r="C305" s="285"/>
      <c r="E305" s="285"/>
      <c r="F305" s="285"/>
      <c r="G305" s="285"/>
    </row>
    <row r="306" spans="1:7" x14ac:dyDescent="0.25">
      <c r="A306" s="285"/>
      <c r="B306" s="285"/>
      <c r="C306" s="285"/>
      <c r="E306" s="285"/>
      <c r="F306" s="285"/>
      <c r="G306" s="285"/>
    </row>
    <row r="307" spans="1:7" x14ac:dyDescent="0.25">
      <c r="A307" s="285"/>
      <c r="B307" s="285"/>
      <c r="C307" s="285"/>
      <c r="E307" s="285"/>
      <c r="F307" s="285"/>
      <c r="G307" s="285"/>
    </row>
    <row r="308" spans="1:7" x14ac:dyDescent="0.25">
      <c r="A308" s="285"/>
      <c r="B308" s="285"/>
      <c r="C308" s="285"/>
      <c r="E308" s="285"/>
      <c r="F308" s="285"/>
      <c r="G308" s="285"/>
    </row>
    <row r="309" spans="1:7" x14ac:dyDescent="0.25">
      <c r="A309" s="285"/>
      <c r="B309" s="285"/>
      <c r="C309" s="285"/>
      <c r="E309" s="285"/>
      <c r="F309" s="285"/>
      <c r="G309" s="285"/>
    </row>
    <row r="310" spans="1:7" x14ac:dyDescent="0.25">
      <c r="A310" s="285"/>
      <c r="B310" s="285"/>
      <c r="C310" s="285"/>
      <c r="E310" s="285"/>
      <c r="F310" s="285"/>
      <c r="G310" s="285"/>
    </row>
    <row r="311" spans="1:7" x14ac:dyDescent="0.25">
      <c r="A311" s="285"/>
      <c r="B311" s="285"/>
      <c r="C311" s="285"/>
      <c r="E311" s="285"/>
      <c r="F311" s="285"/>
      <c r="G311" s="285"/>
    </row>
    <row r="312" spans="1:7" x14ac:dyDescent="0.25">
      <c r="A312" s="285"/>
      <c r="B312" s="285"/>
      <c r="C312" s="285"/>
      <c r="E312" s="285"/>
      <c r="F312" s="285"/>
      <c r="G312" s="285"/>
    </row>
    <row r="313" spans="1:7" x14ac:dyDescent="0.25">
      <c r="A313" s="285"/>
      <c r="B313" s="285"/>
      <c r="C313" s="285"/>
      <c r="E313" s="285"/>
      <c r="F313" s="285"/>
      <c r="G313" s="285"/>
    </row>
    <row r="314" spans="1:7" x14ac:dyDescent="0.25">
      <c r="A314" s="285"/>
      <c r="B314" s="285"/>
      <c r="C314" s="285"/>
      <c r="E314" s="285"/>
      <c r="F314" s="285"/>
      <c r="G314" s="285"/>
    </row>
    <row r="315" spans="1:7" x14ac:dyDescent="0.25">
      <c r="A315" s="285"/>
      <c r="B315" s="285"/>
      <c r="C315" s="285"/>
      <c r="E315" s="285"/>
      <c r="F315" s="285"/>
      <c r="G315" s="285"/>
    </row>
    <row r="316" spans="1:7" x14ac:dyDescent="0.25">
      <c r="A316" s="285"/>
      <c r="B316" s="285"/>
      <c r="C316" s="285"/>
      <c r="E316" s="285"/>
      <c r="F316" s="285"/>
      <c r="G316" s="285"/>
    </row>
    <row r="317" spans="1:7" x14ac:dyDescent="0.25">
      <c r="A317" s="285"/>
      <c r="B317" s="285"/>
      <c r="C317" s="285"/>
      <c r="E317" s="285"/>
      <c r="F317" s="285"/>
      <c r="G317" s="285"/>
    </row>
    <row r="318" spans="1:7" x14ac:dyDescent="0.25">
      <c r="A318" s="285"/>
      <c r="B318" s="285"/>
      <c r="C318" s="285"/>
      <c r="E318" s="285"/>
      <c r="F318" s="285"/>
      <c r="G318" s="285"/>
    </row>
    <row r="319" spans="1:7" x14ac:dyDescent="0.25">
      <c r="A319" s="285"/>
      <c r="B319" s="285"/>
      <c r="C319" s="285"/>
      <c r="E319" s="285"/>
      <c r="F319" s="285"/>
      <c r="G319" s="285"/>
    </row>
    <row r="320" spans="1:7" x14ac:dyDescent="0.25">
      <c r="A320" s="285"/>
      <c r="B320" s="285"/>
      <c r="C320" s="285"/>
      <c r="E320" s="285"/>
      <c r="F320" s="285"/>
      <c r="G320" s="285"/>
    </row>
    <row r="321" spans="1:7" x14ac:dyDescent="0.25">
      <c r="A321" s="285"/>
      <c r="B321" s="285"/>
      <c r="C321" s="285"/>
      <c r="E321" s="285"/>
      <c r="F321" s="285"/>
      <c r="G321" s="285"/>
    </row>
    <row r="322" spans="1:7" x14ac:dyDescent="0.25">
      <c r="A322" s="285"/>
      <c r="B322" s="285"/>
      <c r="C322" s="285"/>
      <c r="E322" s="285"/>
      <c r="F322" s="285"/>
      <c r="G322" s="285"/>
    </row>
    <row r="323" spans="1:7" x14ac:dyDescent="0.25">
      <c r="A323" s="285"/>
      <c r="B323" s="285"/>
      <c r="C323" s="285"/>
      <c r="E323" s="285"/>
      <c r="F323" s="285"/>
      <c r="G323" s="285"/>
    </row>
    <row r="324" spans="1:7" x14ac:dyDescent="0.25">
      <c r="A324" s="285"/>
      <c r="B324" s="285"/>
      <c r="C324" s="285"/>
      <c r="E324" s="285"/>
      <c r="F324" s="285"/>
      <c r="G324" s="285"/>
    </row>
    <row r="325" spans="1:7" x14ac:dyDescent="0.25">
      <c r="A325" s="285"/>
      <c r="B325" s="285"/>
      <c r="C325" s="285"/>
      <c r="E325" s="285"/>
      <c r="F325" s="285"/>
      <c r="G325" s="285"/>
    </row>
    <row r="326" spans="1:7" x14ac:dyDescent="0.25">
      <c r="A326" s="285"/>
      <c r="B326" s="285"/>
      <c r="C326" s="285"/>
      <c r="E326" s="285"/>
      <c r="F326" s="285"/>
      <c r="G326" s="285"/>
    </row>
    <row r="327" spans="1:7" x14ac:dyDescent="0.25">
      <c r="A327" s="285"/>
      <c r="B327" s="285"/>
      <c r="C327" s="285"/>
      <c r="E327" s="285"/>
      <c r="F327" s="285"/>
      <c r="G327" s="285"/>
    </row>
    <row r="328" spans="1:7" x14ac:dyDescent="0.25">
      <c r="A328" s="285"/>
      <c r="B328" s="285"/>
      <c r="C328" s="285"/>
      <c r="E328" s="285"/>
      <c r="F328" s="285"/>
      <c r="G328" s="285"/>
    </row>
    <row r="329" spans="1:7" x14ac:dyDescent="0.25">
      <c r="A329" s="285"/>
      <c r="B329" s="285"/>
      <c r="C329" s="285"/>
      <c r="E329" s="285"/>
      <c r="F329" s="285"/>
      <c r="G329" s="285"/>
    </row>
    <row r="330" spans="1:7" x14ac:dyDescent="0.25">
      <c r="A330" s="285"/>
      <c r="B330" s="285"/>
      <c r="C330" s="285"/>
      <c r="E330" s="285"/>
      <c r="F330" s="285"/>
      <c r="G330" s="285"/>
    </row>
    <row r="331" spans="1:7" x14ac:dyDescent="0.25">
      <c r="A331" s="285"/>
      <c r="B331" s="285"/>
      <c r="C331" s="285"/>
      <c r="E331" s="285"/>
      <c r="F331" s="285"/>
      <c r="G331" s="285"/>
    </row>
    <row r="332" spans="1:7" x14ac:dyDescent="0.25">
      <c r="A332" s="285"/>
      <c r="B332" s="285"/>
      <c r="C332" s="285"/>
      <c r="E332" s="285"/>
      <c r="F332" s="285"/>
      <c r="G332" s="285"/>
    </row>
    <row r="333" spans="1:7" x14ac:dyDescent="0.25">
      <c r="A333" s="285"/>
      <c r="B333" s="285"/>
      <c r="C333" s="285"/>
      <c r="E333" s="285"/>
      <c r="F333" s="285"/>
      <c r="G333" s="285"/>
    </row>
    <row r="334" spans="1:7" x14ac:dyDescent="0.25">
      <c r="A334" s="285"/>
      <c r="B334" s="285"/>
      <c r="C334" s="285"/>
      <c r="E334" s="285"/>
      <c r="F334" s="285"/>
      <c r="G334" s="285"/>
    </row>
    <row r="335" spans="1:7" x14ac:dyDescent="0.25">
      <c r="A335" s="285"/>
      <c r="B335" s="285"/>
      <c r="C335" s="285"/>
      <c r="E335" s="285"/>
      <c r="F335" s="285"/>
      <c r="G335" s="285"/>
    </row>
    <row r="336" spans="1:7" x14ac:dyDescent="0.25">
      <c r="A336" s="285"/>
      <c r="B336" s="285"/>
      <c r="C336" s="285"/>
      <c r="E336" s="285"/>
      <c r="F336" s="285"/>
      <c r="G336" s="285"/>
    </row>
    <row r="337" spans="1:7" x14ac:dyDescent="0.25">
      <c r="A337" s="285"/>
      <c r="B337" s="285"/>
      <c r="C337" s="285"/>
      <c r="E337" s="285"/>
      <c r="F337" s="285"/>
      <c r="G337" s="285"/>
    </row>
    <row r="338" spans="1:7" x14ac:dyDescent="0.25">
      <c r="A338" s="285"/>
      <c r="B338" s="285"/>
      <c r="C338" s="285"/>
      <c r="E338" s="285"/>
      <c r="F338" s="285"/>
      <c r="G338" s="285"/>
    </row>
    <row r="339" spans="1:7" x14ac:dyDescent="0.25">
      <c r="A339" s="285"/>
      <c r="B339" s="285"/>
      <c r="C339" s="285"/>
    </row>
    <row r="340" spans="1:7" x14ac:dyDescent="0.25">
      <c r="A340" s="285"/>
      <c r="B340" s="285"/>
      <c r="C340" s="285"/>
    </row>
    <row r="341" spans="1:7" x14ac:dyDescent="0.25">
      <c r="A341" s="285"/>
      <c r="B341" s="285"/>
      <c r="C341" s="285"/>
    </row>
    <row r="342" spans="1:7" x14ac:dyDescent="0.25">
      <c r="A342" s="285"/>
      <c r="B342" s="285"/>
      <c r="C342" s="285"/>
    </row>
  </sheetData>
  <protectedRanges>
    <protectedRange sqref="B3:B38" name="Campos_Pedidos_2"/>
    <protectedRange sqref="F6:F41" name="Campos_Pedidos"/>
  </protectedRanges>
  <mergeCells count="12">
    <mergeCell ref="A1:C1"/>
    <mergeCell ref="J2:P3"/>
    <mergeCell ref="Q2:S3"/>
    <mergeCell ref="E3:G3"/>
    <mergeCell ref="E42:E44"/>
    <mergeCell ref="F42:F44"/>
    <mergeCell ref="G42:G44"/>
    <mergeCell ref="E4:G4"/>
    <mergeCell ref="F1:G1"/>
    <mergeCell ref="F2:G2"/>
    <mergeCell ref="J5:K6"/>
    <mergeCell ref="L5:O6"/>
  </mergeCells>
  <pageMargins left="0.511811024" right="0.511811024" top="0.78740157499999996" bottom="0.78740157499999996" header="0.31496062000000002" footer="0.31496062000000002"/>
  <ignoredErrors>
    <ignoredError sqref="C39" evalError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911126-E5B0-40E1-9FDB-74EBF6522F1B}">
          <x14:formula1>
            <xm:f>Funcionários!$B$2:$B$20</xm:f>
          </x14:formula1>
          <xm:sqref>F1:G1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0407-50E5-4103-91E8-C85D160396FA}">
  <sheetPr codeName="Planilha20"/>
  <dimension ref="A1:AO28"/>
  <sheetViews>
    <sheetView workbookViewId="0">
      <selection activeCell="K26" sqref="K26"/>
    </sheetView>
  </sheetViews>
  <sheetFormatPr defaultRowHeight="15" x14ac:dyDescent="0.25"/>
  <cols>
    <col min="1" max="1" width="29.7109375" customWidth="1"/>
    <col min="2" max="2" width="13.28515625" style="99" customWidth="1"/>
    <col min="3" max="3" width="31.7109375" customWidth="1"/>
    <col min="4" max="4" width="13.28515625" customWidth="1"/>
    <col min="5" max="5" width="17.5703125" customWidth="1"/>
    <col min="6" max="6" width="31.7109375" customWidth="1"/>
    <col min="7" max="7" width="20.42578125" customWidth="1"/>
    <col min="8" max="8" width="20.85546875" customWidth="1"/>
    <col min="9" max="9" width="19.7109375" customWidth="1"/>
    <col min="10" max="10" width="15.85546875" customWidth="1"/>
    <col min="11" max="11" width="24.85546875" customWidth="1"/>
    <col min="12" max="12" width="25.7109375" customWidth="1"/>
    <col min="13" max="13" width="30.28515625" customWidth="1"/>
    <col min="14" max="14" width="10.85546875" customWidth="1"/>
    <col min="15" max="15" width="22.28515625" customWidth="1"/>
    <col min="16" max="16" width="18.28515625" customWidth="1"/>
    <col min="17" max="17" width="29.42578125" customWidth="1"/>
    <col min="18" max="18" width="19.85546875" customWidth="1"/>
    <col min="20" max="20" width="26.42578125" customWidth="1"/>
    <col min="21" max="21" width="34" customWidth="1"/>
    <col min="22" max="22" width="22.85546875" customWidth="1"/>
    <col min="23" max="23" width="25.7109375" customWidth="1"/>
    <col min="24" max="24" width="23.140625" customWidth="1"/>
    <col min="25" max="25" width="25.42578125" customWidth="1"/>
    <col min="26" max="26" width="28" customWidth="1"/>
    <col min="27" max="27" width="36.28515625" customWidth="1"/>
    <col min="28" max="28" width="18.85546875" customWidth="1"/>
    <col min="29" max="29" width="19.7109375" customWidth="1"/>
    <col min="30" max="30" width="20" customWidth="1"/>
    <col min="31" max="31" width="22.5703125" customWidth="1"/>
    <col min="32" max="32" width="18.140625" customWidth="1"/>
    <col min="33" max="33" width="30.140625" customWidth="1"/>
    <col min="34" max="34" width="19.28515625" customWidth="1"/>
    <col min="35" max="35" width="21.85546875" customWidth="1"/>
    <col min="36" max="36" width="22.140625" customWidth="1"/>
    <col min="37" max="37" width="21.28515625" customWidth="1"/>
    <col min="38" max="38" width="23.28515625" customWidth="1"/>
    <col min="39" max="39" width="20.7109375" customWidth="1"/>
    <col min="40" max="40" width="18.140625" customWidth="1"/>
    <col min="41" max="41" width="20.42578125" customWidth="1"/>
  </cols>
  <sheetData>
    <row r="1" spans="1:41" ht="31.5" customHeight="1" thickBot="1" x14ac:dyDescent="0.3">
      <c r="A1" s="263" t="s">
        <v>458</v>
      </c>
      <c r="B1" s="317" t="s">
        <v>47</v>
      </c>
      <c r="C1" s="265" t="s">
        <v>48</v>
      </c>
      <c r="D1" s="264" t="s">
        <v>49</v>
      </c>
      <c r="E1" s="266" t="s">
        <v>2</v>
      </c>
      <c r="F1" s="266" t="s">
        <v>30</v>
      </c>
      <c r="G1" s="266" t="s">
        <v>11</v>
      </c>
      <c r="H1" s="266" t="s">
        <v>50</v>
      </c>
      <c r="I1" s="266" t="s">
        <v>431</v>
      </c>
      <c r="J1" s="267" t="s">
        <v>432</v>
      </c>
      <c r="K1" s="266" t="s">
        <v>433</v>
      </c>
      <c r="L1" s="266" t="s">
        <v>434</v>
      </c>
      <c r="M1" s="266" t="s">
        <v>435</v>
      </c>
      <c r="N1" s="268" t="s">
        <v>12</v>
      </c>
      <c r="O1" s="266" t="s">
        <v>438</v>
      </c>
      <c r="P1" s="266" t="s">
        <v>55</v>
      </c>
      <c r="Q1" s="266" t="s">
        <v>56</v>
      </c>
      <c r="R1" s="266" t="s">
        <v>13</v>
      </c>
      <c r="S1" s="268" t="s">
        <v>14</v>
      </c>
      <c r="T1" s="266" t="s">
        <v>51</v>
      </c>
      <c r="U1" s="266" t="s">
        <v>16</v>
      </c>
      <c r="V1" s="266" t="s">
        <v>15</v>
      </c>
      <c r="W1" s="266" t="s">
        <v>17</v>
      </c>
      <c r="X1" s="266" t="s">
        <v>18</v>
      </c>
      <c r="Y1" s="266" t="s">
        <v>62</v>
      </c>
      <c r="Z1" s="266" t="s">
        <v>63</v>
      </c>
      <c r="AA1" s="266" t="s">
        <v>64</v>
      </c>
      <c r="AB1" s="266" t="s">
        <v>19</v>
      </c>
      <c r="AC1" s="266" t="s">
        <v>20</v>
      </c>
      <c r="AD1" s="266" t="s">
        <v>21</v>
      </c>
      <c r="AE1" s="266" t="s">
        <v>22</v>
      </c>
      <c r="AF1" s="266" t="s">
        <v>23</v>
      </c>
      <c r="AG1" s="266" t="s">
        <v>24</v>
      </c>
      <c r="AH1" s="266" t="s">
        <v>25</v>
      </c>
      <c r="AI1" s="266" t="s">
        <v>26</v>
      </c>
      <c r="AJ1" s="266" t="s">
        <v>27</v>
      </c>
      <c r="AK1" s="266" t="s">
        <v>28</v>
      </c>
      <c r="AL1" s="266" t="s">
        <v>52</v>
      </c>
      <c r="AM1" s="266" t="s">
        <v>262</v>
      </c>
      <c r="AN1" s="266" t="s">
        <v>92</v>
      </c>
      <c r="AO1" s="266" t="s">
        <v>459</v>
      </c>
    </row>
    <row r="2" spans="1:41" ht="16.5" thickTop="1" x14ac:dyDescent="0.25">
      <c r="A2" s="27" t="s">
        <v>492</v>
      </c>
      <c r="B2" s="44">
        <v>45390</v>
      </c>
      <c r="C2" s="27">
        <v>120</v>
      </c>
      <c r="D2" s="308">
        <v>240</v>
      </c>
      <c r="E2" s="27"/>
      <c r="F2" s="27"/>
      <c r="G2" s="27"/>
      <c r="H2" s="27"/>
      <c r="I2" s="27"/>
      <c r="J2" s="27"/>
      <c r="K2" s="27"/>
      <c r="L2" s="27"/>
      <c r="M2" s="27"/>
      <c r="N2" s="27">
        <v>30</v>
      </c>
      <c r="O2" s="27"/>
      <c r="P2" s="27"/>
      <c r="Q2" s="27"/>
      <c r="R2" s="27">
        <v>20</v>
      </c>
      <c r="S2" s="27"/>
      <c r="T2" s="27">
        <v>40</v>
      </c>
      <c r="U2" s="27"/>
      <c r="V2" s="27"/>
      <c r="W2" s="27"/>
      <c r="X2" s="27">
        <v>30</v>
      </c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309">
        <v>45897.563888888886</v>
      </c>
    </row>
    <row r="3" spans="1:41" ht="15.75" x14ac:dyDescent="0.25">
      <c r="A3" s="27" t="s">
        <v>491</v>
      </c>
      <c r="B3" s="44">
        <v>45897</v>
      </c>
      <c r="C3" s="27">
        <v>80</v>
      </c>
      <c r="D3" s="308">
        <v>160</v>
      </c>
      <c r="E3" s="27">
        <v>30</v>
      </c>
      <c r="F3" s="27"/>
      <c r="G3" s="27"/>
      <c r="H3" s="27"/>
      <c r="I3" s="27"/>
      <c r="J3" s="27"/>
      <c r="K3" s="27"/>
      <c r="L3" s="27"/>
      <c r="M3" s="27"/>
      <c r="N3" s="27">
        <v>10</v>
      </c>
      <c r="O3" s="27"/>
      <c r="P3" s="27">
        <v>20</v>
      </c>
      <c r="Q3" s="27"/>
      <c r="R3" s="27"/>
      <c r="S3" s="27"/>
      <c r="T3" s="27">
        <v>20</v>
      </c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309">
        <v>45897.564918981479</v>
      </c>
    </row>
    <row r="4" spans="1:41" ht="15.75" x14ac:dyDescent="0.25">
      <c r="A4" s="27"/>
      <c r="B4" s="44"/>
      <c r="C4" s="27"/>
      <c r="D4" s="308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309"/>
    </row>
    <row r="5" spans="1:41" ht="15.75" x14ac:dyDescent="0.25">
      <c r="A5" s="27"/>
      <c r="B5" s="44"/>
      <c r="C5" s="27"/>
      <c r="D5" s="308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309"/>
    </row>
    <row r="6" spans="1:41" ht="15.75" x14ac:dyDescent="0.25">
      <c r="A6" s="27"/>
      <c r="B6" s="44"/>
      <c r="C6" s="27"/>
      <c r="D6" s="308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316"/>
    </row>
    <row r="7" spans="1:41" ht="15.75" x14ac:dyDescent="0.25">
      <c r="A7" s="27"/>
      <c r="B7" s="44"/>
      <c r="C7" s="27"/>
      <c r="D7" s="308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316"/>
    </row>
    <row r="8" spans="1:41" ht="15.75" x14ac:dyDescent="0.25">
      <c r="A8" s="27"/>
      <c r="B8" s="44"/>
      <c r="C8" s="27"/>
      <c r="D8" s="308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316"/>
    </row>
    <row r="9" spans="1:41" ht="15.75" x14ac:dyDescent="0.25">
      <c r="A9" s="27"/>
      <c r="B9" s="44"/>
      <c r="C9" s="27"/>
      <c r="D9" s="308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316"/>
    </row>
    <row r="10" spans="1:41" ht="15.75" x14ac:dyDescent="0.25">
      <c r="A10" s="27"/>
      <c r="B10" s="44"/>
      <c r="C10" s="27"/>
      <c r="D10" s="308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316"/>
    </row>
    <row r="11" spans="1:41" ht="15.75" x14ac:dyDescent="0.25">
      <c r="A11" s="27"/>
      <c r="B11" s="44"/>
      <c r="C11" s="27"/>
      <c r="D11" s="308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316"/>
    </row>
    <row r="12" spans="1:41" ht="15.75" x14ac:dyDescent="0.25">
      <c r="A12" s="27"/>
      <c r="B12" s="44"/>
      <c r="C12" s="27"/>
      <c r="D12" s="308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316"/>
    </row>
    <row r="13" spans="1:41" ht="15.75" x14ac:dyDescent="0.25">
      <c r="A13" s="27"/>
      <c r="B13" s="44"/>
      <c r="C13" s="27"/>
      <c r="D13" s="308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316"/>
    </row>
    <row r="14" spans="1:41" ht="15.75" x14ac:dyDescent="0.25">
      <c r="A14" s="27"/>
      <c r="B14" s="44"/>
      <c r="C14" s="27"/>
      <c r="D14" s="308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316"/>
    </row>
    <row r="15" spans="1:41" ht="15.75" x14ac:dyDescent="0.25">
      <c r="A15" s="27"/>
      <c r="B15" s="44"/>
      <c r="C15" s="27"/>
      <c r="D15" s="308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316"/>
    </row>
    <row r="16" spans="1:41" ht="15.75" x14ac:dyDescent="0.25">
      <c r="A16" s="27"/>
      <c r="B16" s="44"/>
      <c r="C16" s="27"/>
      <c r="D16" s="308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316"/>
    </row>
    <row r="17" spans="1:41" ht="15.75" x14ac:dyDescent="0.25">
      <c r="A17" s="27"/>
      <c r="B17" s="44"/>
      <c r="C17" s="27"/>
      <c r="D17" s="308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316"/>
    </row>
    <row r="18" spans="1:41" ht="15.75" x14ac:dyDescent="0.25">
      <c r="A18" s="27"/>
      <c r="B18" s="44"/>
      <c r="C18" s="27"/>
      <c r="D18" s="308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316"/>
    </row>
    <row r="19" spans="1:41" ht="15.75" x14ac:dyDescent="0.25">
      <c r="A19" s="27"/>
      <c r="B19" s="44"/>
      <c r="C19" s="27"/>
      <c r="D19" s="308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316"/>
    </row>
    <row r="20" spans="1:41" ht="15.75" x14ac:dyDescent="0.25">
      <c r="A20" s="27"/>
      <c r="B20" s="44"/>
      <c r="C20" s="27"/>
      <c r="D20" s="308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316"/>
    </row>
    <row r="21" spans="1:41" ht="15.75" x14ac:dyDescent="0.25">
      <c r="A21" s="27"/>
      <c r="B21" s="44"/>
      <c r="C21" s="27"/>
      <c r="D21" s="308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316"/>
    </row>
    <row r="22" spans="1:41" ht="15.75" x14ac:dyDescent="0.25">
      <c r="A22" s="27"/>
      <c r="B22" s="44"/>
      <c r="C22" s="27"/>
      <c r="D22" s="308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316"/>
    </row>
    <row r="23" spans="1:41" ht="15.75" x14ac:dyDescent="0.25">
      <c r="A23" s="27"/>
      <c r="B23" s="44"/>
      <c r="C23" s="27"/>
      <c r="D23" s="308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316"/>
    </row>
    <row r="24" spans="1:41" ht="15.75" x14ac:dyDescent="0.25">
      <c r="A24" s="27"/>
      <c r="B24" s="44"/>
      <c r="C24" s="27"/>
      <c r="D24" s="308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316"/>
    </row>
    <row r="25" spans="1:41" ht="15.75" x14ac:dyDescent="0.25">
      <c r="A25" s="27"/>
      <c r="B25" s="44"/>
      <c r="C25" s="27"/>
      <c r="D25" s="308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316"/>
    </row>
    <row r="26" spans="1:41" ht="15.75" x14ac:dyDescent="0.25">
      <c r="A26" s="27"/>
      <c r="B26" s="44"/>
      <c r="C26" s="27"/>
      <c r="D26" s="308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316"/>
    </row>
    <row r="27" spans="1:41" ht="15.75" x14ac:dyDescent="0.25">
      <c r="A27" s="27"/>
      <c r="B27" s="44"/>
      <c r="C27" s="27"/>
      <c r="D27" s="308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316"/>
    </row>
    <row r="28" spans="1:41" ht="15.75" x14ac:dyDescent="0.25">
      <c r="A28" s="27"/>
      <c r="B28" s="44"/>
      <c r="C28" s="27"/>
      <c r="D28" s="308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31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2F7B-6594-4E86-923E-3512D53A49BF}">
  <sheetPr codeName="Planilha21"/>
  <dimension ref="A1:XD42"/>
  <sheetViews>
    <sheetView workbookViewId="0">
      <selection activeCell="F12" sqref="F12"/>
    </sheetView>
  </sheetViews>
  <sheetFormatPr defaultRowHeight="15" x14ac:dyDescent="0.25"/>
  <cols>
    <col min="1" max="1" width="29.7109375" customWidth="1"/>
    <col min="2" max="2" width="10.7109375" bestFit="1" customWidth="1"/>
    <col min="3" max="3" width="31.7109375" customWidth="1"/>
    <col min="4" max="4" width="13.28515625" customWidth="1"/>
    <col min="5" max="5" width="17.5703125" customWidth="1"/>
    <col min="6" max="6" width="31.7109375" customWidth="1"/>
    <col min="7" max="7" width="20.42578125" customWidth="1"/>
    <col min="8" max="8" width="20.85546875" customWidth="1"/>
    <col min="9" max="9" width="19.7109375" customWidth="1"/>
    <col min="10" max="10" width="15.85546875" customWidth="1"/>
    <col min="11" max="11" width="24.85546875" customWidth="1"/>
    <col min="12" max="12" width="25.7109375" customWidth="1"/>
    <col min="13" max="13" width="30.28515625" customWidth="1"/>
    <col min="14" max="14" width="10.85546875" customWidth="1"/>
    <col min="15" max="15" width="22.28515625" customWidth="1"/>
    <col min="16" max="16" width="18.28515625" customWidth="1"/>
    <col min="17" max="17" width="29.42578125" customWidth="1"/>
    <col min="18" max="18" width="19.85546875" customWidth="1"/>
    <col min="20" max="20" width="26.42578125" customWidth="1"/>
    <col min="21" max="21" width="34" customWidth="1"/>
    <col min="22" max="22" width="22.85546875" customWidth="1"/>
    <col min="23" max="23" width="25.7109375" customWidth="1"/>
    <col min="24" max="24" width="23.140625" customWidth="1"/>
    <col min="25" max="25" width="25.42578125" customWidth="1"/>
    <col min="26" max="26" width="28" customWidth="1"/>
    <col min="27" max="27" width="36.28515625" customWidth="1"/>
    <col min="28" max="28" width="18.85546875" customWidth="1"/>
    <col min="29" max="29" width="19.7109375" customWidth="1"/>
    <col min="30" max="30" width="20" customWidth="1"/>
    <col min="31" max="31" width="22.5703125" customWidth="1"/>
    <col min="32" max="32" width="18.140625" customWidth="1"/>
    <col min="33" max="33" width="30.140625" customWidth="1"/>
    <col min="34" max="34" width="19.28515625" customWidth="1"/>
    <col min="35" max="35" width="21.85546875" customWidth="1"/>
    <col min="36" max="36" width="22.140625" customWidth="1"/>
    <col min="37" max="37" width="21.28515625" customWidth="1"/>
    <col min="38" max="38" width="23.28515625" customWidth="1"/>
    <col min="39" max="39" width="20.7109375" customWidth="1"/>
    <col min="40" max="40" width="18.140625" customWidth="1"/>
    <col min="41" max="41" width="12.5703125" style="1" customWidth="1"/>
    <col min="42" max="42" width="20.42578125" customWidth="1"/>
    <col min="43" max="43" width="26.28515625" customWidth="1"/>
    <col min="627" max="628" width="10.7109375" bestFit="1" customWidth="1"/>
  </cols>
  <sheetData>
    <row r="1" spans="1:43" ht="21.75" thickBot="1" x14ac:dyDescent="0.3">
      <c r="A1" s="310" t="s">
        <v>458</v>
      </c>
      <c r="B1" s="265" t="s">
        <v>47</v>
      </c>
      <c r="C1" s="265" t="s">
        <v>48</v>
      </c>
      <c r="D1" s="265" t="s">
        <v>49</v>
      </c>
      <c r="E1" s="266" t="s">
        <v>2</v>
      </c>
      <c r="F1" s="266" t="s">
        <v>30</v>
      </c>
      <c r="G1" s="266" t="s">
        <v>11</v>
      </c>
      <c r="H1" s="266" t="s">
        <v>50</v>
      </c>
      <c r="I1" s="266" t="s">
        <v>431</v>
      </c>
      <c r="J1" s="267" t="s">
        <v>432</v>
      </c>
      <c r="K1" s="266" t="s">
        <v>433</v>
      </c>
      <c r="L1" s="266" t="s">
        <v>434</v>
      </c>
      <c r="M1" s="266" t="s">
        <v>435</v>
      </c>
      <c r="N1" s="266" t="s">
        <v>12</v>
      </c>
      <c r="O1" s="266" t="s">
        <v>438</v>
      </c>
      <c r="P1" s="266" t="s">
        <v>55</v>
      </c>
      <c r="Q1" s="266" t="s">
        <v>56</v>
      </c>
      <c r="R1" s="266" t="s">
        <v>13</v>
      </c>
      <c r="S1" s="266" t="s">
        <v>14</v>
      </c>
      <c r="T1" s="266" t="s">
        <v>51</v>
      </c>
      <c r="U1" s="266" t="s">
        <v>16</v>
      </c>
      <c r="V1" s="266" t="s">
        <v>15</v>
      </c>
      <c r="W1" s="266" t="s">
        <v>17</v>
      </c>
      <c r="X1" s="266" t="s">
        <v>18</v>
      </c>
      <c r="Y1" s="266" t="s">
        <v>62</v>
      </c>
      <c r="Z1" s="266" t="s">
        <v>63</v>
      </c>
      <c r="AA1" s="266" t="s">
        <v>64</v>
      </c>
      <c r="AB1" s="266" t="s">
        <v>19</v>
      </c>
      <c r="AC1" s="266" t="s">
        <v>20</v>
      </c>
      <c r="AD1" s="266" t="s">
        <v>21</v>
      </c>
      <c r="AE1" s="266" t="s">
        <v>22</v>
      </c>
      <c r="AF1" s="266" t="s">
        <v>23</v>
      </c>
      <c r="AG1" s="266" t="s">
        <v>24</v>
      </c>
      <c r="AH1" s="266" t="s">
        <v>25</v>
      </c>
      <c r="AI1" s="266" t="s">
        <v>26</v>
      </c>
      <c r="AJ1" s="266" t="s">
        <v>27</v>
      </c>
      <c r="AK1" s="266" t="s">
        <v>28</v>
      </c>
      <c r="AL1" s="266" t="s">
        <v>52</v>
      </c>
      <c r="AM1" s="266" t="s">
        <v>262</v>
      </c>
      <c r="AN1" s="266" t="s">
        <v>92</v>
      </c>
      <c r="AO1" s="266" t="s">
        <v>476</v>
      </c>
      <c r="AP1" s="266" t="s">
        <v>459</v>
      </c>
      <c r="AQ1" s="266" t="s">
        <v>477</v>
      </c>
    </row>
    <row r="2" spans="1:43" ht="16.5" customHeight="1" thickTop="1" x14ac:dyDescent="0.25">
      <c r="A2" s="36" t="s">
        <v>487</v>
      </c>
      <c r="B2" s="107">
        <v>45897</v>
      </c>
      <c r="C2" s="36">
        <v>80</v>
      </c>
      <c r="D2" s="311">
        <v>160</v>
      </c>
      <c r="E2" s="36">
        <v>30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M2" s="36">
        <v>0</v>
      </c>
      <c r="N2" s="36">
        <v>10</v>
      </c>
      <c r="O2" s="36">
        <v>0</v>
      </c>
      <c r="P2" s="36">
        <v>20</v>
      </c>
      <c r="Q2" s="36">
        <v>0</v>
      </c>
      <c r="R2" s="36">
        <v>0</v>
      </c>
      <c r="S2" s="36">
        <v>0</v>
      </c>
      <c r="T2" s="36">
        <v>20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12" t="s">
        <v>487</v>
      </c>
      <c r="AP2" s="313">
        <v>45897.566087962965</v>
      </c>
      <c r="AQ2" s="36"/>
    </row>
    <row r="3" spans="1:43" ht="14.25" customHeight="1" x14ac:dyDescent="0.25">
      <c r="A3" s="36"/>
      <c r="B3" s="107"/>
      <c r="C3" s="36"/>
      <c r="D3" s="311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12"/>
      <c r="AP3" s="313"/>
      <c r="AQ3" s="36"/>
    </row>
    <row r="4" spans="1:43" x14ac:dyDescent="0.25">
      <c r="A4" s="36"/>
      <c r="B4" s="107"/>
      <c r="C4" s="36"/>
      <c r="D4" s="311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12"/>
      <c r="AP4" s="313"/>
      <c r="AQ4" s="36"/>
    </row>
    <row r="5" spans="1:43" x14ac:dyDescent="0.25">
      <c r="A5" s="36"/>
      <c r="B5" s="107"/>
      <c r="C5" s="36"/>
      <c r="D5" s="311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12"/>
      <c r="AP5" s="313"/>
      <c r="AQ5" s="36"/>
    </row>
    <row r="6" spans="1:43" x14ac:dyDescent="0.25">
      <c r="A6" s="36"/>
      <c r="B6" s="107"/>
      <c r="C6" s="36"/>
      <c r="D6" s="311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12"/>
      <c r="AP6" s="313"/>
      <c r="AQ6" s="36"/>
    </row>
    <row r="7" spans="1:43" x14ac:dyDescent="0.25">
      <c r="A7" s="36"/>
      <c r="B7" s="107"/>
      <c r="C7" s="36"/>
      <c r="D7" s="311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12"/>
      <c r="AP7" s="313"/>
      <c r="AQ7" s="36"/>
    </row>
    <row r="8" spans="1:43" x14ac:dyDescent="0.25">
      <c r="A8" s="36"/>
      <c r="B8" s="107"/>
      <c r="C8" s="36"/>
      <c r="D8" s="311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12"/>
      <c r="AP8" s="313"/>
      <c r="AQ8" s="36"/>
    </row>
    <row r="9" spans="1:43" x14ac:dyDescent="0.25">
      <c r="A9" s="36"/>
      <c r="B9" s="107"/>
      <c r="C9" s="36"/>
      <c r="D9" s="311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12"/>
      <c r="AP9" s="313"/>
      <c r="AQ9" s="36"/>
    </row>
    <row r="10" spans="1:43" x14ac:dyDescent="0.25">
      <c r="A10" s="36"/>
      <c r="B10" s="107"/>
      <c r="C10" s="36"/>
      <c r="D10" s="31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12"/>
      <c r="AP10" s="313"/>
      <c r="AQ10" s="36"/>
    </row>
    <row r="11" spans="1:43" x14ac:dyDescent="0.25">
      <c r="A11" s="36"/>
      <c r="B11" s="107"/>
      <c r="C11" s="107"/>
      <c r="D11" s="311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312"/>
      <c r="AP11" s="313"/>
      <c r="AQ11" s="36"/>
    </row>
    <row r="12" spans="1:43" x14ac:dyDescent="0.25">
      <c r="A12" s="36"/>
      <c r="B12" s="107"/>
      <c r="C12" s="107"/>
      <c r="D12" s="311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312"/>
      <c r="AP12" s="313"/>
      <c r="AQ12" s="36"/>
    </row>
    <row r="13" spans="1:43" x14ac:dyDescent="0.25">
      <c r="A13" s="36"/>
      <c r="B13" s="107"/>
      <c r="C13" s="107"/>
      <c r="D13" s="311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312"/>
      <c r="AP13" s="313"/>
      <c r="AQ13" s="36"/>
    </row>
    <row r="14" spans="1:43" x14ac:dyDescent="0.25">
      <c r="A14" s="36"/>
      <c r="B14" s="107"/>
      <c r="C14" s="36"/>
      <c r="D14" s="31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12"/>
      <c r="AP14" s="313"/>
      <c r="AQ14" s="36"/>
    </row>
    <row r="15" spans="1:43" x14ac:dyDescent="0.25">
      <c r="A15" s="36"/>
      <c r="B15" s="107"/>
      <c r="C15" s="107"/>
      <c r="D15" s="311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312"/>
      <c r="AP15" s="313"/>
      <c r="AQ15" s="36"/>
    </row>
    <row r="16" spans="1:43" x14ac:dyDescent="0.25">
      <c r="A16" s="36"/>
      <c r="B16" s="107"/>
      <c r="C16" s="36"/>
      <c r="D16" s="311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12"/>
      <c r="AP16" s="313"/>
      <c r="AQ16" s="36"/>
    </row>
    <row r="17" spans="1:628" x14ac:dyDescent="0.25">
      <c r="A17" s="36"/>
      <c r="B17" s="107"/>
      <c r="C17" s="107"/>
      <c r="D17" s="311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312"/>
      <c r="AP17" s="313"/>
      <c r="AQ17" s="36"/>
    </row>
    <row r="18" spans="1:628" x14ac:dyDescent="0.25">
      <c r="A18" s="36"/>
      <c r="B18" s="107"/>
      <c r="C18" s="107"/>
      <c r="D18" s="311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312"/>
      <c r="AP18" s="313"/>
      <c r="AQ18" s="36"/>
    </row>
    <row r="19" spans="1:628" x14ac:dyDescent="0.25">
      <c r="A19" s="36"/>
      <c r="B19" s="107"/>
      <c r="C19" s="107"/>
      <c r="D19" s="311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312"/>
      <c r="AP19" s="313"/>
      <c r="AQ19" s="36"/>
      <c r="XC19" s="99"/>
      <c r="XD19" s="315"/>
    </row>
    <row r="20" spans="1:628" x14ac:dyDescent="0.25">
      <c r="A20" s="36"/>
      <c r="B20" s="107"/>
      <c r="C20" s="36"/>
      <c r="D20" s="311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12"/>
      <c r="AP20" s="313"/>
      <c r="AQ20" s="36"/>
      <c r="XD20" s="315"/>
    </row>
    <row r="21" spans="1:628" x14ac:dyDescent="0.25">
      <c r="A21" s="36"/>
      <c r="B21" s="107"/>
      <c r="C21" s="36"/>
      <c r="D21" s="311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12"/>
      <c r="AP21" s="313"/>
      <c r="AQ21" s="36"/>
      <c r="XD21" s="315"/>
    </row>
    <row r="22" spans="1:628" x14ac:dyDescent="0.25">
      <c r="A22" s="36"/>
      <c r="B22" s="107"/>
      <c r="C22" s="36"/>
      <c r="D22" s="311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12"/>
      <c r="AP22" s="313"/>
      <c r="AQ22" s="36"/>
    </row>
    <row r="23" spans="1:628" x14ac:dyDescent="0.25">
      <c r="A23" s="36"/>
      <c r="B23" s="107"/>
      <c r="C23" s="107"/>
      <c r="D23" s="311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312"/>
      <c r="AP23" s="313"/>
      <c r="AQ23" s="36"/>
    </row>
    <row r="24" spans="1:628" x14ac:dyDescent="0.25">
      <c r="A24" s="36"/>
      <c r="B24" s="107"/>
      <c r="C24" s="107"/>
      <c r="D24" s="311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312"/>
      <c r="AP24" s="313"/>
      <c r="AQ24" s="36"/>
    </row>
    <row r="25" spans="1:628" x14ac:dyDescent="0.25">
      <c r="A25" s="36"/>
      <c r="B25" s="107"/>
      <c r="C25" s="107"/>
      <c r="D25" s="311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312"/>
      <c r="AP25" s="313"/>
      <c r="AQ25" s="36"/>
    </row>
    <row r="26" spans="1:628" x14ac:dyDescent="0.25">
      <c r="A26" s="36"/>
      <c r="B26" s="107"/>
      <c r="C26" s="36"/>
      <c r="D26" s="311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12"/>
      <c r="AP26" s="313"/>
      <c r="AQ26" s="36"/>
    </row>
    <row r="27" spans="1:628" x14ac:dyDescent="0.25">
      <c r="A27" s="36"/>
      <c r="B27" s="107"/>
      <c r="C27" s="36"/>
      <c r="D27" s="311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12"/>
      <c r="AP27" s="313"/>
      <c r="AQ27" s="36"/>
    </row>
    <row r="28" spans="1:628" x14ac:dyDescent="0.25">
      <c r="A28" s="36"/>
      <c r="B28" s="107"/>
      <c r="C28" s="107"/>
      <c r="D28" s="311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312"/>
      <c r="AP28" s="313"/>
      <c r="AQ28" s="36"/>
    </row>
    <row r="29" spans="1:628" x14ac:dyDescent="0.25">
      <c r="A29" s="36"/>
      <c r="B29" s="107"/>
      <c r="C29" s="36"/>
      <c r="D29" s="311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12"/>
      <c r="AP29" s="313"/>
      <c r="AQ29" s="36"/>
    </row>
    <row r="30" spans="1:628" x14ac:dyDescent="0.25">
      <c r="A30" s="36"/>
      <c r="B30" s="107"/>
      <c r="C30" s="107"/>
      <c r="D30" s="311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312"/>
      <c r="AP30" s="313"/>
      <c r="AQ30" s="36"/>
    </row>
    <row r="31" spans="1:628" x14ac:dyDescent="0.25">
      <c r="A31" s="36"/>
      <c r="B31" s="336"/>
      <c r="C31" s="107"/>
      <c r="D31" s="311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312"/>
      <c r="AP31" s="337"/>
      <c r="AQ31" s="36"/>
    </row>
    <row r="32" spans="1:628" x14ac:dyDescent="0.25">
      <c r="A32" s="36"/>
      <c r="B32" s="336"/>
      <c r="C32" s="36"/>
      <c r="D32" s="311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12"/>
      <c r="AP32" s="337"/>
      <c r="AQ32" s="36"/>
    </row>
    <row r="33" spans="1:43" x14ac:dyDescent="0.25">
      <c r="A33" s="36"/>
      <c r="B33" s="336"/>
      <c r="C33" s="36"/>
      <c r="D33" s="311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12"/>
      <c r="AP33" s="337"/>
      <c r="AQ33" s="36"/>
    </row>
    <row r="34" spans="1:43" x14ac:dyDescent="0.25">
      <c r="A34" s="36"/>
      <c r="B34" s="336"/>
      <c r="C34" s="107"/>
      <c r="D34" s="311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312"/>
      <c r="AP34" s="337"/>
      <c r="AQ34" s="36"/>
    </row>
    <row r="35" spans="1:43" x14ac:dyDescent="0.25">
      <c r="A35" s="36"/>
      <c r="B35" s="336"/>
      <c r="C35" s="36"/>
      <c r="D35" s="311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12"/>
      <c r="AP35" s="337"/>
      <c r="AQ35" s="36"/>
    </row>
    <row r="36" spans="1:43" x14ac:dyDescent="0.25">
      <c r="A36" s="36"/>
      <c r="B36" s="336"/>
      <c r="C36" s="107"/>
      <c r="D36" s="311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312"/>
      <c r="AP36" s="337"/>
      <c r="AQ36" s="36"/>
    </row>
    <row r="37" spans="1:43" x14ac:dyDescent="0.25">
      <c r="A37" s="36"/>
      <c r="B37" s="336"/>
      <c r="C37" s="107"/>
      <c r="D37" s="311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312"/>
      <c r="AP37" s="337"/>
      <c r="AQ37" s="36"/>
    </row>
    <row r="38" spans="1:43" x14ac:dyDescent="0.25">
      <c r="A38" s="36"/>
      <c r="B38" s="336"/>
      <c r="C38" s="107"/>
      <c r="D38" s="311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312"/>
      <c r="AP38" s="337"/>
      <c r="AQ38" s="36"/>
    </row>
    <row r="39" spans="1:43" x14ac:dyDescent="0.25">
      <c r="A39" s="36"/>
      <c r="B39" s="336"/>
      <c r="C39" s="107"/>
      <c r="D39" s="311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312"/>
      <c r="AP39" s="337"/>
      <c r="AQ39" s="36"/>
    </row>
    <row r="40" spans="1:43" x14ac:dyDescent="0.25">
      <c r="A40" s="36"/>
      <c r="B40" s="336"/>
      <c r="C40" s="107"/>
      <c r="D40" s="311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312"/>
      <c r="AP40" s="337"/>
      <c r="AQ40" s="36"/>
    </row>
    <row r="41" spans="1:43" x14ac:dyDescent="0.25">
      <c r="A41" s="36"/>
      <c r="B41" s="336"/>
      <c r="C41" s="107"/>
      <c r="D41" s="311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312"/>
      <c r="AP41" s="337"/>
      <c r="AQ41" s="36"/>
    </row>
    <row r="42" spans="1:43" x14ac:dyDescent="0.25">
      <c r="A42" s="36"/>
      <c r="B42" s="336"/>
      <c r="C42" s="36"/>
      <c r="D42" s="311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12"/>
      <c r="AP42" s="337"/>
      <c r="AQ42" s="36"/>
    </row>
  </sheetData>
  <phoneticPr fontId="2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5FEB6F-3E2B-46C6-A5B6-BB4207611F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4</vt:i4>
      </vt:variant>
    </vt:vector>
  </HeadingPairs>
  <TitlesOfParts>
    <vt:vector size="25" baseType="lpstr">
      <vt:lpstr>Salgados</vt:lpstr>
      <vt:lpstr>PEDIDOS_ELIMINADOS</vt:lpstr>
      <vt:lpstr>CONTROLEFISICA</vt:lpstr>
      <vt:lpstr>Despesas 01012024-01032024</vt:lpstr>
      <vt:lpstr>Funcionários</vt:lpstr>
      <vt:lpstr>Despesas</vt:lpstr>
      <vt:lpstr>Form_Despesas</vt:lpstr>
      <vt:lpstr>Pedidos</vt:lpstr>
      <vt:lpstr>Form_Pedido</vt:lpstr>
      <vt:lpstr>Form_Dívidas</vt:lpstr>
      <vt:lpstr>Conta_Física</vt:lpstr>
      <vt:lpstr>Conta_Jurídica</vt:lpstr>
      <vt:lpstr>Caixa</vt:lpstr>
      <vt:lpstr>Relatórios</vt:lpstr>
      <vt:lpstr>Clientes</vt:lpstr>
      <vt:lpstr>Planilha1</vt:lpstr>
      <vt:lpstr>Pix Recebidos</vt:lpstr>
      <vt:lpstr>Meta Diária</vt:lpstr>
      <vt:lpstr>ESTOQUE</vt:lpstr>
      <vt:lpstr>PRODUCAO</vt:lpstr>
      <vt:lpstr>REGISTRO_ESTOQUE</vt:lpstr>
      <vt:lpstr>Form_Dívidas!Area_de_impressao</vt:lpstr>
      <vt:lpstr>Form_Pedido!Area_de_impressao</vt:lpstr>
      <vt:lpstr>Pedidos!Area_de_impressao</vt:lpstr>
      <vt:lpstr>Relatórios!Area_de_impressao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HD</dc:creator>
  <cp:lastModifiedBy>Bernardo Seijas</cp:lastModifiedBy>
  <cp:lastPrinted>2025-08-28T16:38:23Z</cp:lastPrinted>
  <dcterms:created xsi:type="dcterms:W3CDTF">2024-01-25T20:44:12Z</dcterms:created>
  <dcterms:modified xsi:type="dcterms:W3CDTF">2025-08-28T16:43:02Z</dcterms:modified>
</cp:coreProperties>
</file>